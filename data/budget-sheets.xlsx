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תקציב איזון" sheetId="1" state="visible" r:id="rId1"/>
    <sheet xmlns:r="http://schemas.openxmlformats.org/officeDocument/2006/relationships" name="תקציב בקרה" sheetId="2" state="visible" r:id="rId2"/>
    <sheet xmlns:r="http://schemas.openxmlformats.org/officeDocument/2006/relationships" name="תקציב הון" sheetId="3" state="visible" r:id="rId3"/>
  </sheets>
  <definedNames>
    <definedName name="ExpenseMainCategoryList">בחירות!$C$2:$C$18</definedName>
    <definedName name="IncomeMainCategoryList">בחירות!$D$2:$D$5</definedName>
    <definedName name="RecurrenceList">בחירות!$B$2:$B$7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₪-40D]#,##0.00;[Red]\-[$₪-40D]#,##0.00"/>
    <numFmt numFmtId="165" formatCode="&quot;₪&quot;\ #,##0.00"/>
    <numFmt numFmtId="166" formatCode="[$₪-40D]#,##0;[Red]\-[$₪-40D]#,##0;[$₪-40D]\-"/>
    <numFmt numFmtId="167" formatCode="[$₪-40D]#,##0.00;[Red]\-[$₪-40D]#,##0.00;[$₪-40D]\-"/>
  </numFmts>
  <fonts count="34">
    <font>
      <name val="Arial"/>
      <family val="2"/>
      <color theme="1"/>
      <sz val="11"/>
      <scheme val="minor"/>
    </font>
    <font>
      <name val="Arial"/>
      <b val="1"/>
      <color rgb="FF124559"/>
      <sz val="12"/>
    </font>
    <font>
      <name val="Arial"/>
      <b val="1"/>
      <color rgb="FFC0392B"/>
      <sz val="12"/>
    </font>
    <font>
      <name val="Arial"/>
      <b val="1"/>
      <color rgb="FF1F4E79"/>
      <sz val="12"/>
    </font>
    <font>
      <name val="Arial"/>
      <b val="1"/>
      <color rgb="FF111827"/>
      <sz val="12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b val="1"/>
      <color rgb="FF9C0006"/>
      <sz val="11"/>
    </font>
    <font>
      <name val="Arial"/>
      <b val="1"/>
      <color rgb="FF1F4E79"/>
      <sz val="11"/>
    </font>
    <font>
      <name val="Arial"/>
      <b val="1"/>
      <color rgb="FFFFFFFF"/>
      <sz val="16"/>
    </font>
    <font>
      <name val="Arial"/>
      <family val="2"/>
      <b val="1"/>
      <color theme="1"/>
      <sz val="14"/>
      <scheme val="minor"/>
    </font>
    <font>
      <name val="Arial"/>
      <family val="2"/>
      <color theme="1" tint="0.3499862666707358"/>
      <sz val="9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0"/>
      <sz val="14"/>
      <scheme val="minor"/>
    </font>
    <font>
      <name val="Arial"/>
      <family val="2"/>
      <color theme="1" tint="0.3499862666707358"/>
      <sz val="14"/>
      <scheme val="minor"/>
    </font>
    <font>
      <name val="Arial"/>
      <family val="2"/>
      <b val="1"/>
      <color theme="1" tint="0.3499862666707358"/>
      <sz val="14"/>
      <scheme val="minor"/>
    </font>
    <font>
      <name val="Arial"/>
      <family val="2"/>
      <color theme="1"/>
      <sz val="14"/>
      <scheme val="minor"/>
    </font>
    <font>
      <name val="Arial"/>
      <family val="2"/>
      <color rgb="FFFFFFFF"/>
      <sz val="11"/>
    </font>
    <font>
      <name val="Arial"/>
      <family val="2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4" tint="-0.499984740745262"/>
      <sz val="11"/>
      <scheme val="minor"/>
    </font>
    <font>
      <name val="Arial"/>
      <b val="1"/>
      <color rgb="FF111827"/>
      <sz val="11"/>
    </font>
    <font>
      <name val="Arial"/>
      <b val="1"/>
      <color rgb="FFFFFFFF"/>
      <sz val="9"/>
    </font>
    <font>
      <name val="Arial"/>
      <b val="1"/>
      <color rgb="FF124559"/>
      <sz val="9"/>
    </font>
    <font>
      <name val="Arial"/>
      <color rgb="FF6B7B83"/>
      <sz val="9"/>
    </font>
    <font>
      <name val="Tahoma"/>
      <family val="2"/>
      <color indexed="81"/>
      <sz val="9"/>
    </font>
    <font>
      <name val="Arial"/>
      <family val="2"/>
      <color rgb="FFFF0000"/>
      <sz val="11"/>
    </font>
    <font>
      <name val="Arial"/>
      <family val="2"/>
      <b val="1"/>
      <color rgb="FFFFFFFF"/>
      <sz val="11"/>
    </font>
    <font>
      <name val="Arial"/>
      <family val="2"/>
      <color rgb="FFFF0000"/>
      <sz val="9"/>
      <scheme val="minor"/>
    </font>
    <font>
      <name val="Arial"/>
      <family val="2"/>
      <b val="1"/>
      <color rgb="FFFF0000"/>
      <sz val="9"/>
      <scheme val="minor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9"/>
      <u val="single"/>
    </font>
    <font>
      <name val="Arial"/>
      <family val="2"/>
      <b val="1"/>
      <color rgb="FF124559"/>
      <sz val="12"/>
    </font>
    <font>
      <name val="Arial"/>
      <family val="2"/>
      <b val="1"/>
      <color rgb="FF124559"/>
      <sz val="11"/>
    </font>
  </fonts>
  <fills count="25">
    <fill>
      <patternFill/>
    </fill>
    <fill>
      <patternFill patternType="gray125"/>
    </fill>
    <fill>
      <patternFill patternType="solid">
        <fgColor rgb="FFFDEAEA"/>
      </patternFill>
    </fill>
    <fill>
      <patternFill patternType="solid">
        <fgColor rgb="FFE7EFF9"/>
      </patternFill>
    </fill>
    <fill>
      <patternFill patternType="solid">
        <fgColor rgb="FFFFF200"/>
      </patternFill>
    </fill>
    <fill>
      <patternFill patternType="solid">
        <fgColor rgb="FF124559"/>
      </patternFill>
    </fill>
    <fill>
      <patternFill patternType="solid">
        <fgColor rgb="FFEFF4F7"/>
      </patternFill>
    </fill>
    <fill>
      <patternFill patternType="solid">
        <fgColor rgb="FFDCEFEA"/>
      </patternFill>
    </fill>
    <fill>
      <patternFill patternType="solid">
        <fgColor rgb="FFE8730C"/>
      </patternFill>
    </fill>
    <fill>
      <patternFill patternType="solid">
        <fgColor rgb="FF2E5FA3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FF4F7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rgb="FFB7C5CC"/>
      </left>
      <right style="thin">
        <color rgb="FFB7C5CC"/>
      </right>
      <top style="thin">
        <color rgb="FFB7C5CC"/>
      </top>
      <bottom style="thin">
        <color rgb="FFB7C5CC"/>
      </bottom>
      <diagonal/>
    </border>
    <border>
      <left/>
      <right/>
      <top/>
      <bottom style="dashed">
        <color rgb="FFB7C5CC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B7C5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B7C5CC"/>
      </right>
      <top style="thin">
        <color rgb="FFB7C5CC"/>
      </top>
      <bottom style="thin">
        <color rgb="FFB7C5CC"/>
      </bottom>
      <diagonal/>
    </border>
    <border>
      <left style="thin">
        <color rgb="FFB7C5CC"/>
      </left>
      <right style="medium">
        <color indexed="64"/>
      </right>
      <top style="thin">
        <color rgb="FFB7C5CC"/>
      </top>
      <bottom style="thin">
        <color rgb="FFB7C5CC"/>
      </bottom>
      <diagonal/>
    </border>
    <border>
      <left style="medium">
        <color indexed="64"/>
      </left>
      <right style="thin">
        <color rgb="FFB7C5CC"/>
      </right>
      <top style="medium">
        <color indexed="64"/>
      </top>
      <bottom style="medium">
        <color indexed="64"/>
      </bottom>
      <diagonal/>
    </border>
    <border>
      <left style="thin">
        <color rgb="FFB7C5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theme="0" tint="-0.1499679555650502"/>
      </bottom>
      <diagonal/>
    </border>
    <border>
      <left/>
      <right style="medium">
        <color indexed="64"/>
      </right>
      <top/>
      <bottom style="hair">
        <color theme="0" tint="-0.1499679555650502"/>
      </bottom>
      <diagonal/>
    </border>
    <border>
      <left style="medium">
        <color indexed="64"/>
      </left>
      <right/>
      <top style="hair">
        <color theme="0" tint="-0.1499679555650502"/>
      </top>
      <bottom style="hair">
        <color theme="0" tint="-0.1499679555650502"/>
      </bottom>
      <diagonal/>
    </border>
    <border>
      <left/>
      <right style="medium">
        <color indexed="64"/>
      </right>
      <top style="hair">
        <color theme="0" tint="-0.1499679555650502"/>
      </top>
      <bottom style="hair">
        <color theme="0" tint="-0.1499679555650502"/>
      </bottom>
      <diagonal/>
    </border>
    <border>
      <left style="medium">
        <color indexed="64"/>
      </left>
      <right/>
      <top style="hair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hair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hair">
        <color theme="0" tint="-0.1499679555650502"/>
      </bottom>
      <diagonal/>
    </border>
    <border>
      <left style="medium">
        <color indexed="64"/>
      </left>
      <right/>
      <top style="hair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hair">
        <color theme="0" tint="-0.1499679555650502"/>
      </top>
      <bottom style="medium">
        <color indexed="64"/>
      </bottom>
      <diagonal/>
    </border>
    <border>
      <left/>
      <right/>
      <top style="thin">
        <color rgb="FFB7C5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ashDotDot">
        <color auto="1"/>
      </left>
      <right style="medium">
        <color indexed="64"/>
      </right>
      <top style="medium">
        <color indexed="64"/>
      </top>
      <bottom/>
      <diagonal/>
    </border>
    <border>
      <left style="dashDotDot">
        <color auto="1"/>
      </left>
      <right style="medium">
        <color indexed="64"/>
      </right>
      <top/>
      <bottom/>
      <diagonal/>
    </border>
    <border>
      <left style="dashDotDot">
        <color auto="1"/>
      </left>
      <right style="medium">
        <color indexed="64"/>
      </right>
      <top/>
      <bottom style="thin">
        <color indexed="64"/>
      </bottom>
      <diagonal/>
    </border>
    <border>
      <left style="dashDotDot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dashDotDot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ashDotDot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7C5CC"/>
      </left>
      <right style="thin">
        <color rgb="FFB7C5CC"/>
      </right>
      <top style="medium">
        <color indexed="64"/>
      </top>
      <bottom style="medium">
        <color indexed="64"/>
      </bottom>
      <diagonal/>
    </border>
    <border>
      <left style="thin">
        <color rgb="FFB7C5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1499679555650502"/>
      </bottom>
      <diagonal/>
    </border>
    <border>
      <left/>
      <right/>
      <top style="medium">
        <color indexed="64"/>
      </top>
      <bottom style="hair">
        <color theme="0" tint="-0.1499679555650502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1499679555650502"/>
      </bottom>
      <diagonal/>
    </border>
    <border>
      <left/>
      <right/>
      <top style="hair">
        <color theme="0" tint="-0.1499679555650502"/>
      </top>
      <bottom style="hair">
        <color theme="0" tint="-0.1499679555650502"/>
      </bottom>
      <diagonal/>
    </border>
    <border>
      <left/>
      <right/>
      <top style="hair">
        <color theme="0" tint="-0.1499679555650502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dashDotDot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19" fillId="0" borderId="0"/>
  </cellStyleXfs>
  <cellXfs count="221">
    <xf numFmtId="0" fontId="0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right" vertical="center"/>
    </xf>
    <xf numFmtId="164" fontId="0" fillId="6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12" fillId="0" borderId="0" pivotButton="0" quotePrefix="0" xfId="0"/>
    <xf numFmtId="0" fontId="12" fillId="0" borderId="3" pivotButton="0" quotePrefix="0" xfId="0"/>
    <xf numFmtId="0" fontId="12" fillId="12" borderId="3" pivotButton="0" quotePrefix="0" xfId="0"/>
    <xf numFmtId="0" fontId="12" fillId="13" borderId="4" pivotButton="0" quotePrefix="0" xfId="0"/>
    <xf numFmtId="0" fontId="12" fillId="14" borderId="3" pivotButton="0" quotePrefix="0" xfId="0"/>
    <xf numFmtId="165" fontId="19" fillId="13" borderId="6" pivotButton="0" quotePrefix="0" xfId="0"/>
    <xf numFmtId="0" fontId="19" fillId="0" borderId="5" pivotButton="0" quotePrefix="0" xfId="0"/>
    <xf numFmtId="165" fontId="19" fillId="12" borderId="5" pivotButton="0" quotePrefix="0" xfId="0"/>
    <xf numFmtId="165" fontId="19" fillId="13" borderId="7" pivotButton="0" quotePrefix="0" xfId="0"/>
    <xf numFmtId="165" fontId="19" fillId="14" borderId="5" pivotButton="0" quotePrefix="0" xfId="0"/>
    <xf numFmtId="0" fontId="19" fillId="0" borderId="8" pivotButton="0" quotePrefix="0" xfId="0"/>
    <xf numFmtId="165" fontId="19" fillId="12" borderId="8" pivotButton="0" quotePrefix="0" xfId="0"/>
    <xf numFmtId="165" fontId="19" fillId="13" borderId="9" pivotButton="0" quotePrefix="0" xfId="0"/>
    <xf numFmtId="165" fontId="19" fillId="14" borderId="8" pivotButton="0" quotePrefix="0" xfId="0"/>
    <xf numFmtId="0" fontId="18" fillId="0" borderId="8" pivotButton="0" quotePrefix="0" xfId="0"/>
    <xf numFmtId="165" fontId="12" fillId="19" borderId="6" pivotButton="0" quotePrefix="0" xfId="0"/>
    <xf numFmtId="165" fontId="20" fillId="19" borderId="6" pivotButton="0" quotePrefix="0" xfId="0"/>
    <xf numFmtId="0" fontId="19" fillId="0" borderId="10" pivotButton="0" quotePrefix="0" xfId="0"/>
    <xf numFmtId="165" fontId="19" fillId="12" borderId="10" pivotButton="0" quotePrefix="0" xfId="0"/>
    <xf numFmtId="165" fontId="19" fillId="13" borderId="11" pivotButton="0" quotePrefix="0" xfId="0"/>
    <xf numFmtId="165" fontId="19" fillId="14" borderId="10" pivotButton="0" quotePrefix="0" xfId="0"/>
    <xf numFmtId="0" fontId="0" fillId="13" borderId="2" applyAlignment="1" pivotButton="0" quotePrefix="0" xfId="0">
      <alignment horizontal="right" vertical="center"/>
    </xf>
    <xf numFmtId="164" fontId="0" fillId="13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27" fillId="5" borderId="1" applyAlignment="1" pivotButton="0" quotePrefix="0" xfId="0">
      <alignment horizontal="center" vertical="center" wrapText="1"/>
    </xf>
    <xf numFmtId="0" fontId="1" fillId="0" borderId="13" applyAlignment="1" pivotButton="0" quotePrefix="0" xfId="0">
      <alignment vertical="center"/>
    </xf>
    <xf numFmtId="0" fontId="1" fillId="0" borderId="14" pivotButton="0" quotePrefix="0" xfId="0"/>
    <xf numFmtId="0" fontId="1" fillId="0" borderId="16" pivotButton="0" quotePrefix="0" xfId="0"/>
    <xf numFmtId="0" fontId="1" fillId="0" borderId="15" pivotButton="0" quotePrefix="0" xfId="0"/>
    <xf numFmtId="166" fontId="2" fillId="2" borderId="17" pivotButton="0" quotePrefix="0" xfId="0"/>
    <xf numFmtId="166" fontId="4" fillId="4" borderId="18" pivotButton="0" quotePrefix="0" xfId="0"/>
    <xf numFmtId="0" fontId="26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22" borderId="16" pivotButton="0" quotePrefix="0" xfId="0"/>
    <xf numFmtId="0" fontId="32" fillId="22" borderId="15" pivotButton="0" quotePrefix="0" xfId="0"/>
    <xf numFmtId="0" fontId="1" fillId="0" borderId="19" applyAlignment="1" pivotButton="0" quotePrefix="0" xfId="0">
      <alignment vertical="center"/>
    </xf>
    <xf numFmtId="166" fontId="3" fillId="3" borderId="20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7" fillId="5" borderId="21" applyAlignment="1" pivotButton="0" quotePrefix="0" xfId="0">
      <alignment horizontal="right" vertical="center" wrapText="1"/>
    </xf>
    <xf numFmtId="0" fontId="27" fillId="5" borderId="22" applyAlignment="1" pivotButton="0" quotePrefix="0" xfId="0">
      <alignment horizontal="right" vertical="center" wrapText="1"/>
    </xf>
    <xf numFmtId="0" fontId="6" fillId="9" borderId="24" applyAlignment="1" pivotButton="0" quotePrefix="0" xfId="0">
      <alignment horizontal="right" vertical="center" wrapText="1"/>
    </xf>
    <xf numFmtId="0" fontId="6" fillId="9" borderId="25" applyAlignment="1" pivotButton="0" quotePrefix="0" xfId="0">
      <alignment horizontal="right" vertical="center" wrapText="1"/>
    </xf>
    <xf numFmtId="0" fontId="6" fillId="8" borderId="24" applyAlignment="1" pivotButton="0" quotePrefix="0" xfId="0">
      <alignment horizontal="right" vertical="center" wrapText="1"/>
    </xf>
    <xf numFmtId="0" fontId="6" fillId="8" borderId="25" applyAlignment="1" pivotButton="0" quotePrefix="0" xfId="0">
      <alignment horizontal="right" vertical="center" wrapText="1"/>
    </xf>
    <xf numFmtId="0" fontId="6" fillId="8" borderId="26" applyAlignment="1" pivotButton="0" quotePrefix="0" xfId="0">
      <alignment horizontal="center" vertical="center" wrapText="1"/>
    </xf>
    <xf numFmtId="166" fontId="2" fillId="2" borderId="27" applyAlignment="1" pivotButton="0" quotePrefix="0" xfId="0">
      <alignment horizontal="center" vertical="center" wrapText="1"/>
    </xf>
    <xf numFmtId="0" fontId="6" fillId="9" borderId="26" applyAlignment="1" pivotButton="0" quotePrefix="0" xfId="0">
      <alignment horizontal="center" vertical="center" wrapText="1"/>
    </xf>
    <xf numFmtId="166" fontId="3" fillId="3" borderId="27" applyAlignment="1" pivotButton="0" quotePrefix="0" xfId="0">
      <alignment horizontal="center" vertical="center" wrapText="1"/>
    </xf>
    <xf numFmtId="0" fontId="6" fillId="5" borderId="26" applyAlignment="1" pivotButton="0" quotePrefix="0" xfId="0">
      <alignment horizontal="center" vertical="center" wrapText="1"/>
    </xf>
    <xf numFmtId="166" fontId="4" fillId="4" borderId="27" applyAlignment="1" pivotButton="0" quotePrefix="0" xfId="0">
      <alignment horizontal="center" vertical="center" wrapText="1"/>
    </xf>
    <xf numFmtId="0" fontId="0" fillId="0" borderId="5" pivotButton="0" quotePrefix="0" xfId="0"/>
    <xf numFmtId="167" fontId="0" fillId="0" borderId="5" pivotButton="0" quotePrefix="0" xfId="0"/>
    <xf numFmtId="167" fontId="0" fillId="0" borderId="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7" fillId="23" borderId="34" pivotButton="0" quotePrefix="0" xfId="0"/>
    <xf numFmtId="166" fontId="0" fillId="23" borderId="35" pivotButton="0" quotePrefix="0" xfId="0"/>
    <xf numFmtId="0" fontId="7" fillId="0" borderId="36" pivotButton="0" quotePrefix="0" xfId="0"/>
    <xf numFmtId="166" fontId="0" fillId="0" borderId="37" pivotButton="0" quotePrefix="0" xfId="0"/>
    <xf numFmtId="0" fontId="7" fillId="23" borderId="36" pivotButton="0" quotePrefix="0" xfId="0"/>
    <xf numFmtId="166" fontId="0" fillId="23" borderId="37" pivotButton="0" quotePrefix="0" xfId="0"/>
    <xf numFmtId="0" fontId="7" fillId="0" borderId="38" pivotButton="0" quotePrefix="0" xfId="0"/>
    <xf numFmtId="166" fontId="0" fillId="0" borderId="39" pivotButton="0" quotePrefix="0" xfId="0"/>
    <xf numFmtId="0" fontId="8" fillId="0" borderId="40" pivotButton="0" quotePrefix="0" xfId="0"/>
    <xf numFmtId="166" fontId="0" fillId="0" borderId="41" pivotButton="0" quotePrefix="0" xfId="0"/>
    <xf numFmtId="0" fontId="8" fillId="23" borderId="36" pivotButton="0" quotePrefix="0" xfId="0"/>
    <xf numFmtId="0" fontId="8" fillId="0" borderId="42" pivotButton="0" quotePrefix="0" xfId="0"/>
    <xf numFmtId="166" fontId="0" fillId="0" borderId="43" pivotButton="0" quotePrefix="0" xfId="0"/>
    <xf numFmtId="0" fontId="0" fillId="6" borderId="34" pivotButton="0" quotePrefix="0" xfId="0"/>
    <xf numFmtId="167" fontId="0" fillId="6" borderId="35" pivotButton="0" quotePrefix="0" xfId="0"/>
    <xf numFmtId="0" fontId="0" fillId="0" borderId="36" pivotButton="0" quotePrefix="0" xfId="0"/>
    <xf numFmtId="167" fontId="0" fillId="0" borderId="37" pivotButton="0" quotePrefix="0" xfId="0"/>
    <xf numFmtId="0" fontId="0" fillId="6" borderId="36" pivotButton="0" quotePrefix="0" xfId="0"/>
    <xf numFmtId="167" fontId="0" fillId="6" borderId="37" pivotButton="0" quotePrefix="0" xfId="0"/>
    <xf numFmtId="0" fontId="0" fillId="23" borderId="36" pivotButton="0" quotePrefix="0" xfId="0"/>
    <xf numFmtId="0" fontId="0" fillId="0" borderId="42" pivotButton="0" quotePrefix="0" xfId="0"/>
    <xf numFmtId="167" fontId="0" fillId="0" borderId="43" pivotButton="0" quotePrefix="0" xfId="0"/>
    <xf numFmtId="0" fontId="5" fillId="0" borderId="44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0" borderId="33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right" vertical="center" wrapText="1"/>
    </xf>
    <xf numFmtId="0" fontId="12" fillId="0" borderId="23" pivotButton="0" quotePrefix="0" xfId="0"/>
    <xf numFmtId="0" fontId="12" fillId="15" borderId="48" pivotButton="0" quotePrefix="0" xfId="0"/>
    <xf numFmtId="165" fontId="19" fillId="15" borderId="47" pivotButton="0" quotePrefix="0" xfId="0"/>
    <xf numFmtId="165" fontId="19" fillId="12" borderId="0" pivotButton="0" quotePrefix="0" xfId="0"/>
    <xf numFmtId="165" fontId="19" fillId="14" borderId="0" pivotButton="0" quotePrefix="0" xfId="0"/>
    <xf numFmtId="165" fontId="19" fillId="15" borderId="48" pivotButton="0" quotePrefix="0" xfId="0"/>
    <xf numFmtId="165" fontId="19" fillId="15" borderId="49" pivotButton="0" quotePrefix="0" xfId="0"/>
    <xf numFmtId="165" fontId="12" fillId="18" borderId="0" pivotButton="0" quotePrefix="0" xfId="0"/>
    <xf numFmtId="165" fontId="12" fillId="20" borderId="0" pivotButton="0" quotePrefix="0" xfId="0"/>
    <xf numFmtId="165" fontId="12" fillId="21" borderId="48" pivotButton="0" quotePrefix="0" xfId="0"/>
    <xf numFmtId="165" fontId="12" fillId="18" borderId="3" pivotButton="0" quotePrefix="0" xfId="0"/>
    <xf numFmtId="165" fontId="12" fillId="19" borderId="4" pivotButton="0" quotePrefix="0" xfId="0"/>
    <xf numFmtId="165" fontId="12" fillId="20" borderId="3" pivotButton="0" quotePrefix="0" xfId="0"/>
    <xf numFmtId="165" fontId="12" fillId="21" borderId="50" pivotButton="0" quotePrefix="0" xfId="0"/>
    <xf numFmtId="0" fontId="11" fillId="0" borderId="21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22" applyAlignment="1" pivotButton="0" quotePrefix="0" xfId="0">
      <alignment horizontal="right"/>
    </xf>
    <xf numFmtId="0" fontId="18" fillId="0" borderId="0" pivotButton="0" quotePrefix="0" xfId="0"/>
    <xf numFmtId="165" fontId="20" fillId="18" borderId="0" pivotButton="0" quotePrefix="0" xfId="0"/>
    <xf numFmtId="165" fontId="20" fillId="20" borderId="0" pivotButton="0" quotePrefix="0" xfId="0"/>
    <xf numFmtId="165" fontId="20" fillId="21" borderId="48" pivotButton="0" quotePrefix="0" xfId="0"/>
    <xf numFmtId="165" fontId="12" fillId="15" borderId="48" pivotButton="0" quotePrefix="0" xfId="0"/>
    <xf numFmtId="0" fontId="17" fillId="8" borderId="56" applyAlignment="1" pivotButton="0" quotePrefix="0" xfId="0">
      <alignment vertical="top" wrapText="1"/>
    </xf>
    <xf numFmtId="165" fontId="19" fillId="15" borderId="57" pivotButton="0" quotePrefix="0" xfId="0"/>
    <xf numFmtId="0" fontId="5" fillId="5" borderId="1" applyAlignment="1" pivotButton="0" quotePrefix="0" xfId="0">
      <alignment horizontal="right" vertical="center" wrapText="1"/>
    </xf>
    <xf numFmtId="0" fontId="5" fillId="8" borderId="26" applyAlignment="1" pivotButton="0" quotePrefix="0" xfId="0">
      <alignment horizontal="center" vertical="center" wrapText="1"/>
    </xf>
    <xf numFmtId="0" fontId="5" fillId="8" borderId="58" applyAlignment="1" pivotButton="0" quotePrefix="0" xfId="0">
      <alignment horizontal="center" vertical="center" wrapText="1"/>
    </xf>
    <xf numFmtId="0" fontId="5" fillId="9" borderId="58" applyAlignment="1" pivotButton="0" quotePrefix="0" xfId="0">
      <alignment horizontal="center" vertical="center" wrapText="1"/>
    </xf>
    <xf numFmtId="0" fontId="5" fillId="8" borderId="59" applyAlignment="1" pivotButton="0" quotePrefix="0" xfId="0">
      <alignment horizontal="center" vertical="center" wrapText="1"/>
    </xf>
    <xf numFmtId="0" fontId="21" fillId="4" borderId="60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27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37" pivotButton="0" quotePrefix="0" xfId="0"/>
    <xf numFmtId="0" fontId="0" fillId="0" borderId="65" pivotButton="0" quotePrefix="0" xfId="0"/>
    <xf numFmtId="0" fontId="0" fillId="0" borderId="43" pivotButton="0" quotePrefix="0" xfId="0"/>
    <xf numFmtId="0" fontId="20" fillId="17" borderId="21" applyAlignment="1" pivotButton="0" quotePrefix="0" xfId="0">
      <alignment horizontal="right"/>
    </xf>
    <xf numFmtId="0" fontId="20" fillId="17" borderId="0" applyAlignment="1" pivotButton="0" quotePrefix="0" xfId="0">
      <alignment horizontal="right"/>
    </xf>
    <xf numFmtId="0" fontId="17" fillId="8" borderId="45" applyAlignment="1" pivotButton="0" quotePrefix="0" xfId="0">
      <alignment horizontal="right" vertical="top" wrapText="1"/>
    </xf>
    <xf numFmtId="0" fontId="20" fillId="17" borderId="23" applyAlignment="1" pivotButton="0" quotePrefix="0" xfId="0">
      <alignment horizontal="right"/>
    </xf>
    <xf numFmtId="0" fontId="20" fillId="17" borderId="3" applyAlignment="1" pivotButton="0" quotePrefix="0" xfId="0">
      <alignment horizontal="right"/>
    </xf>
    <xf numFmtId="0" fontId="17" fillId="16" borderId="45" applyAlignment="1" pivotButton="0" quotePrefix="0" xfId="0">
      <alignment horizontal="right" vertical="top" wrapText="1"/>
    </xf>
    <xf numFmtId="0" fontId="28" fillId="0" borderId="0" applyAlignment="1" pivotButton="0" quotePrefix="0" xfId="0">
      <alignment horizontal="center" vertical="center"/>
    </xf>
    <xf numFmtId="0" fontId="13" fillId="11" borderId="45" applyAlignment="1" pivotButton="0" quotePrefix="0" xfId="0">
      <alignment horizontal="right" vertical="center"/>
    </xf>
    <xf numFmtId="0" fontId="13" fillId="11" borderId="46" applyAlignment="1" pivotButton="0" quotePrefix="0" xfId="0">
      <alignment horizontal="right" vertical="center"/>
    </xf>
    <xf numFmtId="0" fontId="13" fillId="11" borderId="51" applyAlignment="1" pivotButton="0" quotePrefix="0" xfId="0">
      <alignment horizontal="right" vertical="center"/>
    </xf>
    <xf numFmtId="0" fontId="13" fillId="11" borderId="52" applyAlignment="1" pivotButton="0" quotePrefix="0" xfId="0">
      <alignment horizontal="right" vertical="center"/>
    </xf>
    <xf numFmtId="0" fontId="13" fillId="16" borderId="45" applyAlignment="1" pivotButton="0" quotePrefix="0" xfId="0">
      <alignment horizontal="right" vertical="center"/>
    </xf>
    <xf numFmtId="0" fontId="13" fillId="16" borderId="46" applyAlignment="1" pivotButton="0" quotePrefix="0" xfId="0">
      <alignment horizontal="right" vertical="center"/>
    </xf>
    <xf numFmtId="0" fontId="13" fillId="16" borderId="51" applyAlignment="1" pivotButton="0" quotePrefix="0" xfId="0">
      <alignment horizontal="right" vertical="center"/>
    </xf>
    <xf numFmtId="0" fontId="13" fillId="16" borderId="52" applyAlignment="1" pivotButton="0" quotePrefix="0" xfId="0">
      <alignment horizontal="right" vertical="center"/>
    </xf>
    <xf numFmtId="165" fontId="14" fillId="12" borderId="5" applyAlignment="1" pivotButton="0" quotePrefix="0" xfId="0">
      <alignment horizontal="center" vertical="center"/>
    </xf>
    <xf numFmtId="165" fontId="14" fillId="12" borderId="53" applyAlignment="1" pivotButton="0" quotePrefix="0" xfId="0">
      <alignment horizontal="center" vertical="center"/>
    </xf>
    <xf numFmtId="165" fontId="14" fillId="13" borderId="7" applyAlignment="1" pivotButton="0" quotePrefix="0" xfId="0">
      <alignment horizontal="center" vertical="center"/>
    </xf>
    <xf numFmtId="165" fontId="14" fillId="13" borderId="54" applyAlignment="1" pivotButton="0" quotePrefix="0" xfId="0">
      <alignment horizontal="center" vertical="center"/>
    </xf>
    <xf numFmtId="165" fontId="15" fillId="14" borderId="5" applyAlignment="1" pivotButton="0" quotePrefix="0" xfId="0">
      <alignment horizontal="center" vertical="center"/>
    </xf>
    <xf numFmtId="165" fontId="15" fillId="14" borderId="53" applyAlignment="1" pivotButton="0" quotePrefix="0" xfId="0">
      <alignment horizontal="center" vertical="center"/>
    </xf>
    <xf numFmtId="165" fontId="15" fillId="15" borderId="47" applyAlignment="1" pivotButton="0" quotePrefix="0" xfId="0">
      <alignment horizontal="center" vertical="center"/>
    </xf>
    <xf numFmtId="165" fontId="15" fillId="15" borderId="55" applyAlignment="1" pivotButton="0" quotePrefix="0" xfId="0">
      <alignment horizontal="center" vertical="center"/>
    </xf>
    <xf numFmtId="165" fontId="16" fillId="12" borderId="5" applyAlignment="1" pivotButton="0" quotePrefix="0" xfId="0">
      <alignment horizontal="center" vertical="center"/>
    </xf>
    <xf numFmtId="165" fontId="16" fillId="12" borderId="53" applyAlignment="1" pivotButton="0" quotePrefix="0" xfId="0">
      <alignment horizontal="center" vertical="center"/>
    </xf>
    <xf numFmtId="165" fontId="16" fillId="13" borderId="7" applyAlignment="1" pivotButton="0" quotePrefix="0" xfId="0">
      <alignment horizontal="center" vertical="center"/>
    </xf>
    <xf numFmtId="165" fontId="16" fillId="13" borderId="54" applyAlignment="1" pivotButton="0" quotePrefix="0" xfId="0">
      <alignment horizontal="center" vertical="center"/>
    </xf>
    <xf numFmtId="165" fontId="10" fillId="14" borderId="5" applyAlignment="1" pivotButton="0" quotePrefix="0" xfId="0">
      <alignment horizontal="center" vertical="center"/>
    </xf>
    <xf numFmtId="165" fontId="10" fillId="14" borderId="53" applyAlignment="1" pivotButton="0" quotePrefix="0" xfId="0">
      <alignment horizontal="center" vertical="center"/>
    </xf>
    <xf numFmtId="165" fontId="10" fillId="15" borderId="47" applyAlignment="1" pivotButton="0" quotePrefix="0" xfId="0">
      <alignment horizontal="center" vertical="center"/>
    </xf>
    <xf numFmtId="165" fontId="10" fillId="15" borderId="55" applyAlignment="1" pivotButton="0" quotePrefix="0" xfId="0">
      <alignment horizontal="center" vertical="center"/>
    </xf>
    <xf numFmtId="0" fontId="33" fillId="0" borderId="12" applyAlignment="1" pivotButton="0" quotePrefix="0" xfId="0">
      <alignment horizontal="right"/>
    </xf>
    <xf numFmtId="0" fontId="9" fillId="9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7" fillId="8" borderId="56" applyAlignment="1" pivotButton="0" quotePrefix="0" xfId="0">
      <alignment horizontal="right" vertical="top" wrapText="1"/>
    </xf>
    <xf numFmtId="0" fontId="17" fillId="16" borderId="56" applyAlignment="1" pivotButton="0" quotePrefix="0" xfId="0">
      <alignment horizontal="right" vertical="top" wrapText="1"/>
    </xf>
    <xf numFmtId="0" fontId="11" fillId="24" borderId="21" applyAlignment="1" pivotButton="0" quotePrefix="0" xfId="0">
      <alignment horizontal="right"/>
    </xf>
    <xf numFmtId="0" fontId="11" fillId="24" borderId="0" applyAlignment="1" pivotButton="0" quotePrefix="0" xfId="0">
      <alignment horizontal="right"/>
    </xf>
    <xf numFmtId="0" fontId="11" fillId="24" borderId="22" applyAlignment="1" pivotButton="0" quotePrefix="0" xfId="0">
      <alignment horizontal="right"/>
    </xf>
    <xf numFmtId="0" fontId="10" fillId="10" borderId="66" applyAlignment="1" pivotButton="0" quotePrefix="0" xfId="0">
      <alignment horizontal="center" vertical="center"/>
    </xf>
    <xf numFmtId="0" fontId="0" fillId="0" borderId="66" pivotButton="0" quotePrefix="0" xfId="0"/>
    <xf numFmtId="0" fontId="13" fillId="11" borderId="67" applyAlignment="1" pivotButton="0" quotePrefix="0" xfId="0">
      <alignment horizontal="right" vertical="center"/>
    </xf>
    <xf numFmtId="165" fontId="14" fillId="12" borderId="68" applyAlignment="1" pivotButton="0" quotePrefix="0" xfId="0">
      <alignment horizontal="center" vertical="center"/>
    </xf>
    <xf numFmtId="165" fontId="14" fillId="13" borderId="69" applyAlignment="1" pivotButton="0" quotePrefix="0" xfId="0">
      <alignment horizontal="center" vertical="center"/>
    </xf>
    <xf numFmtId="165" fontId="15" fillId="14" borderId="68" applyAlignment="1" pivotButton="0" quotePrefix="0" xfId="0">
      <alignment horizontal="center" vertical="center"/>
    </xf>
    <xf numFmtId="165" fontId="15" fillId="15" borderId="71" applyAlignment="1" pivotButton="0" quotePrefix="0" xfId="0">
      <alignment horizontal="center" vertical="center"/>
    </xf>
    <xf numFmtId="0" fontId="13" fillId="16" borderId="67" applyAlignment="1" pivotButton="0" quotePrefix="0" xfId="0">
      <alignment horizontal="right" vertical="center"/>
    </xf>
    <xf numFmtId="165" fontId="16" fillId="12" borderId="68" applyAlignment="1" pivotButton="0" quotePrefix="0" xfId="0">
      <alignment horizontal="center" vertical="center"/>
    </xf>
    <xf numFmtId="165" fontId="16" fillId="13" borderId="69" applyAlignment="1" pivotButton="0" quotePrefix="0" xfId="0">
      <alignment horizontal="center" vertical="center"/>
    </xf>
    <xf numFmtId="165" fontId="10" fillId="14" borderId="68" applyAlignment="1" pivotButton="0" quotePrefix="0" xfId="0">
      <alignment horizontal="center" vertical="center"/>
    </xf>
    <xf numFmtId="165" fontId="10" fillId="15" borderId="7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0" pivotButton="0" quotePrefix="0" xfId="0"/>
    <xf numFmtId="165" fontId="19" fillId="12" borderId="0" pivotButton="0" quotePrefix="0" xfId="0"/>
    <xf numFmtId="165" fontId="19" fillId="13" borderId="6" pivotButton="0" quotePrefix="0" xfId="0"/>
    <xf numFmtId="165" fontId="19" fillId="14" borderId="0" pivotButton="0" quotePrefix="0" xfId="0"/>
    <xf numFmtId="165" fontId="19" fillId="15" borderId="47" pivotButton="0" quotePrefix="0" xfId="0"/>
    <xf numFmtId="165" fontId="19" fillId="12" borderId="5" pivotButton="0" quotePrefix="0" xfId="0"/>
    <xf numFmtId="165" fontId="19" fillId="13" borderId="7" pivotButton="0" quotePrefix="0" xfId="0"/>
    <xf numFmtId="165" fontId="19" fillId="14" borderId="5" pivotButton="0" quotePrefix="0" xfId="0"/>
    <xf numFmtId="165" fontId="19" fillId="15" borderId="48" pivotButton="0" quotePrefix="0" xfId="0"/>
    <xf numFmtId="0" fontId="0" fillId="0" borderId="73" pivotButton="0" quotePrefix="0" xfId="0"/>
    <xf numFmtId="165" fontId="19" fillId="12" borderId="8" pivotButton="0" quotePrefix="0" xfId="0"/>
    <xf numFmtId="165" fontId="19" fillId="13" borderId="9" pivotButton="0" quotePrefix="0" xfId="0"/>
    <xf numFmtId="165" fontId="19" fillId="14" borderId="8" pivotButton="0" quotePrefix="0" xfId="0"/>
    <xf numFmtId="165" fontId="19" fillId="15" borderId="49" pivotButton="0" quotePrefix="0" xfId="0"/>
    <xf numFmtId="165" fontId="12" fillId="18" borderId="0" pivotButton="0" quotePrefix="0" xfId="0"/>
    <xf numFmtId="165" fontId="12" fillId="19" borderId="6" pivotButton="0" quotePrefix="0" xfId="0"/>
    <xf numFmtId="165" fontId="12" fillId="20" borderId="0" pivotButton="0" quotePrefix="0" xfId="0"/>
    <xf numFmtId="165" fontId="12" fillId="21" borderId="48" pivotButton="0" quotePrefix="0" xfId="0"/>
    <xf numFmtId="165" fontId="20" fillId="18" borderId="0" pivotButton="0" quotePrefix="0" xfId="0"/>
    <xf numFmtId="165" fontId="20" fillId="19" borderId="6" pivotButton="0" quotePrefix="0" xfId="0"/>
    <xf numFmtId="165" fontId="20" fillId="20" borderId="0" pivotButton="0" quotePrefix="0" xfId="0"/>
    <xf numFmtId="165" fontId="20" fillId="21" borderId="48" pivotButton="0" quotePrefix="0" xfId="0"/>
    <xf numFmtId="165" fontId="12" fillId="18" borderId="3" pivotButton="0" quotePrefix="0" xfId="0"/>
    <xf numFmtId="165" fontId="12" fillId="19" borderId="4" pivotButton="0" quotePrefix="0" xfId="0"/>
    <xf numFmtId="165" fontId="12" fillId="20" borderId="3" pivotButton="0" quotePrefix="0" xfId="0"/>
    <xf numFmtId="165" fontId="12" fillId="21" borderId="50" pivotButton="0" quotePrefix="0" xfId="0"/>
    <xf numFmtId="165" fontId="12" fillId="15" borderId="48" pivotButton="0" quotePrefix="0" xfId="0"/>
    <xf numFmtId="165" fontId="19" fillId="12" borderId="10" pivotButton="0" quotePrefix="0" xfId="0"/>
    <xf numFmtId="165" fontId="19" fillId="13" borderId="11" pivotButton="0" quotePrefix="0" xfId="0"/>
    <xf numFmtId="165" fontId="19" fillId="14" borderId="10" pivotButton="0" quotePrefix="0" xfId="0"/>
    <xf numFmtId="165" fontId="19" fillId="15" borderId="57" pivotButton="0" quotePrefix="0" xfId="0"/>
  </cellXfs>
  <cellStyles count="1">
    <cellStyle name="Normal" xfId="0" builtinId="0"/>
  </cellStyles>
  <dxfs count="5">
    <dxf>
      <font>
        <b val="1"/>
        <color rgb="FF9C0006"/>
      </font>
      <fill>
        <patternFill patternType="solid">
          <bgColor rgb="FFFDEAEA"/>
        </patternFill>
      </fill>
    </dxf>
    <dxf>
      <font>
        <b val="1"/>
        <color rgb="FF1F4E79"/>
      </font>
      <fill>
        <patternFill patternType="solid">
          <bgColor rgb="FFE7EFF9"/>
        </patternFill>
      </fill>
    </dxf>
    <dxf>
      <font>
        <color rgb="FF000000"/>
      </font>
      <fill>
        <patternFill patternType="solid">
          <bgColor rgb="FFFFF200"/>
        </patternFill>
      </fill>
    </dxf>
    <dxf>
      <font>
        <b val="1"/>
        <color rgb="FF9C0006"/>
      </font>
      <fill>
        <patternFill patternType="solid">
          <bgColor rgb="FFFDEAEA"/>
        </patternFill>
      </fill>
    </dxf>
    <dxf>
      <font>
        <b val="1"/>
        <color rgb="FF1F4E79"/>
      </font>
      <fill>
        <patternFill patternType="solid">
          <bgColor rgb="FFE7EFF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showGridLines="0" rightToLeft="1" zoomScaleNormal="100" workbookViewId="0">
      <selection activeCell="H31" sqref="H31"/>
    </sheetView>
  </sheetViews>
  <sheetFormatPr baseColWidth="8" defaultRowHeight="14.25" customHeight="1"/>
  <cols>
    <col width="20.625" customWidth="1" min="1" max="1"/>
    <col width="31.625" customWidth="1" min="2" max="2"/>
    <col width="16.625" customWidth="1" min="3" max="6"/>
    <col width="20.625" customWidth="1" min="8" max="8"/>
    <col width="31.625" customWidth="1" min="9" max="9"/>
    <col width="16.625" customWidth="1" min="10" max="13"/>
    <col width="10.75" customWidth="1" min="18" max="18"/>
    <col width="8.5" customWidth="1" min="22" max="22"/>
  </cols>
  <sheetData>
    <row r="1" ht="21" customHeight="1" thickBot="1">
      <c r="A1" s="175" t="inlineStr">
        <is>
          <t>תקציב איזון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</row>
    <row r="2" ht="15" customHeight="1" thickBot="1" thickTop="1">
      <c r="A2" s="142" t="inlineStr">
        <is>
          <t>מטרת תקציב איזון הינו לבנות תקציב שמאזן בין הכנסות להוצאות. מטרטינו העיקרית להגיע ליתרה של 0.00 ₪ ע"י שינויים בין הקטגוריות השונות. חובה לשמור על איזור בין סה"כ הכנסות לסה"כ הוצאות</t>
        </is>
      </c>
      <c r="R2" s="8" t="n"/>
      <c r="V2" s="8" t="inlineStr">
        <is>
          <t>תקציב הון</t>
        </is>
      </c>
    </row>
    <row r="3" ht="12" customHeight="1">
      <c r="A3" s="177" t="inlineStr">
        <is>
          <t>סיכום הוצאות</t>
        </is>
      </c>
      <c r="B3" s="63" t="n"/>
      <c r="C3" s="178">
        <f>C13+C25+C32+C40+C50+C56+C69+C75+C85+C98+C106+C113+C122+C127+C131+C138</f>
        <v/>
      </c>
      <c r="D3" s="179">
        <f>D13+D25+D32+D40+D50+D56+D69+D75+D85+D98+D106+D113+D122+D127+D131+D138</f>
        <v/>
      </c>
      <c r="E3" s="180">
        <f>E13+E25+E32+E40+E50+E56+E69+E75+E85+E98+E106+E113+E122+E127+E131+E138</f>
        <v/>
      </c>
      <c r="F3" s="181">
        <f>F13+F25+F32+F40+F50+F56+F69+F75+F85+F98+F106+F113+F122+F127+F131+F138</f>
        <v/>
      </c>
      <c r="H3" s="182" t="inlineStr">
        <is>
          <t>סיכום הכנסות</t>
        </is>
      </c>
      <c r="I3" s="63" t="n"/>
      <c r="J3" s="183">
        <f>J12+J20+J27</f>
        <v/>
      </c>
      <c r="K3" s="184">
        <f>K12+K20+K27</f>
        <v/>
      </c>
      <c r="L3" s="185">
        <f>L12+L20+L27</f>
        <v/>
      </c>
      <c r="M3" s="186">
        <f>M12+M20+M27</f>
        <v/>
      </c>
      <c r="R3" s="8" t="n"/>
      <c r="V3" s="8" t="n"/>
    </row>
    <row r="4" ht="12" customHeight="1" thickBot="1">
      <c r="A4" s="187" t="n"/>
      <c r="B4" s="188" t="n"/>
      <c r="C4" s="188" t="n"/>
      <c r="D4" s="189" t="n"/>
      <c r="E4" s="188" t="n"/>
      <c r="F4" s="190" t="n"/>
      <c r="H4" s="187" t="n"/>
      <c r="I4" s="188" t="n"/>
      <c r="J4" s="188" t="n"/>
      <c r="K4" s="189" t="n"/>
      <c r="L4" s="188" t="n"/>
      <c r="M4" s="190" t="n"/>
      <c r="R4" s="8" t="n"/>
      <c r="V4" s="8" t="n"/>
    </row>
    <row r="5" ht="15" customHeight="1">
      <c r="A5" s="111" t="n"/>
      <c r="B5" s="112" t="n"/>
      <c r="C5" s="112" t="n"/>
      <c r="D5" s="112" t="n"/>
      <c r="E5" s="112" t="n"/>
      <c r="F5" s="113" t="n"/>
      <c r="H5" s="49" t="n"/>
      <c r="M5" s="50" t="n"/>
      <c r="R5" s="8" t="n"/>
      <c r="V5" s="8" t="n"/>
    </row>
    <row r="6" ht="15.75" customHeight="1" thickBot="1">
      <c r="A6" s="97" t="inlineStr">
        <is>
          <t>קטגוריה</t>
        </is>
      </c>
      <c r="B6" s="9" t="inlineStr">
        <is>
          <t>סעיפים</t>
        </is>
      </c>
      <c r="C6" s="10" t="inlineStr">
        <is>
          <t>שיקוף</t>
        </is>
      </c>
      <c r="D6" s="11" t="inlineStr">
        <is>
          <t>איזון</t>
        </is>
      </c>
      <c r="E6" s="12" t="inlineStr">
        <is>
          <t>יתרה</t>
        </is>
      </c>
      <c r="F6" s="98" t="inlineStr">
        <is>
          <t>בפועל</t>
        </is>
      </c>
      <c r="H6" s="97" t="inlineStr">
        <is>
          <t>קטגוריה</t>
        </is>
      </c>
      <c r="I6" s="9" t="inlineStr">
        <is>
          <t>סעיפים</t>
        </is>
      </c>
      <c r="J6" s="10" t="inlineStr">
        <is>
          <t>שיקוף</t>
        </is>
      </c>
      <c r="K6" s="11" t="inlineStr">
        <is>
          <t>איזון</t>
        </is>
      </c>
      <c r="L6" s="12" t="inlineStr">
        <is>
          <t>יתרה</t>
        </is>
      </c>
      <c r="M6" s="98" t="inlineStr">
        <is>
          <t>בפועל</t>
        </is>
      </c>
    </row>
    <row r="7" ht="15" customHeight="1" thickBot="1">
      <c r="A7" s="170" t="inlineStr">
        <is>
          <t>מזון ופארמה</t>
        </is>
      </c>
      <c r="B7" s="114" t="inlineStr">
        <is>
          <t>מזון</t>
        </is>
      </c>
      <c r="C7" s="191" t="n">
        <v>0</v>
      </c>
      <c r="D7" s="192" t="n">
        <v>0</v>
      </c>
      <c r="E7" s="193">
        <f>C7-D7</f>
        <v/>
      </c>
      <c r="F7" s="194" t="n">
        <v>0</v>
      </c>
      <c r="H7" s="171" t="inlineStr">
        <is>
          <t>שכר</t>
        </is>
      </c>
      <c r="I7" s="14" t="inlineStr">
        <is>
          <t>שכר עבודה 1</t>
        </is>
      </c>
      <c r="J7" s="195" t="n">
        <v>0</v>
      </c>
      <c r="K7" s="196" t="n">
        <v>0</v>
      </c>
      <c r="L7" s="197">
        <f>K7-J7</f>
        <v/>
      </c>
      <c r="M7" s="194" t="n">
        <v>0</v>
      </c>
    </row>
    <row r="8" ht="15" customHeight="1" thickBot="1">
      <c r="A8" s="49" t="n"/>
      <c r="B8" s="114" t="inlineStr">
        <is>
          <t>פארמה וטואלטיקה</t>
        </is>
      </c>
      <c r="C8" s="191" t="n">
        <v>0</v>
      </c>
      <c r="D8" s="192" t="n">
        <v>0</v>
      </c>
      <c r="E8" s="193">
        <f>C8-D8</f>
        <v/>
      </c>
      <c r="F8" s="198" t="n">
        <v>0</v>
      </c>
      <c r="H8" s="49" t="n"/>
      <c r="I8" t="inlineStr">
        <is>
          <t>שכר עבודה 2</t>
        </is>
      </c>
      <c r="J8" s="191" t="n">
        <v>0</v>
      </c>
      <c r="K8" s="192" t="n">
        <v>0</v>
      </c>
      <c r="L8" s="193">
        <f>K8-J8</f>
        <v/>
      </c>
      <c r="M8" s="198" t="n">
        <v>0</v>
      </c>
    </row>
    <row r="9" ht="15" customHeight="1" thickBot="1">
      <c r="A9" s="49" t="n"/>
      <c r="B9" s="114" t="inlineStr">
        <is>
          <t>בר מים</t>
        </is>
      </c>
      <c r="C9" s="191" t="n">
        <v>0</v>
      </c>
      <c r="D9" s="192" t="n">
        <v>0</v>
      </c>
      <c r="E9" s="193">
        <f>C9-D9</f>
        <v/>
      </c>
      <c r="F9" s="198" t="n">
        <v>0</v>
      </c>
      <c r="H9" s="49" t="n"/>
      <c r="I9" t="inlineStr">
        <is>
          <t>שכר עבודה 3</t>
        </is>
      </c>
      <c r="J9" s="191" t="n">
        <v>0</v>
      </c>
      <c r="K9" s="192" t="n">
        <v>0</v>
      </c>
      <c r="L9" s="193">
        <f>K9-J9</f>
        <v/>
      </c>
      <c r="M9" s="198" t="n">
        <v>0</v>
      </c>
    </row>
    <row r="10" ht="15" customHeight="1" thickBot="1">
      <c r="A10" s="49" t="n"/>
      <c r="B10" s="114" t="inlineStr">
        <is>
          <t>אוכל מוכן / בעבודה</t>
        </is>
      </c>
      <c r="C10" s="191" t="n">
        <v>0</v>
      </c>
      <c r="D10" s="192" t="n">
        <v>0</v>
      </c>
      <c r="E10" s="193">
        <f>C10-D10</f>
        <v/>
      </c>
      <c r="F10" s="198" t="n">
        <v>0</v>
      </c>
      <c r="H10" s="49" t="n"/>
      <c r="I10" t="inlineStr">
        <is>
          <t>שכר עבודה 4</t>
        </is>
      </c>
      <c r="J10" s="191" t="n">
        <v>0</v>
      </c>
      <c r="K10" s="192" t="n">
        <v>0</v>
      </c>
      <c r="L10" s="193">
        <f>K10-J10</f>
        <v/>
      </c>
      <c r="M10" s="198" t="n">
        <v>0</v>
      </c>
    </row>
    <row r="11" ht="15" customHeight="1" thickBot="1">
      <c r="A11" s="49" t="n"/>
      <c r="B11" s="114" t="inlineStr">
        <is>
          <t>עישון</t>
        </is>
      </c>
      <c r="C11" s="191" t="n">
        <v>0</v>
      </c>
      <c r="D11" s="192" t="n">
        <v>0</v>
      </c>
      <c r="E11" s="193">
        <f>C11-D11</f>
        <v/>
      </c>
      <c r="F11" s="198" t="n">
        <v>0</v>
      </c>
      <c r="H11" s="199" t="n"/>
      <c r="I11" s="18" t="inlineStr">
        <is>
          <t>שכר - כללי</t>
        </is>
      </c>
      <c r="J11" s="200" t="n">
        <v>0</v>
      </c>
      <c r="K11" s="201" t="n">
        <v>0</v>
      </c>
      <c r="L11" s="202">
        <f>K11-J11</f>
        <v/>
      </c>
      <c r="M11" s="203" t="n">
        <v>0</v>
      </c>
    </row>
    <row r="12" ht="15" customHeight="1">
      <c r="A12" s="199" t="n"/>
      <c r="B12" s="22" t="inlineStr">
        <is>
          <t>מזון ופארמה - כללי</t>
        </is>
      </c>
      <c r="C12" s="200" t="n">
        <v>0</v>
      </c>
      <c r="D12" s="201" t="n">
        <v>0</v>
      </c>
      <c r="E12" s="202">
        <f>C12-D12</f>
        <v/>
      </c>
      <c r="F12" s="203" t="n">
        <v>0</v>
      </c>
      <c r="H12" s="136" t="inlineStr">
        <is>
          <t>סה"כ תקציב - שכר</t>
        </is>
      </c>
      <c r="J12" s="204">
        <f>SUM(J7:J11)</f>
        <v/>
      </c>
      <c r="K12" s="205">
        <f>SUM(K7:K11)</f>
        <v/>
      </c>
      <c r="L12" s="206">
        <f>SUM(L7:L11)</f>
        <v/>
      </c>
      <c r="M12" s="207">
        <f>SUM(M7:M11)</f>
        <v/>
      </c>
    </row>
    <row r="13" ht="15" customHeight="1">
      <c r="A13" s="136" t="inlineStr">
        <is>
          <t>סה"כ תקציב - מזון ופארמה</t>
        </is>
      </c>
      <c r="C13" s="208">
        <f>SUM(C7:C12)</f>
        <v/>
      </c>
      <c r="D13" s="209">
        <f>SUM(D7:D12)</f>
        <v/>
      </c>
      <c r="E13" s="210">
        <f>SUM(E7:E12)</f>
        <v/>
      </c>
      <c r="F13" s="211">
        <f>SUM(F7:F12)</f>
        <v/>
      </c>
      <c r="H13" s="49" t="n"/>
      <c r="M13" s="50" t="n"/>
    </row>
    <row r="14" ht="15.75" customHeight="1" thickBot="1">
      <c r="A14" s="49" t="n"/>
      <c r="F14" s="50" t="n"/>
      <c r="H14" s="97" t="inlineStr">
        <is>
          <t>קטגוריה</t>
        </is>
      </c>
      <c r="I14" s="9" t="inlineStr">
        <is>
          <t>סעיפים</t>
        </is>
      </c>
      <c r="J14" s="10" t="inlineStr">
        <is>
          <t>שיקוף</t>
        </is>
      </c>
      <c r="K14" s="11" t="inlineStr">
        <is>
          <t>איזון</t>
        </is>
      </c>
      <c r="L14" s="12" t="inlineStr">
        <is>
          <t>יתרה</t>
        </is>
      </c>
      <c r="M14" s="98" t="inlineStr">
        <is>
          <t>בפועל</t>
        </is>
      </c>
    </row>
    <row r="15" ht="15.75" customHeight="1" thickBot="1">
      <c r="A15" s="97" t="inlineStr">
        <is>
          <t>קטגוריה</t>
        </is>
      </c>
      <c r="B15" s="9" t="inlineStr">
        <is>
          <t>סעיפים</t>
        </is>
      </c>
      <c r="C15" s="10" t="inlineStr">
        <is>
          <t>שיקוף</t>
        </is>
      </c>
      <c r="D15" s="11" t="inlineStr">
        <is>
          <t>איזון</t>
        </is>
      </c>
      <c r="E15" s="12" t="inlineStr">
        <is>
          <t>יתרה</t>
        </is>
      </c>
      <c r="F15" s="98" t="inlineStr">
        <is>
          <t>בפועל</t>
        </is>
      </c>
      <c r="H15" s="171" t="inlineStr">
        <is>
          <t>קצבאות</t>
        </is>
      </c>
      <c r="I15" s="14" t="inlineStr">
        <is>
          <t>קצבת ילדים</t>
        </is>
      </c>
      <c r="J15" s="195" t="n">
        <v>0</v>
      </c>
      <c r="K15" s="196" t="n">
        <v>0</v>
      </c>
      <c r="L15" s="197">
        <f>K15-J15</f>
        <v/>
      </c>
      <c r="M15" s="194" t="n">
        <v>0</v>
      </c>
    </row>
    <row r="16" ht="15" customHeight="1" thickBot="1">
      <c r="A16" s="170" t="inlineStr">
        <is>
          <t>פנאי, בילוי ותחביבים</t>
        </is>
      </c>
      <c r="B16" s="14" t="inlineStr">
        <is>
          <t>מסעדה ואוכל בחוץ</t>
        </is>
      </c>
      <c r="C16" s="195" t="n">
        <v>0</v>
      </c>
      <c r="D16" s="196" t="n">
        <v>0</v>
      </c>
      <c r="E16" s="197">
        <f>C16-D16</f>
        <v/>
      </c>
      <c r="F16" s="194" t="n">
        <v>0</v>
      </c>
      <c r="H16" s="49" t="n"/>
      <c r="I16" t="inlineStr">
        <is>
          <t>קצבת נכות</t>
        </is>
      </c>
      <c r="J16" s="191" t="n">
        <v>0</v>
      </c>
      <c r="K16" s="192" t="n">
        <v>0</v>
      </c>
      <c r="L16" s="193">
        <f>K16-J16</f>
        <v/>
      </c>
      <c r="M16" s="198" t="n">
        <v>0</v>
      </c>
    </row>
    <row r="17" ht="15" customHeight="1" thickBot="1">
      <c r="A17" s="49" t="n"/>
      <c r="B17" t="inlineStr">
        <is>
          <t>ספורט</t>
        </is>
      </c>
      <c r="C17" s="191" t="n">
        <v>0</v>
      </c>
      <c r="D17" s="192" t="n">
        <v>0</v>
      </c>
      <c r="E17" s="193">
        <f>C17-D17</f>
        <v/>
      </c>
      <c r="F17" s="198" t="n">
        <v>0</v>
      </c>
      <c r="H17" s="49" t="n"/>
      <c r="I17" t="inlineStr">
        <is>
          <t>סיוע בשכר דירה</t>
        </is>
      </c>
      <c r="J17" s="191" t="n">
        <v>0</v>
      </c>
      <c r="K17" s="192" t="n">
        <v>0</v>
      </c>
      <c r="L17" s="193">
        <f>K17-J17</f>
        <v/>
      </c>
      <c r="M17" s="198" t="n">
        <v>0</v>
      </c>
    </row>
    <row r="18" ht="15" customHeight="1" thickBot="1">
      <c r="A18" s="49" t="n"/>
      <c r="B18" t="inlineStr">
        <is>
          <t>חופשות</t>
        </is>
      </c>
      <c r="C18" s="191" t="n">
        <v>0</v>
      </c>
      <c r="D18" s="192" t="n">
        <v>0</v>
      </c>
      <c r="E18" s="193">
        <f>C18-D18</f>
        <v/>
      </c>
      <c r="F18" s="198" t="n">
        <v>0</v>
      </c>
      <c r="H18" s="49" t="n"/>
      <c r="I18" t="inlineStr">
        <is>
          <t>קצבת זיקנה</t>
        </is>
      </c>
      <c r="J18" s="191" t="n">
        <v>0</v>
      </c>
      <c r="K18" s="192" t="n">
        <v>0</v>
      </c>
      <c r="L18" s="193">
        <f>K18-J18</f>
        <v/>
      </c>
      <c r="M18" s="198" t="n">
        <v>0</v>
      </c>
    </row>
    <row r="19" ht="15" customHeight="1" thickBot="1">
      <c r="A19" s="49" t="n"/>
      <c r="B19" t="inlineStr">
        <is>
          <t>בילויים ומופעים</t>
        </is>
      </c>
      <c r="C19" s="191" t="n">
        <v>0</v>
      </c>
      <c r="D19" s="192" t="n">
        <v>0</v>
      </c>
      <c r="E19" s="193">
        <f>C19-D19</f>
        <v/>
      </c>
      <c r="F19" s="198" t="n">
        <v>0</v>
      </c>
      <c r="H19" s="199" t="n"/>
      <c r="I19" s="18" t="inlineStr">
        <is>
          <t>קצבאות - כללי</t>
        </is>
      </c>
      <c r="J19" s="200" t="n">
        <v>0</v>
      </c>
      <c r="K19" s="201" t="n">
        <v>0</v>
      </c>
      <c r="L19" s="202">
        <f>K19-J19</f>
        <v/>
      </c>
      <c r="M19" s="203" t="n">
        <v>0</v>
      </c>
    </row>
    <row r="20" ht="15" customHeight="1" thickBot="1">
      <c r="A20" s="49" t="n"/>
      <c r="B20" t="inlineStr">
        <is>
          <t>חיות מחמד</t>
        </is>
      </c>
      <c r="C20" s="191" t="n">
        <v>0</v>
      </c>
      <c r="D20" s="192" t="n">
        <v>0</v>
      </c>
      <c r="E20" s="193">
        <f>C20-D20</f>
        <v/>
      </c>
      <c r="F20" s="198" t="n">
        <v>0</v>
      </c>
      <c r="H20" s="136" t="inlineStr">
        <is>
          <t>סה"כ תקציב - קצבאות</t>
        </is>
      </c>
      <c r="J20" s="204">
        <f>SUM(J15:J19)</f>
        <v/>
      </c>
      <c r="K20" s="205">
        <f>SUM(K15:K19)</f>
        <v/>
      </c>
      <c r="L20" s="206">
        <f>SUM(L15:L19)</f>
        <v/>
      </c>
      <c r="M20" s="207">
        <f>SUM(M15:M19)</f>
        <v/>
      </c>
    </row>
    <row r="21" ht="15" customHeight="1" thickBot="1">
      <c r="A21" s="49" t="n"/>
      <c r="B21" t="inlineStr">
        <is>
          <t>חוגי מבוגרים</t>
        </is>
      </c>
      <c r="C21" s="191" t="n">
        <v>0</v>
      </c>
      <c r="D21" s="192" t="n">
        <v>0</v>
      </c>
      <c r="E21" s="193">
        <f>C21-D21</f>
        <v/>
      </c>
      <c r="F21" s="198" t="n">
        <v>0</v>
      </c>
      <c r="H21" s="49" t="n"/>
      <c r="M21" s="50" t="n"/>
    </row>
    <row r="22" ht="15.75" customHeight="1" thickBot="1">
      <c r="A22" s="49" t="n"/>
      <c r="B22" t="inlineStr">
        <is>
          <t>בייביסיטר</t>
        </is>
      </c>
      <c r="C22" s="191" t="n">
        <v>0</v>
      </c>
      <c r="D22" s="192" t="n">
        <v>0</v>
      </c>
      <c r="E22" s="193">
        <f>C22-D22</f>
        <v/>
      </c>
      <c r="F22" s="198" t="n">
        <v>0</v>
      </c>
      <c r="H22" s="97" t="inlineStr">
        <is>
          <t>קטגוריה</t>
        </is>
      </c>
      <c r="I22" s="9" t="inlineStr">
        <is>
          <t>סעיפים</t>
        </is>
      </c>
      <c r="J22" s="10" t="inlineStr">
        <is>
          <t>שיקוף</t>
        </is>
      </c>
      <c r="K22" s="11" t="inlineStr">
        <is>
          <t>איזון</t>
        </is>
      </c>
      <c r="L22" s="12" t="inlineStr">
        <is>
          <t>יתרה</t>
        </is>
      </c>
      <c r="M22" s="98" t="inlineStr">
        <is>
          <t>בפועל</t>
        </is>
      </c>
    </row>
    <row r="23" ht="15" customHeight="1" thickBot="1">
      <c r="A23" s="49" t="n"/>
      <c r="B23" t="inlineStr">
        <is>
          <t>הגרלות</t>
        </is>
      </c>
      <c r="C23" s="191" t="n">
        <v>0</v>
      </c>
      <c r="D23" s="192" t="n">
        <v>0</v>
      </c>
      <c r="E23" s="193">
        <f>C23-D23</f>
        <v/>
      </c>
      <c r="F23" s="198" t="n">
        <v>0</v>
      </c>
      <c r="H23" s="171" t="inlineStr">
        <is>
          <t>הכנסות שונות</t>
        </is>
      </c>
      <c r="I23" s="14" t="inlineStr">
        <is>
          <t>קבלת מזונות</t>
        </is>
      </c>
      <c r="J23" s="195" t="n">
        <v>0</v>
      </c>
      <c r="K23" s="196" t="n">
        <v>0</v>
      </c>
      <c r="L23" s="197">
        <f>K23-J23</f>
        <v/>
      </c>
      <c r="M23" s="194" t="n">
        <v>0</v>
      </c>
    </row>
    <row r="24" ht="15" customHeight="1" thickBot="1">
      <c r="A24" s="199" t="n"/>
      <c r="B24" s="18" t="inlineStr">
        <is>
          <t>פנאי - כללי</t>
        </is>
      </c>
      <c r="C24" s="200" t="n">
        <v>0</v>
      </c>
      <c r="D24" s="201" t="n">
        <v>0</v>
      </c>
      <c r="E24" s="202">
        <f>C24-D24</f>
        <v/>
      </c>
      <c r="F24" s="203" t="n">
        <v>0</v>
      </c>
      <c r="H24" s="49" t="n"/>
      <c r="I24" t="inlineStr">
        <is>
          <t>הכנסה מנכס</t>
        </is>
      </c>
      <c r="J24" s="191" t="n">
        <v>0</v>
      </c>
      <c r="K24" s="192" t="n">
        <v>0</v>
      </c>
      <c r="L24" s="193">
        <f>K24-J24</f>
        <v/>
      </c>
      <c r="M24" s="198" t="n">
        <v>0</v>
      </c>
    </row>
    <row r="25" ht="15" customHeight="1" thickBot="1">
      <c r="A25" s="136" t="inlineStr">
        <is>
          <t>סה"כ תקציב - פנאי, בילוי ותחביבים</t>
        </is>
      </c>
      <c r="C25" s="204">
        <f>SUM(C16:C24)</f>
        <v/>
      </c>
      <c r="D25" s="205">
        <f>SUM(D16:D24)</f>
        <v/>
      </c>
      <c r="E25" s="206">
        <f>SUM(E16:E24)</f>
        <v/>
      </c>
      <c r="F25" s="207">
        <f>SUM(F16:F24)</f>
        <v/>
      </c>
      <c r="H25" s="49" t="n"/>
      <c r="I25" t="inlineStr">
        <is>
          <t>עזרה מההורים</t>
        </is>
      </c>
      <c r="J25" s="191" t="n">
        <v>0</v>
      </c>
      <c r="K25" s="192" t="n">
        <v>0</v>
      </c>
      <c r="L25" s="193">
        <f>K25-J25</f>
        <v/>
      </c>
      <c r="M25" s="198" t="n">
        <v>0</v>
      </c>
    </row>
    <row r="26">
      <c r="A26" s="49" t="n"/>
      <c r="F26" s="50" t="n"/>
      <c r="H26" s="199" t="n"/>
      <c r="I26" s="18" t="inlineStr">
        <is>
          <t>הכנסות שונות - כללי</t>
        </is>
      </c>
      <c r="J26" s="200" t="n">
        <v>0</v>
      </c>
      <c r="K26" s="201" t="n">
        <v>0</v>
      </c>
      <c r="L26" s="202">
        <f>K26-J26</f>
        <v/>
      </c>
      <c r="M26" s="203" t="n">
        <v>0</v>
      </c>
    </row>
    <row r="27" ht="15.75" customHeight="1" thickBot="1">
      <c r="A27" s="97" t="inlineStr">
        <is>
          <t>קטגוריה</t>
        </is>
      </c>
      <c r="B27" s="9" t="inlineStr">
        <is>
          <t>סעיפים</t>
        </is>
      </c>
      <c r="C27" s="10" t="inlineStr">
        <is>
          <t>שיקוף</t>
        </is>
      </c>
      <c r="D27" s="11" t="inlineStr">
        <is>
          <t>איזון</t>
        </is>
      </c>
      <c r="E27" s="12" t="inlineStr">
        <is>
          <t>יתרה</t>
        </is>
      </c>
      <c r="F27" s="98" t="inlineStr">
        <is>
          <t>בפועל</t>
        </is>
      </c>
      <c r="H27" s="139" t="inlineStr">
        <is>
          <t>סה"כ תקציב - הכנסות שונות</t>
        </is>
      </c>
      <c r="I27" s="188" t="n"/>
      <c r="J27" s="212">
        <f>SUM(J23:J26)</f>
        <v/>
      </c>
      <c r="K27" s="213">
        <f>SUM(K23:K26)</f>
        <v/>
      </c>
      <c r="L27" s="214">
        <f>SUM(L23:L26)</f>
        <v/>
      </c>
      <c r="M27" s="215">
        <f>SUM(M23:M26)</f>
        <v/>
      </c>
    </row>
    <row r="28" ht="15" customHeight="1" thickBot="1">
      <c r="A28" s="170" t="inlineStr">
        <is>
          <t>ביגוד והנעלה</t>
        </is>
      </c>
      <c r="B28" s="14" t="inlineStr">
        <is>
          <t>ביגוד הורים</t>
        </is>
      </c>
      <c r="C28" s="195" t="n">
        <v>0</v>
      </c>
      <c r="D28" s="196" t="n">
        <v>0</v>
      </c>
      <c r="E28" s="197">
        <f>C28-D28</f>
        <v/>
      </c>
      <c r="F28" s="194" t="n">
        <v>0</v>
      </c>
    </row>
    <row r="29" ht="15" customHeight="1" thickBot="1">
      <c r="A29" s="49" t="n"/>
      <c r="B29" t="inlineStr">
        <is>
          <t>ביגוד ילדים</t>
        </is>
      </c>
      <c r="C29" s="191" t="n">
        <v>0</v>
      </c>
      <c r="D29" s="192" t="n">
        <v>0</v>
      </c>
      <c r="E29" s="193">
        <f>C29-D29</f>
        <v/>
      </c>
      <c r="F29" s="198" t="n">
        <v>0</v>
      </c>
    </row>
    <row r="30" ht="15" customHeight="1" thickBot="1">
      <c r="A30" s="49" t="n"/>
      <c r="B30" t="inlineStr">
        <is>
          <t>נעליים</t>
        </is>
      </c>
      <c r="C30" s="191" t="n">
        <v>0</v>
      </c>
      <c r="D30" s="192" t="n">
        <v>0</v>
      </c>
      <c r="E30" s="193">
        <f>C30-D30</f>
        <v/>
      </c>
      <c r="F30" s="198" t="n">
        <v>0</v>
      </c>
    </row>
    <row r="31">
      <c r="A31" s="199" t="n"/>
      <c r="B31" s="18" t="inlineStr">
        <is>
          <t>ביגוד והנעלה - כללי</t>
        </is>
      </c>
      <c r="C31" s="200" t="n">
        <v>0</v>
      </c>
      <c r="D31" s="201" t="n">
        <v>0</v>
      </c>
      <c r="E31" s="202">
        <f>C31-D31</f>
        <v/>
      </c>
      <c r="F31" s="203" t="n">
        <v>0</v>
      </c>
    </row>
    <row r="32" ht="15" customHeight="1">
      <c r="A32" s="136" t="inlineStr">
        <is>
          <t>סה"כ תקציב - ביגוד והנעלה</t>
        </is>
      </c>
      <c r="C32" s="204">
        <f>SUM(C28:C31)</f>
        <v/>
      </c>
      <c r="D32" s="205">
        <f>SUM(D28:D31)</f>
        <v/>
      </c>
      <c r="E32" s="206">
        <f>SUM(E28:E31)</f>
        <v/>
      </c>
      <c r="F32" s="207">
        <f>SUM(F28:F31)</f>
        <v/>
      </c>
    </row>
    <row r="33" ht="14.25" customHeight="1">
      <c r="A33" s="49" t="n"/>
      <c r="F33" s="50" t="n"/>
    </row>
    <row r="34" ht="15.75" customHeight="1" thickBot="1">
      <c r="A34" s="97" t="inlineStr">
        <is>
          <t>קטגוריה</t>
        </is>
      </c>
      <c r="B34" s="9" t="inlineStr">
        <is>
          <t>סעיפים</t>
        </is>
      </c>
      <c r="C34" s="10" t="inlineStr">
        <is>
          <t>שיקוף</t>
        </is>
      </c>
      <c r="D34" s="11" t="inlineStr">
        <is>
          <t>איזון</t>
        </is>
      </c>
      <c r="E34" s="12" t="inlineStr">
        <is>
          <t>יתרה</t>
        </is>
      </c>
      <c r="F34" s="98" t="inlineStr">
        <is>
          <t>בפועל</t>
        </is>
      </c>
    </row>
    <row r="35" ht="15" customHeight="1" thickBot="1">
      <c r="A35" s="170" t="inlineStr">
        <is>
          <t>תכולת בית</t>
        </is>
      </c>
      <c r="B35" s="14" t="inlineStr">
        <is>
          <t>ריהוט</t>
        </is>
      </c>
      <c r="C35" s="195" t="n">
        <v>0</v>
      </c>
      <c r="D35" s="196" t="n">
        <v>0</v>
      </c>
      <c r="E35" s="197">
        <f>C35-D35</f>
        <v/>
      </c>
      <c r="F35" s="194" t="n">
        <v>0</v>
      </c>
    </row>
    <row r="36" ht="15" customHeight="1" thickBot="1">
      <c r="A36" s="49" t="n"/>
      <c r="B36" t="inlineStr">
        <is>
          <t>מוצרי חשמל ואלקטרוניקה</t>
        </is>
      </c>
      <c r="C36" s="191" t="n">
        <v>0</v>
      </c>
      <c r="D36" s="192" t="n">
        <v>0</v>
      </c>
      <c r="E36" s="193">
        <f>C36-D36</f>
        <v/>
      </c>
      <c r="F36" s="198" t="n">
        <v>0</v>
      </c>
    </row>
    <row r="37" ht="15" customHeight="1" thickBot="1">
      <c r="A37" s="49" t="n"/>
      <c r="B37" t="inlineStr">
        <is>
          <t>משחקים, צעצועים וספרים</t>
        </is>
      </c>
      <c r="C37" s="191" t="n">
        <v>0</v>
      </c>
      <c r="D37" s="192" t="n">
        <v>0</v>
      </c>
      <c r="E37" s="193">
        <f>C37-D37</f>
        <v/>
      </c>
      <c r="F37" s="198" t="n">
        <v>0</v>
      </c>
    </row>
    <row r="38" ht="15" customHeight="1" thickBot="1">
      <c r="A38" s="49" t="n"/>
      <c r="B38" t="inlineStr">
        <is>
          <t>כלי בית</t>
        </is>
      </c>
      <c r="C38" s="191" t="n">
        <v>0</v>
      </c>
      <c r="D38" s="192" t="n">
        <v>0</v>
      </c>
      <c r="E38" s="193">
        <f>C38-D38</f>
        <v/>
      </c>
      <c r="F38" s="198" t="n">
        <v>0</v>
      </c>
    </row>
    <row r="39">
      <c r="A39" s="199" t="n"/>
      <c r="B39" s="18" t="inlineStr">
        <is>
          <t>תכולת בית - כללי</t>
        </is>
      </c>
      <c r="C39" s="200" t="n">
        <v>0</v>
      </c>
      <c r="D39" s="201" t="n">
        <v>0</v>
      </c>
      <c r="E39" s="202">
        <f>C39-D39</f>
        <v/>
      </c>
      <c r="F39" s="203" t="n">
        <v>0</v>
      </c>
    </row>
    <row r="40" ht="15" customHeight="1">
      <c r="A40" s="136" t="inlineStr">
        <is>
          <t>סה"כ תקציב - תכולת בית</t>
        </is>
      </c>
      <c r="C40" s="204">
        <f>SUM(C35:C39)</f>
        <v/>
      </c>
      <c r="D40" s="205">
        <f>SUM(D35:D39)</f>
        <v/>
      </c>
      <c r="E40" s="206">
        <f>SUM(E35:E39)</f>
        <v/>
      </c>
      <c r="F40" s="207">
        <f>SUM(F35:F39)</f>
        <v/>
      </c>
    </row>
    <row r="41" ht="14.25" customHeight="1">
      <c r="A41" s="49" t="n"/>
      <c r="F41" s="50" t="n"/>
    </row>
    <row r="42" ht="15.75" customHeight="1" thickBot="1">
      <c r="A42" s="97" t="inlineStr">
        <is>
          <t>קטגוריה</t>
        </is>
      </c>
      <c r="B42" s="9" t="inlineStr">
        <is>
          <t>סעיפים</t>
        </is>
      </c>
      <c r="C42" s="10" t="inlineStr">
        <is>
          <t>שיקוף</t>
        </is>
      </c>
      <c r="D42" s="11" t="inlineStr">
        <is>
          <t>איזון</t>
        </is>
      </c>
      <c r="E42" s="12" t="inlineStr">
        <is>
          <t>יתרה</t>
        </is>
      </c>
      <c r="F42" s="98" t="inlineStr">
        <is>
          <t>בפועל</t>
        </is>
      </c>
    </row>
    <row r="43" ht="15" customHeight="1" thickBot="1">
      <c r="A43" s="170" t="inlineStr">
        <is>
          <t>אחזקת בית</t>
        </is>
      </c>
      <c r="B43" s="14" t="inlineStr">
        <is>
          <t>חשמל</t>
        </is>
      </c>
      <c r="C43" s="195" t="n">
        <v>0</v>
      </c>
      <c r="D43" s="196" t="n">
        <v>0</v>
      </c>
      <c r="E43" s="197">
        <f>C43-D43</f>
        <v/>
      </c>
      <c r="F43" s="194" t="n">
        <v>0</v>
      </c>
    </row>
    <row r="44" ht="15" customHeight="1" thickBot="1">
      <c r="A44" s="49" t="n"/>
      <c r="B44" t="inlineStr">
        <is>
          <t>מים וביוב</t>
        </is>
      </c>
      <c r="C44" s="191" t="n">
        <v>0</v>
      </c>
      <c r="D44" s="192" t="n">
        <v>0</v>
      </c>
      <c r="E44" s="193">
        <f>C44-D44</f>
        <v/>
      </c>
      <c r="F44" s="198" t="n">
        <v>0</v>
      </c>
    </row>
    <row r="45" ht="15" customHeight="1" thickBot="1">
      <c r="A45" s="49" t="n"/>
      <c r="B45" t="inlineStr">
        <is>
          <t>גז</t>
        </is>
      </c>
      <c r="C45" s="191" t="n">
        <v>0</v>
      </c>
      <c r="D45" s="192" t="n">
        <v>0</v>
      </c>
      <c r="E45" s="193">
        <f>C45-D45</f>
        <v/>
      </c>
      <c r="F45" s="198" t="n">
        <v>0</v>
      </c>
    </row>
    <row r="46" ht="15" customHeight="1" thickBot="1">
      <c r="A46" s="49" t="n"/>
      <c r="B46" t="inlineStr">
        <is>
          <t>ניקיון</t>
        </is>
      </c>
      <c r="C46" s="191" t="n">
        <v>0</v>
      </c>
      <c r="D46" s="192" t="n">
        <v>0</v>
      </c>
      <c r="E46" s="193">
        <f>C46-D46</f>
        <v/>
      </c>
      <c r="F46" s="198" t="n">
        <v>0</v>
      </c>
    </row>
    <row r="47" ht="15" customHeight="1" thickBot="1">
      <c r="A47" s="49" t="n"/>
      <c r="B47" t="inlineStr">
        <is>
          <t>תיקונים בבית / במכשירים</t>
        </is>
      </c>
      <c r="C47" s="191" t="n">
        <v>0</v>
      </c>
      <c r="D47" s="192" t="n">
        <v>0</v>
      </c>
      <c r="E47" s="193">
        <f>C47-D47</f>
        <v/>
      </c>
      <c r="F47" s="198" t="n">
        <v>0</v>
      </c>
    </row>
    <row r="48" ht="15" customHeight="1" thickBot="1">
      <c r="A48" s="49" t="n"/>
      <c r="B48" t="inlineStr">
        <is>
          <t>גינה</t>
        </is>
      </c>
      <c r="C48" s="191" t="n">
        <v>0</v>
      </c>
      <c r="D48" s="192" t="n">
        <v>0</v>
      </c>
      <c r="E48" s="193">
        <f>C48-D48</f>
        <v/>
      </c>
      <c r="F48" s="198" t="n">
        <v>0</v>
      </c>
    </row>
    <row r="49">
      <c r="A49" s="199" t="n"/>
      <c r="B49" s="18" t="inlineStr">
        <is>
          <t>אחזקת בית - כללי</t>
        </is>
      </c>
      <c r="C49" s="200" t="n">
        <v>0</v>
      </c>
      <c r="D49" s="201" t="n">
        <v>0</v>
      </c>
      <c r="E49" s="202">
        <f>C49-D49</f>
        <v/>
      </c>
      <c r="F49" s="203" t="n">
        <v>0</v>
      </c>
    </row>
    <row r="50" ht="15" customHeight="1">
      <c r="A50" s="136" t="inlineStr">
        <is>
          <t>סה"כ תקציב - אחזקת בית</t>
        </is>
      </c>
      <c r="C50" s="204">
        <f>SUM(C43:C49)</f>
        <v/>
      </c>
      <c r="D50" s="205">
        <f>SUM(D43:D49)</f>
        <v/>
      </c>
      <c r="E50" s="206">
        <f>SUM(E43:E49)</f>
        <v/>
      </c>
      <c r="F50" s="207">
        <f>SUM(F43:F49)</f>
        <v/>
      </c>
    </row>
    <row r="51" ht="14.25" customHeight="1">
      <c r="A51" s="49" t="n"/>
      <c r="F51" s="50" t="n"/>
    </row>
    <row r="52" ht="15.75" customHeight="1" thickBot="1">
      <c r="A52" s="97" t="inlineStr">
        <is>
          <t>קטגוריה</t>
        </is>
      </c>
      <c r="B52" s="9" t="inlineStr">
        <is>
          <t>סעיפים</t>
        </is>
      </c>
      <c r="C52" s="10" t="inlineStr">
        <is>
          <t>שיקוף</t>
        </is>
      </c>
      <c r="D52" s="11" t="inlineStr">
        <is>
          <t>איזון</t>
        </is>
      </c>
      <c r="E52" s="12" t="inlineStr">
        <is>
          <t>יתרה</t>
        </is>
      </c>
      <c r="F52" s="98" t="inlineStr">
        <is>
          <t>בפועל</t>
        </is>
      </c>
    </row>
    <row r="53" ht="15" customHeight="1" thickBot="1">
      <c r="A53" s="170" t="inlineStr">
        <is>
          <t>טיפוח</t>
        </is>
      </c>
      <c r="B53" s="14" t="inlineStr">
        <is>
          <t>מספרה</t>
        </is>
      </c>
      <c r="C53" s="195" t="n">
        <v>0</v>
      </c>
      <c r="D53" s="196" t="n">
        <v>0</v>
      </c>
      <c r="E53" s="197">
        <f>C53-D53</f>
        <v/>
      </c>
      <c r="F53" s="194" t="n">
        <v>0</v>
      </c>
    </row>
    <row r="54" ht="15" customHeight="1" thickBot="1">
      <c r="A54" s="49" t="n"/>
      <c r="B54" t="inlineStr">
        <is>
          <t>קוסמטיקה</t>
        </is>
      </c>
      <c r="C54" s="191" t="n">
        <v>0</v>
      </c>
      <c r="D54" s="192" t="n">
        <v>0</v>
      </c>
      <c r="E54" s="193">
        <f>C54-D54</f>
        <v/>
      </c>
      <c r="F54" s="198" t="n">
        <v>0</v>
      </c>
    </row>
    <row r="55">
      <c r="A55" s="199" t="n"/>
      <c r="B55" s="18" t="inlineStr">
        <is>
          <t>טיפוח - כללי</t>
        </is>
      </c>
      <c r="C55" s="200" t="n">
        <v>0</v>
      </c>
      <c r="D55" s="201" t="n">
        <v>0</v>
      </c>
      <c r="E55" s="202">
        <f>C55-D55</f>
        <v/>
      </c>
      <c r="F55" s="203" t="n">
        <v>0</v>
      </c>
    </row>
    <row r="56" ht="15" customHeight="1">
      <c r="A56" s="136" t="inlineStr">
        <is>
          <t>סה"כ תקציב - טיפוח</t>
        </is>
      </c>
      <c r="C56" s="204">
        <f>SUM(C53:C55)</f>
        <v/>
      </c>
      <c r="D56" s="205">
        <f>SUM(D53:D55)</f>
        <v/>
      </c>
      <c r="E56" s="206">
        <f>SUM(E53:E55)</f>
        <v/>
      </c>
      <c r="F56" s="207">
        <f>SUM(F53:F55)</f>
        <v/>
      </c>
    </row>
    <row r="57" ht="14.25" customHeight="1">
      <c r="A57" s="49" t="n"/>
      <c r="F57" s="50" t="n"/>
    </row>
    <row r="58" ht="15.75" customHeight="1" thickBot="1">
      <c r="A58" s="97" t="inlineStr">
        <is>
          <t>קטגוריה</t>
        </is>
      </c>
      <c r="B58" s="9" t="inlineStr">
        <is>
          <t>סעיפים</t>
        </is>
      </c>
      <c r="C58" s="10" t="inlineStr">
        <is>
          <t>שיקוף</t>
        </is>
      </c>
      <c r="D58" s="11" t="inlineStr">
        <is>
          <t>איזון</t>
        </is>
      </c>
      <c r="E58" s="12" t="inlineStr">
        <is>
          <t>יתרה</t>
        </is>
      </c>
      <c r="F58" s="98" t="inlineStr">
        <is>
          <t>בפועל</t>
        </is>
      </c>
    </row>
    <row r="59" ht="15" customHeight="1" thickBot="1">
      <c r="A59" s="170" t="inlineStr">
        <is>
          <t>חינוך</t>
        </is>
      </c>
      <c r="B59" s="14" t="inlineStr">
        <is>
          <t>בית ספר</t>
        </is>
      </c>
      <c r="C59" s="195" t="n">
        <v>0</v>
      </c>
      <c r="D59" s="196" t="n">
        <v>0</v>
      </c>
      <c r="E59" s="197">
        <f>C59-D59</f>
        <v/>
      </c>
      <c r="F59" s="194" t="n">
        <v>0</v>
      </c>
    </row>
    <row r="60" ht="15" customHeight="1" thickBot="1">
      <c r="A60" s="49" t="n"/>
      <c r="B60" t="inlineStr">
        <is>
          <t>מסגרות צהריים</t>
        </is>
      </c>
      <c r="C60" s="191" t="n">
        <v>0</v>
      </c>
      <c r="D60" s="192" t="n">
        <v>0</v>
      </c>
      <c r="E60" s="193">
        <f>C60-D60</f>
        <v/>
      </c>
      <c r="F60" s="198" t="n">
        <v>0</v>
      </c>
    </row>
    <row r="61" ht="15" customHeight="1" thickBot="1">
      <c r="A61" s="49" t="n"/>
      <c r="B61" t="inlineStr">
        <is>
          <t>מסגרות יום</t>
        </is>
      </c>
      <c r="C61" s="191" t="n">
        <v>0</v>
      </c>
      <c r="D61" s="192" t="n">
        <v>0</v>
      </c>
      <c r="E61" s="193">
        <f>C61-D61</f>
        <v/>
      </c>
      <c r="F61" s="198" t="n">
        <v>0</v>
      </c>
    </row>
    <row r="62" ht="15" customHeight="1" thickBot="1">
      <c r="A62" s="49" t="n"/>
      <c r="B62" t="inlineStr">
        <is>
          <t>צהרון / מטפלת</t>
        </is>
      </c>
      <c r="C62" s="191" t="n">
        <v>0</v>
      </c>
      <c r="D62" s="192" t="n">
        <v>0</v>
      </c>
      <c r="E62" s="193">
        <f>C62-D62</f>
        <v/>
      </c>
      <c r="F62" s="198" t="n">
        <v>0</v>
      </c>
    </row>
    <row r="63" ht="15" customHeight="1" thickBot="1">
      <c r="A63" s="49" t="n"/>
      <c r="B63" t="inlineStr">
        <is>
          <t>הסעות</t>
        </is>
      </c>
      <c r="C63" s="191" t="n">
        <v>0</v>
      </c>
      <c r="D63" s="192" t="n">
        <v>0</v>
      </c>
      <c r="E63" s="193">
        <f>C63-D63</f>
        <v/>
      </c>
      <c r="F63" s="198" t="n">
        <v>0</v>
      </c>
    </row>
    <row r="64" ht="15" customHeight="1" thickBot="1">
      <c r="A64" s="49" t="n"/>
      <c r="B64" t="inlineStr">
        <is>
          <t>שיעור פרטי</t>
        </is>
      </c>
      <c r="C64" s="191" t="n">
        <v>0</v>
      </c>
      <c r="D64" s="192" t="n">
        <v>0</v>
      </c>
      <c r="E64" s="193">
        <f>C64-D64</f>
        <v/>
      </c>
      <c r="F64" s="198" t="n">
        <v>0</v>
      </c>
    </row>
    <row r="65" ht="15" customHeight="1" thickBot="1">
      <c r="A65" s="49" t="n"/>
      <c r="B65" t="inlineStr">
        <is>
          <t>מסגרות קיץ</t>
        </is>
      </c>
      <c r="C65" s="191" t="n">
        <v>0</v>
      </c>
      <c r="D65" s="192" t="n">
        <v>0</v>
      </c>
      <c r="E65" s="193">
        <f>C65-D65</f>
        <v/>
      </c>
      <c r="F65" s="198" t="n">
        <v>0</v>
      </c>
    </row>
    <row r="66" ht="15" customHeight="1" thickBot="1">
      <c r="A66" s="49" t="n"/>
      <c r="B66" t="inlineStr">
        <is>
          <t>חוגים ותנועת נוער</t>
        </is>
      </c>
      <c r="C66" s="191" t="n">
        <v>0</v>
      </c>
      <c r="D66" s="192" t="n">
        <v>0</v>
      </c>
      <c r="E66" s="193">
        <f>C66-D66</f>
        <v/>
      </c>
      <c r="F66" s="198" t="n">
        <v>0</v>
      </c>
    </row>
    <row r="67" ht="15" customHeight="1" thickBot="1">
      <c r="A67" s="49" t="n"/>
      <c r="B67" t="inlineStr">
        <is>
          <t>לימודים והשתלמות לבוגרים</t>
        </is>
      </c>
      <c r="C67" s="191" t="n">
        <v>0</v>
      </c>
      <c r="D67" s="192" t="n">
        <v>0</v>
      </c>
      <c r="E67" s="193">
        <f>C67-D67</f>
        <v/>
      </c>
      <c r="F67" s="198" t="n">
        <v>0</v>
      </c>
    </row>
    <row r="68">
      <c r="A68" s="199" t="n"/>
      <c r="B68" s="18" t="inlineStr">
        <is>
          <t>חינוך - כללי</t>
        </is>
      </c>
      <c r="C68" s="200" t="n">
        <v>0</v>
      </c>
      <c r="D68" s="201" t="n">
        <v>0</v>
      </c>
      <c r="E68" s="202">
        <f>C68-D68</f>
        <v/>
      </c>
      <c r="F68" s="203" t="n">
        <v>0</v>
      </c>
    </row>
    <row r="69" ht="15" customHeight="1">
      <c r="A69" s="136" t="inlineStr">
        <is>
          <t>סה"כ תקציב - חינוך</t>
        </is>
      </c>
      <c r="C69" s="204">
        <f>SUM(C59:C68)</f>
        <v/>
      </c>
      <c r="D69" s="205">
        <f>SUM(D59:D68)</f>
        <v/>
      </c>
      <c r="E69" s="206">
        <f>SUM(E59:E68)</f>
        <v/>
      </c>
      <c r="F69" s="207">
        <f>SUM(F59:F68)</f>
        <v/>
      </c>
    </row>
    <row r="70" ht="14.25" customHeight="1">
      <c r="A70" s="49" t="n"/>
      <c r="F70" s="50" t="n"/>
    </row>
    <row r="71" ht="15.75" customHeight="1" thickBot="1">
      <c r="A71" s="97" t="inlineStr">
        <is>
          <t>קטגוריה</t>
        </is>
      </c>
      <c r="B71" s="9" t="inlineStr">
        <is>
          <t>סעיפים</t>
        </is>
      </c>
      <c r="C71" s="10" t="inlineStr">
        <is>
          <t>שיקוף</t>
        </is>
      </c>
      <c r="D71" s="11" t="inlineStr">
        <is>
          <t>איזון</t>
        </is>
      </c>
      <c r="E71" s="12" t="inlineStr">
        <is>
          <t>יתרה</t>
        </is>
      </c>
      <c r="F71" s="98" t="inlineStr">
        <is>
          <t>בפועל</t>
        </is>
      </c>
    </row>
    <row r="72" ht="15" customHeight="1" thickBot="1">
      <c r="A72" s="170" t="inlineStr">
        <is>
          <t>אירועים, תרומות, צרכי דת</t>
        </is>
      </c>
      <c r="B72" s="14" t="inlineStr">
        <is>
          <t>חגים וצרכי דת</t>
        </is>
      </c>
      <c r="C72" s="195" t="n">
        <v>0</v>
      </c>
      <c r="D72" s="196" t="n">
        <v>0</v>
      </c>
      <c r="E72" s="197">
        <f>C72-D72</f>
        <v/>
      </c>
      <c r="F72" s="194" t="n">
        <v>0</v>
      </c>
    </row>
    <row r="73" ht="15" customHeight="1" thickBot="1">
      <c r="A73" s="49" t="n"/>
      <c r="B73" t="inlineStr">
        <is>
          <t>אירוע בעבודה / לחברים</t>
        </is>
      </c>
      <c r="C73" s="191" t="n">
        <v>0</v>
      </c>
      <c r="D73" s="192" t="n">
        <v>0</v>
      </c>
      <c r="E73" s="193">
        <f>C73-D73</f>
        <v/>
      </c>
      <c r="F73" s="198" t="n">
        <v>0</v>
      </c>
    </row>
    <row r="74">
      <c r="A74" s="199" t="n"/>
      <c r="B74" s="18" t="inlineStr">
        <is>
          <t>תרומות</t>
        </is>
      </c>
      <c r="C74" s="200" t="n">
        <v>0</v>
      </c>
      <c r="D74" s="201" t="n">
        <v>0</v>
      </c>
      <c r="E74" s="202">
        <f>C74-D74</f>
        <v/>
      </c>
      <c r="F74" s="203" t="n">
        <v>0</v>
      </c>
    </row>
    <row r="75" ht="15" customHeight="1">
      <c r="A75" s="136" t="inlineStr">
        <is>
          <t>סה"כ תקציב - אירועים, תרומות, צרכי דת</t>
        </is>
      </c>
      <c r="C75" s="204">
        <f>SUM(C72:C74)</f>
        <v/>
      </c>
      <c r="D75" s="205">
        <f>SUM(D72:D74)</f>
        <v/>
      </c>
      <c r="E75" s="206">
        <f>SUM(E72:E74)</f>
        <v/>
      </c>
      <c r="F75" s="207">
        <f>SUM(F72:F74)</f>
        <v/>
      </c>
    </row>
    <row r="76" ht="14.25" customHeight="1">
      <c r="A76" s="49" t="n"/>
      <c r="F76" s="50" t="n"/>
    </row>
    <row r="77" ht="15.75" customHeight="1" thickBot="1">
      <c r="A77" s="97" t="inlineStr">
        <is>
          <t>קטגוריה</t>
        </is>
      </c>
      <c r="B77" s="9" t="inlineStr">
        <is>
          <t>סעיפים</t>
        </is>
      </c>
      <c r="C77" s="10" t="inlineStr">
        <is>
          <t>שיקוף</t>
        </is>
      </c>
      <c r="D77" s="11" t="inlineStr">
        <is>
          <t>איזון</t>
        </is>
      </c>
      <c r="E77" s="12" t="inlineStr">
        <is>
          <t>יתרה</t>
        </is>
      </c>
      <c r="F77" s="98" t="inlineStr">
        <is>
          <t>בפועל</t>
        </is>
      </c>
    </row>
    <row r="78" ht="15" customHeight="1" thickBot="1">
      <c r="A78" s="170" t="inlineStr">
        <is>
          <t>בריאות</t>
        </is>
      </c>
      <c r="B78" s="14" t="inlineStr">
        <is>
          <t>קופ"ח תשלום קבוע</t>
        </is>
      </c>
      <c r="C78" s="195" t="n">
        <v>0</v>
      </c>
      <c r="D78" s="196" t="n">
        <v>0</v>
      </c>
      <c r="E78" s="197">
        <f>C78-D78</f>
        <v/>
      </c>
      <c r="F78" s="194" t="n">
        <v>0</v>
      </c>
    </row>
    <row r="79" ht="15" customHeight="1" thickBot="1">
      <c r="A79" s="49" t="n"/>
      <c r="B79" t="inlineStr">
        <is>
          <t>ביטוח רפואי נוסף</t>
        </is>
      </c>
      <c r="C79" s="191" t="n">
        <v>0</v>
      </c>
      <c r="D79" s="192" t="n">
        <v>0</v>
      </c>
      <c r="E79" s="193">
        <f>C79-D79</f>
        <v/>
      </c>
      <c r="F79" s="198" t="n">
        <v>0</v>
      </c>
    </row>
    <row r="80" ht="15" customHeight="1" thickBot="1">
      <c r="A80" s="49" t="n"/>
      <c r="B80" t="inlineStr">
        <is>
          <t>טיפולים פרטיים</t>
        </is>
      </c>
      <c r="C80" s="191" t="n">
        <v>0</v>
      </c>
      <c r="D80" s="192" t="n">
        <v>0</v>
      </c>
      <c r="E80" s="193">
        <f>C80-D80</f>
        <v/>
      </c>
      <c r="F80" s="198" t="n">
        <v>0</v>
      </c>
    </row>
    <row r="81" ht="15" customHeight="1" thickBot="1">
      <c r="A81" s="49" t="n"/>
      <c r="B81" t="inlineStr">
        <is>
          <t>תרופות</t>
        </is>
      </c>
      <c r="C81" s="191" t="n">
        <v>0</v>
      </c>
      <c r="D81" s="192" t="n">
        <v>0</v>
      </c>
      <c r="E81" s="193">
        <f>C81-D81</f>
        <v/>
      </c>
      <c r="F81" s="198" t="n">
        <v>0</v>
      </c>
    </row>
    <row r="82" ht="15" customHeight="1" thickBot="1">
      <c r="A82" s="49" t="n"/>
      <c r="B82" t="inlineStr">
        <is>
          <t>טיפולי שיניים / אורטודנט</t>
        </is>
      </c>
      <c r="C82" s="191" t="n">
        <v>0</v>
      </c>
      <c r="D82" s="192" t="n">
        <v>0</v>
      </c>
      <c r="E82" s="193">
        <f>C82-D82</f>
        <v/>
      </c>
      <c r="F82" s="198" t="n">
        <v>0</v>
      </c>
    </row>
    <row r="83" ht="15" customHeight="1" thickBot="1">
      <c r="A83" s="49" t="n"/>
      <c r="B83" t="inlineStr">
        <is>
          <t>אופטיקה</t>
        </is>
      </c>
      <c r="C83" s="191" t="n">
        <v>0</v>
      </c>
      <c r="D83" s="192" t="n">
        <v>0</v>
      </c>
      <c r="E83" s="193">
        <f>C83-D83</f>
        <v/>
      </c>
      <c r="F83" s="198" t="n">
        <v>0</v>
      </c>
    </row>
    <row r="84">
      <c r="A84" s="199" t="n"/>
      <c r="B84" s="18" t="inlineStr">
        <is>
          <t>בריאות - כללי</t>
        </is>
      </c>
      <c r="C84" s="200" t="n">
        <v>0</v>
      </c>
      <c r="D84" s="201" t="n">
        <v>0</v>
      </c>
      <c r="E84" s="202">
        <f>C84-D84</f>
        <v/>
      </c>
      <c r="F84" s="203" t="n">
        <v>0</v>
      </c>
    </row>
    <row r="85" ht="15" customHeight="1">
      <c r="A85" s="136" t="inlineStr">
        <is>
          <t>סה"כ תקציב - בריאות</t>
        </is>
      </c>
      <c r="C85" s="204">
        <f>SUM(C78:C84)</f>
        <v/>
      </c>
      <c r="D85" s="205">
        <f>SUM(D78:D84)</f>
        <v/>
      </c>
      <c r="E85" s="206">
        <f>SUM(E78:E84)</f>
        <v/>
      </c>
      <c r="F85" s="216">
        <f>SUM(F78:F84)</f>
        <v/>
      </c>
    </row>
    <row r="86" ht="14.25" customHeight="1">
      <c r="A86" s="49" t="n"/>
      <c r="F86" s="50" t="n"/>
    </row>
    <row r="87" ht="15.75" customHeight="1" thickBot="1">
      <c r="A87" s="97" t="inlineStr">
        <is>
          <t>קטגוריה</t>
        </is>
      </c>
      <c r="B87" s="9" t="inlineStr">
        <is>
          <t>סעיפים</t>
        </is>
      </c>
      <c r="C87" s="10" t="inlineStr">
        <is>
          <t>שיקוף</t>
        </is>
      </c>
      <c r="D87" s="11" t="inlineStr">
        <is>
          <t>איזון</t>
        </is>
      </c>
      <c r="E87" s="12" t="inlineStr">
        <is>
          <t>יתרה</t>
        </is>
      </c>
      <c r="F87" s="98" t="inlineStr">
        <is>
          <t>בפועל</t>
        </is>
      </c>
    </row>
    <row r="88" ht="15" customHeight="1" thickBot="1">
      <c r="A88" s="170" t="inlineStr">
        <is>
          <t>תחבורה</t>
        </is>
      </c>
      <c r="B88" s="14" t="inlineStr">
        <is>
          <t>דלק</t>
        </is>
      </c>
      <c r="C88" s="195" t="n">
        <v>0</v>
      </c>
      <c r="D88" s="196" t="n">
        <v>0</v>
      </c>
      <c r="E88" s="197">
        <f>C88-D88</f>
        <v/>
      </c>
      <c r="F88" s="194" t="n">
        <v>0</v>
      </c>
    </row>
    <row r="89" ht="15" customHeight="1" thickBot="1">
      <c r="A89" s="49" t="n"/>
      <c r="B89" t="inlineStr">
        <is>
          <t>חניה</t>
        </is>
      </c>
      <c r="C89" s="191" t="n">
        <v>0</v>
      </c>
      <c r="D89" s="192" t="n">
        <v>0</v>
      </c>
      <c r="E89" s="193">
        <f>C89-D89</f>
        <v/>
      </c>
      <c r="F89" s="198" t="n">
        <v>0</v>
      </c>
    </row>
    <row r="90" ht="15" customHeight="1" thickBot="1">
      <c r="A90" s="49" t="n"/>
      <c r="B90" t="inlineStr">
        <is>
          <t>כבישי אגרה</t>
        </is>
      </c>
      <c r="C90" s="191" t="n">
        <v>0</v>
      </c>
      <c r="D90" s="192" t="n">
        <v>0</v>
      </c>
      <c r="E90" s="193">
        <f>C90-D90</f>
        <v/>
      </c>
      <c r="F90" s="198" t="n">
        <v>0</v>
      </c>
    </row>
    <row r="91" ht="15" customHeight="1" thickBot="1">
      <c r="A91" s="49" t="n"/>
      <c r="B91" t="inlineStr">
        <is>
          <t>ביטוח רכב</t>
        </is>
      </c>
      <c r="C91" s="191" t="n">
        <v>0</v>
      </c>
      <c r="D91" s="192" t="n">
        <v>0</v>
      </c>
      <c r="E91" s="193">
        <f>C91-D91</f>
        <v/>
      </c>
      <c r="F91" s="198" t="n">
        <v>0</v>
      </c>
    </row>
    <row r="92" ht="15" customHeight="1" thickBot="1">
      <c r="A92" s="49" t="n"/>
      <c r="B92" t="inlineStr">
        <is>
          <t>תחזוקת רכב</t>
        </is>
      </c>
      <c r="C92" s="191" t="n">
        <v>0</v>
      </c>
      <c r="D92" s="192" t="n">
        <v>0</v>
      </c>
      <c r="E92" s="193">
        <f>C92-D92</f>
        <v/>
      </c>
      <c r="F92" s="198" t="n">
        <v>0</v>
      </c>
    </row>
    <row r="93" ht="15" customHeight="1" thickBot="1">
      <c r="A93" s="49" t="n"/>
      <c r="B93" t="inlineStr">
        <is>
          <t>תחבורה ציבורית</t>
        </is>
      </c>
      <c r="C93" s="191" t="n">
        <v>0</v>
      </c>
      <c r="D93" s="192" t="n">
        <v>0</v>
      </c>
      <c r="E93" s="193">
        <f>C93-D93</f>
        <v/>
      </c>
      <c r="F93" s="198" t="n">
        <v>0</v>
      </c>
    </row>
    <row r="94" ht="15" customHeight="1" thickBot="1">
      <c r="A94" s="49" t="n"/>
      <c r="B94" t="inlineStr">
        <is>
          <t>רישוי רכב</t>
        </is>
      </c>
      <c r="C94" s="191" t="n">
        <v>0</v>
      </c>
      <c r="D94" s="192" t="n">
        <v>0</v>
      </c>
      <c r="E94" s="193">
        <f>C94-D94</f>
        <v/>
      </c>
      <c r="F94" s="198" t="n">
        <v>0</v>
      </c>
    </row>
    <row r="95" ht="15" customHeight="1" thickBot="1">
      <c r="A95" s="49" t="n"/>
      <c r="B95" t="inlineStr">
        <is>
          <t>תחבורה שיתופית</t>
        </is>
      </c>
      <c r="C95" s="191" t="n">
        <v>0</v>
      </c>
      <c r="D95" s="192" t="n">
        <v>0</v>
      </c>
      <c r="E95" s="193">
        <f>C95-D95</f>
        <v/>
      </c>
      <c r="F95" s="198" t="n">
        <v>0</v>
      </c>
    </row>
    <row r="96" ht="15" customHeight="1" thickBot="1">
      <c r="A96" s="49" t="n"/>
      <c r="B96" t="inlineStr">
        <is>
          <t>ליסינג</t>
        </is>
      </c>
      <c r="C96" s="191" t="n">
        <v>0</v>
      </c>
      <c r="D96" s="192" t="n">
        <v>0</v>
      </c>
      <c r="E96" s="193">
        <f>C96-D96</f>
        <v/>
      </c>
      <c r="F96" s="198" t="n">
        <v>0</v>
      </c>
    </row>
    <row r="97">
      <c r="A97" s="199" t="n"/>
      <c r="B97" s="18" t="inlineStr">
        <is>
          <t>תחבורה - כללי</t>
        </is>
      </c>
      <c r="C97" s="200" t="n">
        <v>0</v>
      </c>
      <c r="D97" s="201" t="n">
        <v>0</v>
      </c>
      <c r="E97" s="202">
        <f>C97-D97</f>
        <v/>
      </c>
      <c r="F97" s="203" t="n">
        <v>0</v>
      </c>
    </row>
    <row r="98" ht="15" customHeight="1">
      <c r="A98" s="136" t="inlineStr">
        <is>
          <t>סה"כ תקציב - תחבורה</t>
        </is>
      </c>
      <c r="C98" s="204">
        <f>SUM(C88:C97)</f>
        <v/>
      </c>
      <c r="D98" s="205">
        <f>SUM(D88:D97)</f>
        <v/>
      </c>
      <c r="E98" s="206">
        <f>SUM(E88:E97)</f>
        <v/>
      </c>
      <c r="F98" s="207">
        <f>SUM(F88:F97)</f>
        <v/>
      </c>
    </row>
    <row r="99" ht="14.25" customHeight="1">
      <c r="A99" s="49" t="n"/>
      <c r="F99" s="50" t="n"/>
    </row>
    <row r="100" ht="15.75" customHeight="1" thickBot="1">
      <c r="A100" s="97" t="inlineStr">
        <is>
          <t>קטגוריה</t>
        </is>
      </c>
      <c r="B100" s="9" t="inlineStr">
        <is>
          <t>סעיפים</t>
        </is>
      </c>
      <c r="C100" s="10" t="inlineStr">
        <is>
          <t>שיקוף</t>
        </is>
      </c>
      <c r="D100" s="11" t="inlineStr">
        <is>
          <t>איזון</t>
        </is>
      </c>
      <c r="E100" s="12" t="inlineStr">
        <is>
          <t>יתרה</t>
        </is>
      </c>
      <c r="F100" s="98" t="inlineStr">
        <is>
          <t>בפועל</t>
        </is>
      </c>
    </row>
    <row r="101" ht="15" customHeight="1" thickBot="1">
      <c r="A101" s="170" t="inlineStr">
        <is>
          <t>משפחה</t>
        </is>
      </c>
      <c r="B101" s="14" t="inlineStr">
        <is>
          <t>ארועי שמחות במשפחה</t>
        </is>
      </c>
      <c r="C101" s="195" t="n">
        <v>0</v>
      </c>
      <c r="D101" s="196" t="n">
        <v>0</v>
      </c>
      <c r="E101" s="197">
        <f>C101-D101</f>
        <v/>
      </c>
      <c r="F101" s="194" t="n">
        <v>0</v>
      </c>
    </row>
    <row r="102" ht="15" customHeight="1" thickBot="1">
      <c r="A102" s="49" t="n"/>
      <c r="B102" t="inlineStr">
        <is>
          <t>דמי כיס</t>
        </is>
      </c>
      <c r="C102" s="191" t="n">
        <v>0</v>
      </c>
      <c r="D102" s="192" t="n">
        <v>0</v>
      </c>
      <c r="E102" s="193">
        <f>C102-D102</f>
        <v/>
      </c>
      <c r="F102" s="198" t="n">
        <v>0</v>
      </c>
    </row>
    <row r="103" ht="15" customHeight="1" thickBot="1">
      <c r="A103" s="49" t="n"/>
      <c r="B103" t="inlineStr">
        <is>
          <t>עזרה למשפחה</t>
        </is>
      </c>
      <c r="C103" s="191" t="n">
        <v>0</v>
      </c>
      <c r="D103" s="192" t="n">
        <v>0</v>
      </c>
      <c r="E103" s="193">
        <f>C103-D103</f>
        <v/>
      </c>
      <c r="F103" s="198" t="n">
        <v>0</v>
      </c>
    </row>
    <row r="104" ht="15" customHeight="1" thickBot="1">
      <c r="A104" s="49" t="n"/>
      <c r="B104" t="inlineStr">
        <is>
          <t>תשלום מזונות</t>
        </is>
      </c>
      <c r="C104" s="191" t="n">
        <v>0</v>
      </c>
      <c r="D104" s="192" t="n">
        <v>0</v>
      </c>
      <c r="E104" s="193">
        <f>C104-D104</f>
        <v/>
      </c>
      <c r="F104" s="198" t="n">
        <v>0</v>
      </c>
    </row>
    <row r="105">
      <c r="A105" s="199" t="n"/>
      <c r="B105" s="18" t="inlineStr">
        <is>
          <t>משפחה - כללי</t>
        </is>
      </c>
      <c r="C105" s="200" t="n">
        <v>0</v>
      </c>
      <c r="D105" s="201" t="n">
        <v>0</v>
      </c>
      <c r="E105" s="202">
        <f>C105-D105</f>
        <v/>
      </c>
      <c r="F105" s="203" t="n">
        <v>0</v>
      </c>
    </row>
    <row r="106" ht="15" customHeight="1">
      <c r="A106" s="136" t="inlineStr">
        <is>
          <t>סה"כ תקציב - משפחה</t>
        </is>
      </c>
      <c r="C106" s="204">
        <f>SUM(C101:C105)</f>
        <v/>
      </c>
      <c r="D106" s="205">
        <f>SUM(D101:D105)</f>
        <v/>
      </c>
      <c r="E106" s="206">
        <f>SUM(E101:E105)</f>
        <v/>
      </c>
      <c r="F106" s="207">
        <f>SUM(F101:F105)</f>
        <v/>
      </c>
    </row>
    <row r="107" ht="14.25" customHeight="1">
      <c r="A107" s="49" t="n"/>
      <c r="F107" s="50" t="n"/>
    </row>
    <row r="108" ht="15.75" customHeight="1" thickBot="1">
      <c r="A108" s="97" t="inlineStr">
        <is>
          <t>קטגוריה</t>
        </is>
      </c>
      <c r="B108" s="9" t="inlineStr">
        <is>
          <t>סעיפים</t>
        </is>
      </c>
      <c r="C108" s="10" t="inlineStr">
        <is>
          <t>שיקוף</t>
        </is>
      </c>
      <c r="D108" s="11" t="inlineStr">
        <is>
          <t>איזון</t>
        </is>
      </c>
      <c r="E108" s="12" t="inlineStr">
        <is>
          <t>יתרה</t>
        </is>
      </c>
      <c r="F108" s="98" t="inlineStr">
        <is>
          <t>בפועל</t>
        </is>
      </c>
    </row>
    <row r="109" ht="15" customHeight="1" thickBot="1">
      <c r="A109" s="170" t="inlineStr">
        <is>
          <t>תקשורת</t>
        </is>
      </c>
      <c r="B109" s="14" t="inlineStr">
        <is>
          <t>טלפון נייד ונייח</t>
        </is>
      </c>
      <c r="C109" s="195" t="n">
        <v>0</v>
      </c>
      <c r="D109" s="196" t="n">
        <v>0</v>
      </c>
      <c r="E109" s="197">
        <f>C109-D109</f>
        <v/>
      </c>
      <c r="F109" s="194" t="n">
        <v>0</v>
      </c>
    </row>
    <row r="110" ht="15" customHeight="1" thickBot="1">
      <c r="A110" s="49" t="n"/>
      <c r="B110" t="inlineStr">
        <is>
          <t>טלויזיה ואינטרנט (ספק ותשתית)</t>
        </is>
      </c>
      <c r="C110" s="191" t="n">
        <v>0</v>
      </c>
      <c r="D110" s="192" t="n">
        <v>0</v>
      </c>
      <c r="E110" s="193">
        <f>C110-D110</f>
        <v/>
      </c>
      <c r="F110" s="198" t="n">
        <v>0</v>
      </c>
    </row>
    <row r="111" ht="15" customHeight="1" thickBot="1">
      <c r="A111" s="49" t="n"/>
      <c r="B111" t="inlineStr">
        <is>
          <t>שירותי תוכן</t>
        </is>
      </c>
      <c r="C111" s="191" t="n">
        <v>0</v>
      </c>
      <c r="D111" s="192" t="n">
        <v>0</v>
      </c>
      <c r="E111" s="193">
        <f>C111-D111</f>
        <v/>
      </c>
      <c r="F111" s="198" t="n">
        <v>0</v>
      </c>
    </row>
    <row r="112">
      <c r="A112" s="199" t="n"/>
      <c r="B112" s="18" t="inlineStr">
        <is>
          <t>תקשורת - כללי</t>
        </is>
      </c>
      <c r="C112" s="200" t="n">
        <v>0</v>
      </c>
      <c r="D112" s="201" t="n">
        <v>0</v>
      </c>
      <c r="E112" s="202">
        <f>C112-D112</f>
        <v/>
      </c>
      <c r="F112" s="203" t="n">
        <v>0</v>
      </c>
    </row>
    <row r="113" ht="15" customHeight="1">
      <c r="A113" s="136" t="inlineStr">
        <is>
          <t>סה"כ תקציב - תקשורת</t>
        </is>
      </c>
      <c r="C113" s="204">
        <f>SUM(C109:C112)</f>
        <v/>
      </c>
      <c r="D113" s="205">
        <f>SUM(D109:D112)</f>
        <v/>
      </c>
      <c r="E113" s="206">
        <f>SUM(E109:E112)</f>
        <v/>
      </c>
      <c r="F113" s="207">
        <f>SUM(F109:F112)</f>
        <v/>
      </c>
    </row>
    <row r="114" ht="14.25" customHeight="1">
      <c r="A114" s="49" t="n"/>
      <c r="F114" s="50" t="n"/>
    </row>
    <row r="115" ht="15.75" customHeight="1" thickBot="1">
      <c r="A115" s="97" t="inlineStr">
        <is>
          <t>קטגוריה</t>
        </is>
      </c>
      <c r="B115" s="9" t="inlineStr">
        <is>
          <t>סעיפים</t>
        </is>
      </c>
      <c r="C115" s="10" t="inlineStr">
        <is>
          <t>שיקוף</t>
        </is>
      </c>
      <c r="D115" s="11" t="inlineStr">
        <is>
          <t>איזון</t>
        </is>
      </c>
      <c r="E115" s="12" t="inlineStr">
        <is>
          <t>יתרה</t>
        </is>
      </c>
      <c r="F115" s="98" t="inlineStr">
        <is>
          <t>בפועל</t>
        </is>
      </c>
    </row>
    <row r="116" ht="15" customHeight="1" thickBot="1">
      <c r="A116" s="170" t="inlineStr">
        <is>
          <t>דיור</t>
        </is>
      </c>
      <c r="B116" s="14" t="inlineStr">
        <is>
          <t>משכנתה</t>
        </is>
      </c>
      <c r="C116" s="195" t="n">
        <v>0</v>
      </c>
      <c r="D116" s="196" t="n">
        <v>0</v>
      </c>
      <c r="E116" s="197">
        <f>C116-D116</f>
        <v/>
      </c>
      <c r="F116" s="194" t="n">
        <v>0</v>
      </c>
    </row>
    <row r="117" ht="15" customHeight="1" thickBot="1">
      <c r="A117" s="49" t="n"/>
      <c r="B117" t="inlineStr">
        <is>
          <t>שכר דירה</t>
        </is>
      </c>
      <c r="C117" s="191" t="n">
        <v>0</v>
      </c>
      <c r="D117" s="192" t="n">
        <v>0</v>
      </c>
      <c r="E117" s="193">
        <f>C117-D117</f>
        <v/>
      </c>
      <c r="F117" s="198" t="n">
        <v>0</v>
      </c>
    </row>
    <row r="118" ht="15" customHeight="1" thickBot="1">
      <c r="A118" s="49" t="n"/>
      <c r="B118" t="inlineStr">
        <is>
          <t>מיסי ישוב / ועד בית</t>
        </is>
      </c>
      <c r="C118" s="191" t="n">
        <v>0</v>
      </c>
      <c r="D118" s="192" t="n">
        <v>0</v>
      </c>
      <c r="E118" s="193">
        <f>C118-D118</f>
        <v/>
      </c>
      <c r="F118" s="198" t="n">
        <v>0</v>
      </c>
    </row>
    <row r="119" ht="15" customHeight="1" thickBot="1">
      <c r="A119" s="49" t="n"/>
      <c r="B119" t="inlineStr">
        <is>
          <t>ארנונה</t>
        </is>
      </c>
      <c r="C119" s="191" t="n">
        <v>0</v>
      </c>
      <c r="D119" s="192" t="n">
        <v>0</v>
      </c>
      <c r="E119" s="193">
        <f>C119-D119</f>
        <v/>
      </c>
      <c r="F119" s="198" t="n">
        <v>0</v>
      </c>
    </row>
    <row r="120" ht="15" customHeight="1" thickBot="1">
      <c r="A120" s="49" t="n"/>
      <c r="B120" t="inlineStr">
        <is>
          <t>ביטוח נכס ותכולה</t>
        </is>
      </c>
      <c r="C120" s="191" t="n">
        <v>0</v>
      </c>
      <c r="D120" s="192" t="n">
        <v>0</v>
      </c>
      <c r="E120" s="193">
        <f>C120-D120</f>
        <v/>
      </c>
      <c r="F120" s="198" t="n">
        <v>0</v>
      </c>
    </row>
    <row r="121">
      <c r="A121" s="199" t="n"/>
      <c r="B121" s="18" t="inlineStr">
        <is>
          <t>דיור - כללי</t>
        </is>
      </c>
      <c r="C121" s="200" t="n">
        <v>0</v>
      </c>
      <c r="D121" s="201" t="n">
        <v>0</v>
      </c>
      <c r="E121" s="202">
        <f>C121-D121</f>
        <v/>
      </c>
      <c r="F121" s="203" t="n">
        <v>0</v>
      </c>
    </row>
    <row r="122" ht="15" customHeight="1">
      <c r="A122" s="136" t="inlineStr">
        <is>
          <t>סה"כ תקציב - דיור</t>
        </is>
      </c>
      <c r="C122" s="204">
        <f>SUM(C116:C121)</f>
        <v/>
      </c>
      <c r="D122" s="205">
        <f>SUM(D116:D121)</f>
        <v/>
      </c>
      <c r="E122" s="206">
        <f>SUM(E116:E121)</f>
        <v/>
      </c>
      <c r="F122" s="207">
        <f>SUM(F116:F121)</f>
        <v/>
      </c>
    </row>
    <row r="123" ht="14.25" customHeight="1">
      <c r="A123" s="49" t="n"/>
      <c r="F123" s="50" t="n"/>
    </row>
    <row r="124" ht="15.75" customHeight="1" thickBot="1">
      <c r="A124" s="97" t="inlineStr">
        <is>
          <t>קטגוריה</t>
        </is>
      </c>
      <c r="B124" s="9" t="inlineStr">
        <is>
          <t>סעיפים</t>
        </is>
      </c>
      <c r="C124" s="10" t="inlineStr">
        <is>
          <t>שיקוף</t>
        </is>
      </c>
      <c r="D124" s="11" t="inlineStr">
        <is>
          <t>איזון</t>
        </is>
      </c>
      <c r="E124" s="12" t="inlineStr">
        <is>
          <t>יתרה</t>
        </is>
      </c>
      <c r="F124" s="98" t="inlineStr">
        <is>
          <t>בפועל</t>
        </is>
      </c>
    </row>
    <row r="125" ht="15" customHeight="1" thickBot="1">
      <c r="A125" s="170" t="inlineStr">
        <is>
          <t>התחייבויות</t>
        </is>
      </c>
      <c r="B125" s="14" t="inlineStr">
        <is>
          <t>החזר חובות חודשי (למעט משכנתה) - כללי</t>
        </is>
      </c>
      <c r="C125" s="195" t="n">
        <v>0</v>
      </c>
      <c r="D125" s="196" t="n">
        <v>0</v>
      </c>
      <c r="E125" s="197">
        <f>C125-D125</f>
        <v/>
      </c>
      <c r="F125" s="194" t="n">
        <v>0</v>
      </c>
    </row>
    <row r="126">
      <c r="A126" s="199" t="n"/>
      <c r="B126" s="18" t="inlineStr">
        <is>
          <t>ריביות משיכת יתר</t>
        </is>
      </c>
      <c r="C126" s="200" t="n">
        <v>0</v>
      </c>
      <c r="D126" s="201" t="n">
        <v>0</v>
      </c>
      <c r="E126" s="202">
        <f>C126-D126</f>
        <v/>
      </c>
      <c r="F126" s="203" t="n">
        <v>0</v>
      </c>
    </row>
    <row r="127" ht="15" customHeight="1">
      <c r="A127" s="136" t="inlineStr">
        <is>
          <t>סה"כ תקציב - התחייבויות</t>
        </is>
      </c>
      <c r="C127" s="204">
        <f>SUM(C125:C126)</f>
        <v/>
      </c>
      <c r="D127" s="205">
        <f>SUM(D125:D126)</f>
        <v/>
      </c>
      <c r="E127" s="206">
        <f>SUM(E125:E126)</f>
        <v/>
      </c>
      <c r="F127" s="207">
        <f>SUM(F125:F126)</f>
        <v/>
      </c>
    </row>
    <row r="128" ht="14.25" customHeight="1">
      <c r="A128" s="49" t="n"/>
      <c r="F128" s="50" t="n"/>
    </row>
    <row r="129" ht="15.75" customHeight="1" thickBot="1">
      <c r="A129" s="97" t="inlineStr">
        <is>
          <t>קטגוריה</t>
        </is>
      </c>
      <c r="B129" s="9" t="inlineStr">
        <is>
          <t>סעיפים</t>
        </is>
      </c>
      <c r="C129" s="10" t="inlineStr">
        <is>
          <t>שיקוף</t>
        </is>
      </c>
      <c r="D129" s="11" t="inlineStr">
        <is>
          <t>איזון</t>
        </is>
      </c>
      <c r="E129" s="12" t="inlineStr">
        <is>
          <t>יתרה</t>
        </is>
      </c>
      <c r="F129" s="98" t="inlineStr">
        <is>
          <t>בפועל</t>
        </is>
      </c>
    </row>
    <row r="130">
      <c r="A130" s="119" t="inlineStr">
        <is>
          <t>נכסים</t>
        </is>
      </c>
      <c r="B130" s="25" t="inlineStr">
        <is>
          <t>הפקדות לחסכונות - כללי</t>
        </is>
      </c>
      <c r="C130" s="217" t="n">
        <v>0</v>
      </c>
      <c r="D130" s="218" t="n">
        <v>0</v>
      </c>
      <c r="E130" s="219">
        <f>C130-D130</f>
        <v/>
      </c>
      <c r="F130" s="220" t="n">
        <v>0</v>
      </c>
    </row>
    <row r="131" ht="15" customHeight="1">
      <c r="A131" s="136" t="inlineStr">
        <is>
          <t>סה"כ תקציב - נכסים</t>
        </is>
      </c>
      <c r="C131" s="204">
        <f>SUM(C130:C130)</f>
        <v/>
      </c>
      <c r="D131" s="205">
        <f>SUM(D130:D130)</f>
        <v/>
      </c>
      <c r="E131" s="206">
        <f>SUM(E130:E130)</f>
        <v/>
      </c>
      <c r="F131" s="207">
        <f>SUM(F130)</f>
        <v/>
      </c>
    </row>
    <row r="132" ht="14.25" customHeight="1">
      <c r="A132" s="49" t="n"/>
      <c r="F132" s="50" t="n"/>
    </row>
    <row r="133" ht="15.75" customHeight="1" thickBot="1">
      <c r="A133" s="97" t="inlineStr">
        <is>
          <t>קטגוריה</t>
        </is>
      </c>
      <c r="B133" s="9" t="inlineStr">
        <is>
          <t>סעיפים</t>
        </is>
      </c>
      <c r="C133" s="10" t="inlineStr">
        <is>
          <t>שיקוף</t>
        </is>
      </c>
      <c r="D133" s="11" t="inlineStr">
        <is>
          <t>איזון</t>
        </is>
      </c>
      <c r="E133" s="12" t="inlineStr">
        <is>
          <t>יתרה</t>
        </is>
      </c>
      <c r="F133" s="98" t="inlineStr">
        <is>
          <t>בפועל</t>
        </is>
      </c>
    </row>
    <row r="134" ht="15" customHeight="1" thickBot="1">
      <c r="A134" s="170" t="inlineStr">
        <is>
          <t>פיננסים</t>
        </is>
      </c>
      <c r="B134" s="14" t="inlineStr">
        <is>
          <t>עמלות</t>
        </is>
      </c>
      <c r="C134" s="195" t="n">
        <v>0</v>
      </c>
      <c r="D134" s="196" t="n">
        <v>0</v>
      </c>
      <c r="E134" s="197">
        <f>C134-D134</f>
        <v/>
      </c>
      <c r="F134" s="194" t="n">
        <v>0</v>
      </c>
    </row>
    <row r="135" ht="15" customHeight="1" thickBot="1">
      <c r="A135" s="49" t="n"/>
      <c r="B135" t="inlineStr">
        <is>
          <t>ביטוח חיים</t>
        </is>
      </c>
      <c r="C135" s="191" t="n">
        <v>0</v>
      </c>
      <c r="D135" s="192" t="n">
        <v>0</v>
      </c>
      <c r="E135" s="193">
        <f>C135-D135</f>
        <v/>
      </c>
      <c r="F135" s="198" t="n">
        <v>0</v>
      </c>
    </row>
    <row r="136" ht="15" customHeight="1" thickBot="1">
      <c r="A136" s="49" t="n"/>
      <c r="B136" t="inlineStr">
        <is>
          <t>ביטוח לאומי (למי שלא עובד)</t>
        </is>
      </c>
      <c r="C136" s="191" t="n">
        <v>0</v>
      </c>
      <c r="D136" s="192" t="n">
        <v>0</v>
      </c>
      <c r="E136" s="193">
        <f>C136-D136</f>
        <v/>
      </c>
      <c r="F136" s="198" t="n">
        <v>0</v>
      </c>
    </row>
    <row r="137">
      <c r="A137" s="199" t="n"/>
      <c r="B137" s="18" t="inlineStr">
        <is>
          <t>פיננסים - כללי</t>
        </is>
      </c>
      <c r="C137" s="200" t="n">
        <v>0</v>
      </c>
      <c r="D137" s="201" t="n">
        <v>0</v>
      </c>
      <c r="E137" s="202">
        <f>C137-D137</f>
        <v/>
      </c>
      <c r="F137" s="203" t="n">
        <v>0</v>
      </c>
    </row>
    <row r="138" ht="15" customHeight="1" thickBot="1">
      <c r="A138" s="139" t="inlineStr">
        <is>
          <t>סה"כ תקציב - פיננסים</t>
        </is>
      </c>
      <c r="B138" s="188" t="n"/>
      <c r="C138" s="212">
        <f>SUM(C134:C137)</f>
        <v/>
      </c>
      <c r="D138" s="213">
        <f>SUM(D134:D137)</f>
        <v/>
      </c>
      <c r="E138" s="214">
        <f>SUM(E134:E137)</f>
        <v/>
      </c>
      <c r="F138" s="215">
        <f>SUM(F134:F137)</f>
        <v/>
      </c>
    </row>
  </sheetData>
  <mergeCells count="49">
    <mergeCell ref="A101:A105"/>
    <mergeCell ref="H20:I20"/>
    <mergeCell ref="A98:B98"/>
    <mergeCell ref="L3:L4"/>
    <mergeCell ref="H23:H26"/>
    <mergeCell ref="H7:H11"/>
    <mergeCell ref="F3:F4"/>
    <mergeCell ref="A72:A74"/>
    <mergeCell ref="A138:B138"/>
    <mergeCell ref="A59:A68"/>
    <mergeCell ref="A69:B69"/>
    <mergeCell ref="H15:H19"/>
    <mergeCell ref="H3:I4"/>
    <mergeCell ref="A53:A55"/>
    <mergeCell ref="A25:B25"/>
    <mergeCell ref="A35:A39"/>
    <mergeCell ref="A7:A12"/>
    <mergeCell ref="M3:M4"/>
    <mergeCell ref="A75:B75"/>
    <mergeCell ref="D3:D4"/>
    <mergeCell ref="A56:B56"/>
    <mergeCell ref="A50:B50"/>
    <mergeCell ref="A88:A97"/>
    <mergeCell ref="A43:A49"/>
    <mergeCell ref="A1:M1"/>
    <mergeCell ref="A113:B113"/>
    <mergeCell ref="A85:B85"/>
    <mergeCell ref="A32:B32"/>
    <mergeCell ref="J3:J4"/>
    <mergeCell ref="A125:A126"/>
    <mergeCell ref="A134:A137"/>
    <mergeCell ref="A106:B106"/>
    <mergeCell ref="A116:A121"/>
    <mergeCell ref="A122:B122"/>
    <mergeCell ref="H27:I27"/>
    <mergeCell ref="A131:B131"/>
    <mergeCell ref="H12:I12"/>
    <mergeCell ref="A109:A112"/>
    <mergeCell ref="K3:K4"/>
    <mergeCell ref="C3:C4"/>
    <mergeCell ref="A78:A84"/>
    <mergeCell ref="E3:E4"/>
    <mergeCell ref="A28:A31"/>
    <mergeCell ref="A13:B13"/>
    <mergeCell ref="A127:B127"/>
    <mergeCell ref="A16:A24"/>
    <mergeCell ref="A2:M2"/>
    <mergeCell ref="A3:B4"/>
    <mergeCell ref="A40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"/>
  <sheetViews>
    <sheetView showGridLines="0" rightToLeft="1" zoomScaleNormal="100" workbookViewId="0">
      <selection activeCell="H34" sqref="H34"/>
    </sheetView>
  </sheetViews>
  <sheetFormatPr baseColWidth="8" defaultRowHeight="14.25" customHeight="1"/>
  <cols>
    <col width="20.625" customWidth="1" min="1" max="1"/>
    <col width="31.625" customWidth="1" min="2" max="2"/>
    <col width="16.625" customWidth="1" min="3" max="6"/>
    <col width="20.625" customWidth="1" min="8" max="8"/>
    <col width="31.625" customWidth="1" min="9" max="9"/>
    <col width="16.625" customWidth="1" min="10" max="13"/>
  </cols>
  <sheetData>
    <row r="1" ht="21" customHeight="1" thickBot="1">
      <c r="A1" s="175" t="inlineStr">
        <is>
          <t>תקציב בקרה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</row>
    <row r="2" ht="15" customHeight="1" thickBot="1" thickTop="1">
      <c r="A2" s="142" t="inlineStr">
        <is>
          <t>מטרת תקציב בקרה הינו לבנות תקציב שגבוה מהשיקוף לטובת יתרת זכות גם לאחר פעולות בלתי מתוכננות. מטרטינו העיקרית להגיע ליתרה של כ-10% ע"י שינויים בין הקטגוריות השונות. חובה לשמור על בקרה בין סה"כ הכנסות לסה"כ הוצאות</t>
        </is>
      </c>
    </row>
    <row r="3" ht="12" customHeight="1">
      <c r="A3" s="177" t="inlineStr">
        <is>
          <t>סיכום הוצאות</t>
        </is>
      </c>
      <c r="B3" s="63" t="n"/>
      <c r="C3" s="178">
        <f>C13+C25+C32+C40+C50+C56+C69+C75+C85+C98+C106+C113+C122+C127+C131+C138</f>
        <v/>
      </c>
      <c r="D3" s="179">
        <f>D13+D25+D32+D40+D50+D56+D69+D75+D85+D98+D106+D113+D122+D127+D131+D138</f>
        <v/>
      </c>
      <c r="E3" s="180">
        <f>E13+E25+E32+E40+E50+E56+E69+E75+E85+E98+E106+E113+E122+E127+E131+E138</f>
        <v/>
      </c>
      <c r="F3" s="181">
        <f>F13+F25+F32+F40+F50+F56+F69+F75+F85+F98+F106+F113+F122+F127+F131+F138</f>
        <v/>
      </c>
      <c r="H3" s="182" t="inlineStr">
        <is>
          <t>סיכום הכנסות</t>
        </is>
      </c>
      <c r="I3" s="63" t="n"/>
      <c r="J3" s="183">
        <f>J12+J20+J27</f>
        <v/>
      </c>
      <c r="K3" s="184">
        <f>K12+K20+K27</f>
        <v/>
      </c>
      <c r="L3" s="185">
        <f>L12+L20+L27</f>
        <v/>
      </c>
      <c r="M3" s="186">
        <f>M12+M20+M27</f>
        <v/>
      </c>
    </row>
    <row r="4" ht="12" customHeight="1" thickBot="1">
      <c r="A4" s="187" t="n"/>
      <c r="B4" s="188" t="n"/>
      <c r="C4" s="188" t="n"/>
      <c r="D4" s="189" t="n"/>
      <c r="E4" s="188" t="n"/>
      <c r="F4" s="190" t="n"/>
      <c r="H4" s="187" t="n"/>
      <c r="I4" s="188" t="n"/>
      <c r="J4" s="188" t="n"/>
      <c r="K4" s="189" t="n"/>
      <c r="L4" s="188" t="n"/>
      <c r="M4" s="190" t="n"/>
    </row>
    <row r="5">
      <c r="A5" s="172" t="n"/>
      <c r="B5" s="173" t="n"/>
      <c r="C5" s="173" t="n"/>
      <c r="D5" s="173" t="n"/>
      <c r="E5" s="173" t="n"/>
      <c r="F5" s="174" t="n"/>
      <c r="H5" s="49" t="n"/>
      <c r="M5" s="50" t="n"/>
    </row>
    <row r="6" ht="15.75" customHeight="1" thickBot="1">
      <c r="A6" s="97" t="inlineStr">
        <is>
          <t>קטגוריה</t>
        </is>
      </c>
      <c r="B6" s="9" t="inlineStr">
        <is>
          <t>סעיפים</t>
        </is>
      </c>
      <c r="C6" s="10" t="inlineStr">
        <is>
          <t>שיקוף</t>
        </is>
      </c>
      <c r="D6" s="11" t="inlineStr">
        <is>
          <t>בקרה</t>
        </is>
      </c>
      <c r="E6" s="12" t="inlineStr">
        <is>
          <t>יתרה</t>
        </is>
      </c>
      <c r="F6" s="98" t="inlineStr">
        <is>
          <t>בפועל</t>
        </is>
      </c>
      <c r="H6" s="97" t="inlineStr">
        <is>
          <t>קטגוריה</t>
        </is>
      </c>
      <c r="I6" s="9" t="inlineStr">
        <is>
          <t>סעיפים</t>
        </is>
      </c>
      <c r="J6" s="10" t="inlineStr">
        <is>
          <t>שיקוף</t>
        </is>
      </c>
      <c r="K6" s="11" t="inlineStr">
        <is>
          <t>בקרה</t>
        </is>
      </c>
      <c r="L6" s="12" t="inlineStr">
        <is>
          <t>יתרה</t>
        </is>
      </c>
      <c r="M6" s="98" t="inlineStr">
        <is>
          <t>בפועל</t>
        </is>
      </c>
    </row>
    <row r="7" ht="15" customHeight="1" thickBot="1">
      <c r="A7" s="170" t="inlineStr">
        <is>
          <t>מזון ופארמה</t>
        </is>
      </c>
      <c r="B7" s="114" t="inlineStr">
        <is>
          <t>מזון</t>
        </is>
      </c>
      <c r="C7" s="191" t="n">
        <v>0</v>
      </c>
      <c r="D7" s="192" t="n">
        <v>0</v>
      </c>
      <c r="E7" s="193">
        <f>C7-D7</f>
        <v/>
      </c>
      <c r="F7" s="194" t="n">
        <v>0</v>
      </c>
      <c r="H7" s="171" t="inlineStr">
        <is>
          <t>שכר</t>
        </is>
      </c>
      <c r="I7" s="14" t="inlineStr">
        <is>
          <t>שכר עבודה 1</t>
        </is>
      </c>
      <c r="J7" s="195" t="n">
        <v>0</v>
      </c>
      <c r="K7" s="196" t="n">
        <v>0</v>
      </c>
      <c r="L7" s="197">
        <f>K7-J7</f>
        <v/>
      </c>
      <c r="M7" s="194" t="n">
        <v>0</v>
      </c>
    </row>
    <row r="8" ht="15" customHeight="1" thickBot="1">
      <c r="A8" s="49" t="n"/>
      <c r="B8" s="114" t="inlineStr">
        <is>
          <t>פארמה וטואלטיקה</t>
        </is>
      </c>
      <c r="C8" s="191" t="n">
        <v>0</v>
      </c>
      <c r="D8" s="192" t="n">
        <v>0</v>
      </c>
      <c r="E8" s="193">
        <f>C8-D8</f>
        <v/>
      </c>
      <c r="F8" s="198" t="n">
        <v>0</v>
      </c>
      <c r="H8" s="49" t="n"/>
      <c r="I8" t="inlineStr">
        <is>
          <t>שכר עבודה 2</t>
        </is>
      </c>
      <c r="J8" s="191" t="n">
        <v>0</v>
      </c>
      <c r="K8" s="192" t="n">
        <v>0</v>
      </c>
      <c r="L8" s="193">
        <f>K8-J8</f>
        <v/>
      </c>
      <c r="M8" s="198" t="n">
        <v>0</v>
      </c>
    </row>
    <row r="9" ht="15" customHeight="1" thickBot="1">
      <c r="A9" s="49" t="n"/>
      <c r="B9" s="114" t="inlineStr">
        <is>
          <t>בר מים</t>
        </is>
      </c>
      <c r="C9" s="191" t="n">
        <v>0</v>
      </c>
      <c r="D9" s="192" t="n">
        <v>0</v>
      </c>
      <c r="E9" s="193">
        <f>C9-D9</f>
        <v/>
      </c>
      <c r="F9" s="198" t="n">
        <v>0</v>
      </c>
      <c r="H9" s="49" t="n"/>
      <c r="I9" t="inlineStr">
        <is>
          <t>שכר עבודה 3</t>
        </is>
      </c>
      <c r="J9" s="191" t="n">
        <v>0</v>
      </c>
      <c r="K9" s="192" t="n">
        <v>0</v>
      </c>
      <c r="L9" s="193">
        <f>K9-J9</f>
        <v/>
      </c>
      <c r="M9" s="198" t="n">
        <v>0</v>
      </c>
    </row>
    <row r="10" ht="15" customHeight="1" thickBot="1">
      <c r="A10" s="49" t="n"/>
      <c r="B10" s="114" t="inlineStr">
        <is>
          <t>אוכל מוכן / בעבודה</t>
        </is>
      </c>
      <c r="C10" s="191" t="n">
        <v>0</v>
      </c>
      <c r="D10" s="192" t="n">
        <v>0</v>
      </c>
      <c r="E10" s="193">
        <f>C10-D10</f>
        <v/>
      </c>
      <c r="F10" s="198" t="n">
        <v>0</v>
      </c>
      <c r="H10" s="49" t="n"/>
      <c r="I10" t="inlineStr">
        <is>
          <t>שכר עבודה 4</t>
        </is>
      </c>
      <c r="J10" s="191" t="n">
        <v>0</v>
      </c>
      <c r="K10" s="192" t="n">
        <v>0</v>
      </c>
      <c r="L10" s="193">
        <f>K10-J10</f>
        <v/>
      </c>
      <c r="M10" s="198" t="n">
        <v>0</v>
      </c>
    </row>
    <row r="11" ht="15" customHeight="1" thickBot="1">
      <c r="A11" s="49" t="n"/>
      <c r="B11" s="114" t="inlineStr">
        <is>
          <t>עישון</t>
        </is>
      </c>
      <c r="C11" s="191" t="n">
        <v>0</v>
      </c>
      <c r="D11" s="192" t="n">
        <v>0</v>
      </c>
      <c r="E11" s="193">
        <f>C11-D11</f>
        <v/>
      </c>
      <c r="F11" s="198" t="n">
        <v>0</v>
      </c>
      <c r="H11" s="199" t="n"/>
      <c r="I11" s="18" t="inlineStr">
        <is>
          <t>שכר - כללי</t>
        </is>
      </c>
      <c r="J11" s="200" t="n">
        <v>0</v>
      </c>
      <c r="K11" s="201" t="n">
        <v>0</v>
      </c>
      <c r="L11" s="202">
        <f>K11-J11</f>
        <v/>
      </c>
      <c r="M11" s="203" t="n">
        <v>0</v>
      </c>
    </row>
    <row r="12" ht="15" customHeight="1">
      <c r="A12" s="199" t="n"/>
      <c r="B12" s="22" t="inlineStr">
        <is>
          <t>מזון ופארמה - כללי</t>
        </is>
      </c>
      <c r="C12" s="200" t="n">
        <v>0</v>
      </c>
      <c r="D12" s="201" t="n">
        <v>0</v>
      </c>
      <c r="E12" s="202">
        <f>C12-D12</f>
        <v/>
      </c>
      <c r="F12" s="203" t="n">
        <v>0</v>
      </c>
      <c r="H12" s="136" t="inlineStr">
        <is>
          <t>סה"כ תקציב - שכר</t>
        </is>
      </c>
      <c r="J12" s="204">
        <f>SUM(J7:J11)</f>
        <v/>
      </c>
      <c r="K12" s="205">
        <f>SUM(K7:K11)</f>
        <v/>
      </c>
      <c r="L12" s="206">
        <f>SUM(L7:L11)</f>
        <v/>
      </c>
      <c r="M12" s="207">
        <f>SUM(M7:M11)</f>
        <v/>
      </c>
    </row>
    <row r="13" ht="15" customHeight="1">
      <c r="A13" s="136" t="inlineStr">
        <is>
          <t>סה"כ תקציב - מזון ופארמה</t>
        </is>
      </c>
      <c r="C13" s="208">
        <f>SUM(C7:C12)</f>
        <v/>
      </c>
      <c r="D13" s="209">
        <f>SUM(D7:D12)</f>
        <v/>
      </c>
      <c r="E13" s="210">
        <f>SUM(E7:E12)</f>
        <v/>
      </c>
      <c r="F13" s="211">
        <f>SUM(F7:F12)</f>
        <v/>
      </c>
      <c r="H13" s="49" t="n"/>
      <c r="M13" s="50" t="n"/>
    </row>
    <row r="14" ht="15.75" customHeight="1" thickBot="1">
      <c r="A14" s="49" t="n"/>
      <c r="F14" s="50" t="n"/>
      <c r="H14" s="97" t="inlineStr">
        <is>
          <t>קטגוריה</t>
        </is>
      </c>
      <c r="I14" s="9" t="inlineStr">
        <is>
          <t>סעיפים</t>
        </is>
      </c>
      <c r="J14" s="10" t="inlineStr">
        <is>
          <t>שיקוף</t>
        </is>
      </c>
      <c r="K14" s="11" t="inlineStr">
        <is>
          <t>בקרה</t>
        </is>
      </c>
      <c r="L14" s="12" t="inlineStr">
        <is>
          <t>יתרה</t>
        </is>
      </c>
      <c r="M14" s="98" t="inlineStr">
        <is>
          <t>בפועל</t>
        </is>
      </c>
    </row>
    <row r="15" ht="15.75" customHeight="1" thickBot="1">
      <c r="A15" s="97" t="inlineStr">
        <is>
          <t>קטגוריה</t>
        </is>
      </c>
      <c r="B15" s="9" t="inlineStr">
        <is>
          <t>סעיפים</t>
        </is>
      </c>
      <c r="C15" s="10" t="inlineStr">
        <is>
          <t>שיקוף</t>
        </is>
      </c>
      <c r="D15" s="11" t="inlineStr">
        <is>
          <t>בקרה</t>
        </is>
      </c>
      <c r="E15" s="12" t="inlineStr">
        <is>
          <t>יתרה</t>
        </is>
      </c>
      <c r="F15" s="98" t="inlineStr">
        <is>
          <t>בפועל</t>
        </is>
      </c>
      <c r="H15" s="171" t="inlineStr">
        <is>
          <t>קצבאות</t>
        </is>
      </c>
      <c r="I15" s="14" t="inlineStr">
        <is>
          <t>קצבת ילדים</t>
        </is>
      </c>
      <c r="J15" s="195" t="n">
        <v>0</v>
      </c>
      <c r="K15" s="196" t="n">
        <v>0</v>
      </c>
      <c r="L15" s="197">
        <f>K15-J15</f>
        <v/>
      </c>
      <c r="M15" s="194" t="n">
        <v>0</v>
      </c>
    </row>
    <row r="16" ht="15" customHeight="1" thickBot="1">
      <c r="A16" s="170" t="inlineStr">
        <is>
          <t>פנאי, בילוי ותחביבים</t>
        </is>
      </c>
      <c r="B16" s="14" t="inlineStr">
        <is>
          <t>מסעדה ואוכל בחוץ</t>
        </is>
      </c>
      <c r="C16" s="195" t="n">
        <v>0</v>
      </c>
      <c r="D16" s="196" t="n">
        <v>0</v>
      </c>
      <c r="E16" s="197">
        <f>C16-D16</f>
        <v/>
      </c>
      <c r="F16" s="194" t="n">
        <v>0</v>
      </c>
      <c r="H16" s="49" t="n"/>
      <c r="I16" t="inlineStr">
        <is>
          <t>קצבת נכות</t>
        </is>
      </c>
      <c r="J16" s="191" t="n">
        <v>0</v>
      </c>
      <c r="K16" s="192" t="n">
        <v>0</v>
      </c>
      <c r="L16" s="193">
        <f>K16-J16</f>
        <v/>
      </c>
      <c r="M16" s="198" t="n">
        <v>0</v>
      </c>
    </row>
    <row r="17" ht="15" customHeight="1" thickBot="1">
      <c r="A17" s="49" t="n"/>
      <c r="B17" t="inlineStr">
        <is>
          <t>ספורט</t>
        </is>
      </c>
      <c r="C17" s="191" t="n">
        <v>0</v>
      </c>
      <c r="D17" s="192" t="n">
        <v>0</v>
      </c>
      <c r="E17" s="193">
        <f>C17-D17</f>
        <v/>
      </c>
      <c r="F17" s="198" t="n">
        <v>0</v>
      </c>
      <c r="H17" s="49" t="n"/>
      <c r="I17" t="inlineStr">
        <is>
          <t>סיוע בשכר דירה</t>
        </is>
      </c>
      <c r="J17" s="191" t="n">
        <v>0</v>
      </c>
      <c r="K17" s="192" t="n">
        <v>0</v>
      </c>
      <c r="L17" s="193">
        <f>K17-J17</f>
        <v/>
      </c>
      <c r="M17" s="198" t="n">
        <v>0</v>
      </c>
    </row>
    <row r="18" ht="15" customHeight="1" thickBot="1">
      <c r="A18" s="49" t="n"/>
      <c r="B18" t="inlineStr">
        <is>
          <t>חופשות</t>
        </is>
      </c>
      <c r="C18" s="191" t="n">
        <v>0</v>
      </c>
      <c r="D18" s="192" t="n">
        <v>0</v>
      </c>
      <c r="E18" s="193">
        <f>C18-D18</f>
        <v/>
      </c>
      <c r="F18" s="198" t="n">
        <v>0</v>
      </c>
      <c r="H18" s="49" t="n"/>
      <c r="I18" t="inlineStr">
        <is>
          <t>קצבת זיקנה</t>
        </is>
      </c>
      <c r="J18" s="191" t="n">
        <v>0</v>
      </c>
      <c r="K18" s="192" t="n">
        <v>0</v>
      </c>
      <c r="L18" s="193">
        <f>K18-J18</f>
        <v/>
      </c>
      <c r="M18" s="198" t="n">
        <v>0</v>
      </c>
    </row>
    <row r="19" ht="15" customHeight="1" thickBot="1">
      <c r="A19" s="49" t="n"/>
      <c r="B19" t="inlineStr">
        <is>
          <t>בילויים ומופעים</t>
        </is>
      </c>
      <c r="C19" s="191" t="n">
        <v>0</v>
      </c>
      <c r="D19" s="192" t="n">
        <v>0</v>
      </c>
      <c r="E19" s="193">
        <f>C19-D19</f>
        <v/>
      </c>
      <c r="F19" s="198" t="n">
        <v>0</v>
      </c>
      <c r="H19" s="199" t="n"/>
      <c r="I19" s="18" t="inlineStr">
        <is>
          <t>קצבאות - כללי</t>
        </is>
      </c>
      <c r="J19" s="200" t="n">
        <v>0</v>
      </c>
      <c r="K19" s="201" t="n">
        <v>0</v>
      </c>
      <c r="L19" s="202">
        <f>K19-J19</f>
        <v/>
      </c>
      <c r="M19" s="203" t="n">
        <v>0</v>
      </c>
    </row>
    <row r="20" ht="15" customHeight="1" thickBot="1">
      <c r="A20" s="49" t="n"/>
      <c r="B20" t="inlineStr">
        <is>
          <t>חיות מחמד</t>
        </is>
      </c>
      <c r="C20" s="191" t="n">
        <v>0</v>
      </c>
      <c r="D20" s="192" t="n">
        <v>0</v>
      </c>
      <c r="E20" s="193">
        <f>C20-D20</f>
        <v/>
      </c>
      <c r="F20" s="198" t="n">
        <v>0</v>
      </c>
      <c r="H20" s="136" t="inlineStr">
        <is>
          <t>סה"כ תקציב - קצבאות</t>
        </is>
      </c>
      <c r="J20" s="204">
        <f>SUM(J15:J19)</f>
        <v/>
      </c>
      <c r="K20" s="205">
        <f>SUM(K15:K19)</f>
        <v/>
      </c>
      <c r="L20" s="206">
        <f>SUM(L15:L19)</f>
        <v/>
      </c>
      <c r="M20" s="207">
        <f>SUM(M15:M19)</f>
        <v/>
      </c>
    </row>
    <row r="21" ht="15" customHeight="1" thickBot="1">
      <c r="A21" s="49" t="n"/>
      <c r="B21" t="inlineStr">
        <is>
          <t>חוגי מבוגרים</t>
        </is>
      </c>
      <c r="C21" s="191" t="n">
        <v>0</v>
      </c>
      <c r="D21" s="192" t="n">
        <v>0</v>
      </c>
      <c r="E21" s="193">
        <f>C21-D21</f>
        <v/>
      </c>
      <c r="F21" s="198" t="n">
        <v>0</v>
      </c>
      <c r="H21" s="49" t="n"/>
      <c r="M21" s="50" t="n"/>
    </row>
    <row r="22" ht="15.75" customHeight="1" thickBot="1">
      <c r="A22" s="49" t="n"/>
      <c r="B22" t="inlineStr">
        <is>
          <t>בייביסיטר</t>
        </is>
      </c>
      <c r="C22" s="191" t="n">
        <v>0</v>
      </c>
      <c r="D22" s="192" t="n">
        <v>0</v>
      </c>
      <c r="E22" s="193">
        <f>C22-D22</f>
        <v/>
      </c>
      <c r="F22" s="198" t="n">
        <v>0</v>
      </c>
      <c r="H22" s="97" t="inlineStr">
        <is>
          <t>קטגוריה</t>
        </is>
      </c>
      <c r="I22" s="9" t="inlineStr">
        <is>
          <t>סעיפים</t>
        </is>
      </c>
      <c r="J22" s="10" t="inlineStr">
        <is>
          <t>שיקוף</t>
        </is>
      </c>
      <c r="K22" s="11" t="inlineStr">
        <is>
          <t>בקרה</t>
        </is>
      </c>
      <c r="L22" s="12" t="inlineStr">
        <is>
          <t>יתרה</t>
        </is>
      </c>
      <c r="M22" s="98" t="inlineStr">
        <is>
          <t>בפועל</t>
        </is>
      </c>
    </row>
    <row r="23" ht="15" customHeight="1" thickBot="1">
      <c r="A23" s="49" t="n"/>
      <c r="B23" t="inlineStr">
        <is>
          <t>הגרלות</t>
        </is>
      </c>
      <c r="C23" s="191" t="n">
        <v>0</v>
      </c>
      <c r="D23" s="192" t="n">
        <v>0</v>
      </c>
      <c r="E23" s="193">
        <f>C23-D23</f>
        <v/>
      </c>
      <c r="F23" s="198" t="n">
        <v>0</v>
      </c>
      <c r="H23" s="171" t="inlineStr">
        <is>
          <t>הכנסות שונות</t>
        </is>
      </c>
      <c r="I23" s="14" t="inlineStr">
        <is>
          <t>קבלת מזונות</t>
        </is>
      </c>
      <c r="J23" s="195" t="n">
        <v>0</v>
      </c>
      <c r="K23" s="196" t="n">
        <v>0</v>
      </c>
      <c r="L23" s="197">
        <f>K23-J23</f>
        <v/>
      </c>
      <c r="M23" s="194" t="n">
        <v>0</v>
      </c>
    </row>
    <row r="24" ht="15" customHeight="1" thickBot="1">
      <c r="A24" s="199" t="n"/>
      <c r="B24" s="18" t="inlineStr">
        <is>
          <t>פנאי - כללי</t>
        </is>
      </c>
      <c r="C24" s="200" t="n">
        <v>0</v>
      </c>
      <c r="D24" s="201" t="n">
        <v>0</v>
      </c>
      <c r="E24" s="202">
        <f>C24-D24</f>
        <v/>
      </c>
      <c r="F24" s="203" t="n">
        <v>0</v>
      </c>
      <c r="H24" s="49" t="n"/>
      <c r="I24" t="inlineStr">
        <is>
          <t>הכנסה מנכס</t>
        </is>
      </c>
      <c r="J24" s="191" t="n">
        <v>0</v>
      </c>
      <c r="K24" s="192" t="n">
        <v>0</v>
      </c>
      <c r="L24" s="193">
        <f>K24-J24</f>
        <v/>
      </c>
      <c r="M24" s="198" t="n">
        <v>0</v>
      </c>
    </row>
    <row r="25" ht="15" customHeight="1" thickBot="1">
      <c r="A25" s="136" t="inlineStr">
        <is>
          <t>סה"כ תקציב - פנאי, בילוי ותחביבים</t>
        </is>
      </c>
      <c r="C25" s="204">
        <f>SUM(C16:C24)</f>
        <v/>
      </c>
      <c r="D25" s="205">
        <f>SUM(D16:D24)</f>
        <v/>
      </c>
      <c r="E25" s="206">
        <f>SUM(E16:E24)</f>
        <v/>
      </c>
      <c r="F25" s="207">
        <f>SUM(F16:F24)</f>
        <v/>
      </c>
      <c r="H25" s="49" t="n"/>
      <c r="I25" t="inlineStr">
        <is>
          <t>עזרה מההורים</t>
        </is>
      </c>
      <c r="J25" s="191" t="n">
        <v>0</v>
      </c>
      <c r="K25" s="192" t="n">
        <v>0</v>
      </c>
      <c r="L25" s="193">
        <f>K25-J25</f>
        <v/>
      </c>
      <c r="M25" s="198" t="n">
        <v>0</v>
      </c>
    </row>
    <row r="26">
      <c r="A26" s="49" t="n"/>
      <c r="F26" s="50" t="n"/>
      <c r="H26" s="199" t="n"/>
      <c r="I26" s="18" t="inlineStr">
        <is>
          <t>הכנסות שונות - כללי</t>
        </is>
      </c>
      <c r="J26" s="200" t="n">
        <v>0</v>
      </c>
      <c r="K26" s="201" t="n">
        <v>0</v>
      </c>
      <c r="L26" s="202">
        <f>K26-J26</f>
        <v/>
      </c>
      <c r="M26" s="203" t="n">
        <v>0</v>
      </c>
    </row>
    <row r="27" ht="15.75" customHeight="1" thickBot="1">
      <c r="A27" s="97" t="inlineStr">
        <is>
          <t>קטגוריה</t>
        </is>
      </c>
      <c r="B27" s="9" t="inlineStr">
        <is>
          <t>סעיפים</t>
        </is>
      </c>
      <c r="C27" s="10" t="inlineStr">
        <is>
          <t>שיקוף</t>
        </is>
      </c>
      <c r="D27" s="11" t="inlineStr">
        <is>
          <t>בקרה</t>
        </is>
      </c>
      <c r="E27" s="12" t="inlineStr">
        <is>
          <t>יתרה</t>
        </is>
      </c>
      <c r="F27" s="98" t="inlineStr">
        <is>
          <t>בפועל</t>
        </is>
      </c>
      <c r="H27" s="139" t="inlineStr">
        <is>
          <t>סה"כ תקציב - הכנסות שונות</t>
        </is>
      </c>
      <c r="I27" s="188" t="n"/>
      <c r="J27" s="212">
        <f>SUM(J23:J26)</f>
        <v/>
      </c>
      <c r="K27" s="213">
        <f>SUM(K23:K26)</f>
        <v/>
      </c>
      <c r="L27" s="214">
        <f>SUM(L23:L26)</f>
        <v/>
      </c>
      <c r="M27" s="215">
        <f>SUM(M23:M26)</f>
        <v/>
      </c>
    </row>
    <row r="28" ht="15" customHeight="1" thickBot="1">
      <c r="A28" s="170" t="inlineStr">
        <is>
          <t>ביגוד והנעלה</t>
        </is>
      </c>
      <c r="B28" s="14" t="inlineStr">
        <is>
          <t>ביגוד הורים</t>
        </is>
      </c>
      <c r="C28" s="195" t="n">
        <v>0</v>
      </c>
      <c r="D28" s="196" t="n">
        <v>0</v>
      </c>
      <c r="E28" s="197">
        <f>C28-D28</f>
        <v/>
      </c>
      <c r="F28" s="194" t="n">
        <v>0</v>
      </c>
    </row>
    <row r="29" ht="15" customHeight="1" thickBot="1">
      <c r="A29" s="49" t="n"/>
      <c r="B29" t="inlineStr">
        <is>
          <t>ביגוד ילדים</t>
        </is>
      </c>
      <c r="C29" s="191" t="n">
        <v>0</v>
      </c>
      <c r="D29" s="192" t="n">
        <v>0</v>
      </c>
      <c r="E29" s="193">
        <f>C29-D29</f>
        <v/>
      </c>
      <c r="F29" s="198" t="n">
        <v>0</v>
      </c>
    </row>
    <row r="30" ht="15" customHeight="1" thickBot="1">
      <c r="A30" s="49" t="n"/>
      <c r="B30" t="inlineStr">
        <is>
          <t>נעליים</t>
        </is>
      </c>
      <c r="C30" s="191" t="n">
        <v>0</v>
      </c>
      <c r="D30" s="192" t="n">
        <v>0</v>
      </c>
      <c r="E30" s="193">
        <f>C30-D30</f>
        <v/>
      </c>
      <c r="F30" s="198" t="n">
        <v>0</v>
      </c>
    </row>
    <row r="31">
      <c r="A31" s="199" t="n"/>
      <c r="B31" s="18" t="inlineStr">
        <is>
          <t>ביגוד והנעלה - כללי</t>
        </is>
      </c>
      <c r="C31" s="200" t="n">
        <v>0</v>
      </c>
      <c r="D31" s="201" t="n">
        <v>0</v>
      </c>
      <c r="E31" s="202">
        <f>C31-D31</f>
        <v/>
      </c>
      <c r="F31" s="203" t="n">
        <v>0</v>
      </c>
    </row>
    <row r="32" ht="15" customHeight="1">
      <c r="A32" s="136" t="inlineStr">
        <is>
          <t>סה"כ תקציב - ביגוד והנעלה</t>
        </is>
      </c>
      <c r="C32" s="204">
        <f>SUM(C28:C31)</f>
        <v/>
      </c>
      <c r="D32" s="205">
        <f>SUM(D28:D31)</f>
        <v/>
      </c>
      <c r="E32" s="206">
        <f>SUM(E28:E31)</f>
        <v/>
      </c>
      <c r="F32" s="207">
        <f>SUM(F28:F31)</f>
        <v/>
      </c>
    </row>
    <row r="33" ht="14.25" customHeight="1">
      <c r="A33" s="49" t="n"/>
      <c r="F33" s="50" t="n"/>
    </row>
    <row r="34" ht="15.75" customHeight="1" thickBot="1">
      <c r="A34" s="97" t="inlineStr">
        <is>
          <t>קטגוריה</t>
        </is>
      </c>
      <c r="B34" s="9" t="inlineStr">
        <is>
          <t>סעיפים</t>
        </is>
      </c>
      <c r="C34" s="10" t="inlineStr">
        <is>
          <t>שיקוף</t>
        </is>
      </c>
      <c r="D34" s="11" t="inlineStr">
        <is>
          <t>בקרה</t>
        </is>
      </c>
      <c r="E34" s="12" t="inlineStr">
        <is>
          <t>יתרה</t>
        </is>
      </c>
      <c r="F34" s="98" t="inlineStr">
        <is>
          <t>בפועל</t>
        </is>
      </c>
    </row>
    <row r="35" ht="15" customHeight="1" thickBot="1">
      <c r="A35" s="170" t="inlineStr">
        <is>
          <t>תכולת בית</t>
        </is>
      </c>
      <c r="B35" s="14" t="inlineStr">
        <is>
          <t>ריהוט</t>
        </is>
      </c>
      <c r="C35" s="195" t="n">
        <v>0</v>
      </c>
      <c r="D35" s="196" t="n">
        <v>0</v>
      </c>
      <c r="E35" s="197">
        <f>C35-D35</f>
        <v/>
      </c>
      <c r="F35" s="194" t="n">
        <v>0</v>
      </c>
    </row>
    <row r="36" ht="15" customHeight="1" thickBot="1">
      <c r="A36" s="49" t="n"/>
      <c r="B36" t="inlineStr">
        <is>
          <t>מוצרי חשמל ואלקטרוניקה</t>
        </is>
      </c>
      <c r="C36" s="191" t="n">
        <v>0</v>
      </c>
      <c r="D36" s="192" t="n">
        <v>0</v>
      </c>
      <c r="E36" s="193">
        <f>C36-D36</f>
        <v/>
      </c>
      <c r="F36" s="198" t="n">
        <v>0</v>
      </c>
    </row>
    <row r="37" ht="15" customHeight="1" thickBot="1">
      <c r="A37" s="49" t="n"/>
      <c r="B37" t="inlineStr">
        <is>
          <t>משחקים, צעצועים וספרים</t>
        </is>
      </c>
      <c r="C37" s="191" t="n">
        <v>0</v>
      </c>
      <c r="D37" s="192" t="n">
        <v>0</v>
      </c>
      <c r="E37" s="193">
        <f>C37-D37</f>
        <v/>
      </c>
      <c r="F37" s="198" t="n">
        <v>0</v>
      </c>
    </row>
    <row r="38" ht="15" customHeight="1" thickBot="1">
      <c r="A38" s="49" t="n"/>
      <c r="B38" t="inlineStr">
        <is>
          <t>כלי בית</t>
        </is>
      </c>
      <c r="C38" s="191" t="n">
        <v>0</v>
      </c>
      <c r="D38" s="192" t="n">
        <v>0</v>
      </c>
      <c r="E38" s="193">
        <f>C38-D38</f>
        <v/>
      </c>
      <c r="F38" s="198" t="n">
        <v>0</v>
      </c>
    </row>
    <row r="39">
      <c r="A39" s="199" t="n"/>
      <c r="B39" s="18" t="inlineStr">
        <is>
          <t>תכולת בית - כללי</t>
        </is>
      </c>
      <c r="C39" s="200" t="n">
        <v>0</v>
      </c>
      <c r="D39" s="201" t="n">
        <v>0</v>
      </c>
      <c r="E39" s="202">
        <f>C39-D39</f>
        <v/>
      </c>
      <c r="F39" s="203" t="n">
        <v>0</v>
      </c>
    </row>
    <row r="40" ht="15" customHeight="1">
      <c r="A40" s="136" t="inlineStr">
        <is>
          <t>סה"כ תקציב - תכולת בית</t>
        </is>
      </c>
      <c r="C40" s="204">
        <f>SUM(C35:C39)</f>
        <v/>
      </c>
      <c r="D40" s="205">
        <f>SUM(D35:D39)</f>
        <v/>
      </c>
      <c r="E40" s="206">
        <f>SUM(E35:E39)</f>
        <v/>
      </c>
      <c r="F40" s="207">
        <f>SUM(F35:F39)</f>
        <v/>
      </c>
    </row>
    <row r="41" ht="14.25" customHeight="1">
      <c r="A41" s="49" t="n"/>
      <c r="F41" s="50" t="n"/>
    </row>
    <row r="42" ht="15.75" customHeight="1" thickBot="1">
      <c r="A42" s="97" t="inlineStr">
        <is>
          <t>קטגוריה</t>
        </is>
      </c>
      <c r="B42" s="9" t="inlineStr">
        <is>
          <t>סעיפים</t>
        </is>
      </c>
      <c r="C42" s="10" t="inlineStr">
        <is>
          <t>שיקוף</t>
        </is>
      </c>
      <c r="D42" s="11" t="inlineStr">
        <is>
          <t>בקרה</t>
        </is>
      </c>
      <c r="E42" s="12" t="inlineStr">
        <is>
          <t>יתרה</t>
        </is>
      </c>
      <c r="F42" s="98" t="inlineStr">
        <is>
          <t>בפועל</t>
        </is>
      </c>
    </row>
    <row r="43" ht="15" customHeight="1" thickBot="1">
      <c r="A43" s="170" t="inlineStr">
        <is>
          <t>אחזקת בית</t>
        </is>
      </c>
      <c r="B43" s="14" t="inlineStr">
        <is>
          <t>חשמל</t>
        </is>
      </c>
      <c r="C43" s="195" t="n">
        <v>0</v>
      </c>
      <c r="D43" s="196" t="n">
        <v>0</v>
      </c>
      <c r="E43" s="197">
        <f>C43-D43</f>
        <v/>
      </c>
      <c r="F43" s="194" t="n">
        <v>0</v>
      </c>
    </row>
    <row r="44" ht="15" customHeight="1" thickBot="1">
      <c r="A44" s="49" t="n"/>
      <c r="B44" t="inlineStr">
        <is>
          <t>מים וביוב</t>
        </is>
      </c>
      <c r="C44" s="191" t="n">
        <v>0</v>
      </c>
      <c r="D44" s="192" t="n">
        <v>0</v>
      </c>
      <c r="E44" s="193">
        <f>C44-D44</f>
        <v/>
      </c>
      <c r="F44" s="198" t="n">
        <v>0</v>
      </c>
    </row>
    <row r="45" ht="15" customHeight="1" thickBot="1">
      <c r="A45" s="49" t="n"/>
      <c r="B45" t="inlineStr">
        <is>
          <t>גז</t>
        </is>
      </c>
      <c r="C45" s="191" t="n">
        <v>0</v>
      </c>
      <c r="D45" s="192" t="n">
        <v>0</v>
      </c>
      <c r="E45" s="193">
        <f>C45-D45</f>
        <v/>
      </c>
      <c r="F45" s="198" t="n">
        <v>0</v>
      </c>
    </row>
    <row r="46" ht="15" customHeight="1" thickBot="1">
      <c r="A46" s="49" t="n"/>
      <c r="B46" t="inlineStr">
        <is>
          <t>ניקיון</t>
        </is>
      </c>
      <c r="C46" s="191" t="n">
        <v>0</v>
      </c>
      <c r="D46" s="192" t="n">
        <v>0</v>
      </c>
      <c r="E46" s="193">
        <f>C46-D46</f>
        <v/>
      </c>
      <c r="F46" s="198" t="n">
        <v>0</v>
      </c>
    </row>
    <row r="47" ht="15" customHeight="1" thickBot="1">
      <c r="A47" s="49" t="n"/>
      <c r="B47" t="inlineStr">
        <is>
          <t>תיקונים בבית / במכשירים</t>
        </is>
      </c>
      <c r="C47" s="191" t="n">
        <v>0</v>
      </c>
      <c r="D47" s="192" t="n">
        <v>0</v>
      </c>
      <c r="E47" s="193">
        <f>C47-D47</f>
        <v/>
      </c>
      <c r="F47" s="198" t="n">
        <v>0</v>
      </c>
    </row>
    <row r="48" ht="15" customHeight="1" thickBot="1">
      <c r="A48" s="49" t="n"/>
      <c r="B48" t="inlineStr">
        <is>
          <t>גינה</t>
        </is>
      </c>
      <c r="C48" s="191" t="n">
        <v>0</v>
      </c>
      <c r="D48" s="192" t="n">
        <v>0</v>
      </c>
      <c r="E48" s="193">
        <f>C48-D48</f>
        <v/>
      </c>
      <c r="F48" s="198" t="n">
        <v>0</v>
      </c>
    </row>
    <row r="49">
      <c r="A49" s="199" t="n"/>
      <c r="B49" s="18" t="inlineStr">
        <is>
          <t>אחזקת בית - כללי</t>
        </is>
      </c>
      <c r="C49" s="200" t="n">
        <v>0</v>
      </c>
      <c r="D49" s="201" t="n">
        <v>0</v>
      </c>
      <c r="E49" s="202">
        <f>C49-D49</f>
        <v/>
      </c>
      <c r="F49" s="203" t="n">
        <v>0</v>
      </c>
    </row>
    <row r="50" ht="15" customHeight="1">
      <c r="A50" s="136" t="inlineStr">
        <is>
          <t>סה"כ תקציב - אחזקת בית</t>
        </is>
      </c>
      <c r="C50" s="204">
        <f>SUM(C43:C49)</f>
        <v/>
      </c>
      <c r="D50" s="205">
        <f>SUM(D43:D49)</f>
        <v/>
      </c>
      <c r="E50" s="206">
        <f>SUM(E43:E49)</f>
        <v/>
      </c>
      <c r="F50" s="207">
        <f>SUM(F43:F49)</f>
        <v/>
      </c>
    </row>
    <row r="51" ht="14.25" customHeight="1">
      <c r="A51" s="49" t="n"/>
      <c r="F51" s="50" t="n"/>
    </row>
    <row r="52" ht="15.75" customHeight="1" thickBot="1">
      <c r="A52" s="97" t="inlineStr">
        <is>
          <t>קטגוריה</t>
        </is>
      </c>
      <c r="B52" s="9" t="inlineStr">
        <is>
          <t>סעיפים</t>
        </is>
      </c>
      <c r="C52" s="10" t="inlineStr">
        <is>
          <t>שיקוף</t>
        </is>
      </c>
      <c r="D52" s="11" t="inlineStr">
        <is>
          <t>בקרה</t>
        </is>
      </c>
      <c r="E52" s="12" t="inlineStr">
        <is>
          <t>יתרה</t>
        </is>
      </c>
      <c r="F52" s="98" t="inlineStr">
        <is>
          <t>בפועל</t>
        </is>
      </c>
    </row>
    <row r="53" ht="15" customHeight="1" thickBot="1">
      <c r="A53" s="170" t="inlineStr">
        <is>
          <t>טיפוח</t>
        </is>
      </c>
      <c r="B53" s="14" t="inlineStr">
        <is>
          <t>מספרה</t>
        </is>
      </c>
      <c r="C53" s="195" t="n">
        <v>0</v>
      </c>
      <c r="D53" s="196" t="n">
        <v>0</v>
      </c>
      <c r="E53" s="197">
        <f>C53-D53</f>
        <v/>
      </c>
      <c r="F53" s="194" t="n">
        <v>0</v>
      </c>
    </row>
    <row r="54" ht="15" customHeight="1" thickBot="1">
      <c r="A54" s="49" t="n"/>
      <c r="B54" t="inlineStr">
        <is>
          <t>קוסמטיקה</t>
        </is>
      </c>
      <c r="C54" s="191" t="n">
        <v>0</v>
      </c>
      <c r="D54" s="192" t="n">
        <v>0</v>
      </c>
      <c r="E54" s="193">
        <f>C54-D54</f>
        <v/>
      </c>
      <c r="F54" s="198" t="n">
        <v>0</v>
      </c>
    </row>
    <row r="55">
      <c r="A55" s="199" t="n"/>
      <c r="B55" s="18" t="inlineStr">
        <is>
          <t>טיפוח - כללי</t>
        </is>
      </c>
      <c r="C55" s="200" t="n">
        <v>0</v>
      </c>
      <c r="D55" s="201" t="n">
        <v>0</v>
      </c>
      <c r="E55" s="202">
        <f>C55-D55</f>
        <v/>
      </c>
      <c r="F55" s="203" t="n">
        <v>0</v>
      </c>
    </row>
    <row r="56" ht="15" customHeight="1">
      <c r="A56" s="136" t="inlineStr">
        <is>
          <t>סה"כ תקציב - טיפוח</t>
        </is>
      </c>
      <c r="C56" s="204">
        <f>SUM(C53:C55)</f>
        <v/>
      </c>
      <c r="D56" s="205">
        <f>SUM(D53:D55)</f>
        <v/>
      </c>
      <c r="E56" s="206">
        <f>SUM(E53:E55)</f>
        <v/>
      </c>
      <c r="F56" s="207">
        <f>SUM(F53:F55)</f>
        <v/>
      </c>
    </row>
    <row r="57" ht="14.25" customHeight="1">
      <c r="A57" s="49" t="n"/>
      <c r="F57" s="50" t="n"/>
    </row>
    <row r="58" ht="15.75" customHeight="1" thickBot="1">
      <c r="A58" s="97" t="inlineStr">
        <is>
          <t>קטגוריה</t>
        </is>
      </c>
      <c r="B58" s="9" t="inlineStr">
        <is>
          <t>סעיפים</t>
        </is>
      </c>
      <c r="C58" s="10" t="inlineStr">
        <is>
          <t>שיקוף</t>
        </is>
      </c>
      <c r="D58" s="11" t="inlineStr">
        <is>
          <t>בקרה</t>
        </is>
      </c>
      <c r="E58" s="12" t="inlineStr">
        <is>
          <t>יתרה</t>
        </is>
      </c>
      <c r="F58" s="98" t="inlineStr">
        <is>
          <t>בפועל</t>
        </is>
      </c>
    </row>
    <row r="59" ht="15" customHeight="1" thickBot="1">
      <c r="A59" s="170" t="inlineStr">
        <is>
          <t>חינוך</t>
        </is>
      </c>
      <c r="B59" s="14" t="inlineStr">
        <is>
          <t>בית ספר</t>
        </is>
      </c>
      <c r="C59" s="195" t="n">
        <v>0</v>
      </c>
      <c r="D59" s="196" t="n">
        <v>0</v>
      </c>
      <c r="E59" s="197">
        <f>C59-D59</f>
        <v/>
      </c>
      <c r="F59" s="194" t="n">
        <v>0</v>
      </c>
    </row>
    <row r="60" ht="15" customHeight="1" thickBot="1">
      <c r="A60" s="49" t="n"/>
      <c r="B60" t="inlineStr">
        <is>
          <t>מסגרות צהריים</t>
        </is>
      </c>
      <c r="C60" s="191" t="n">
        <v>0</v>
      </c>
      <c r="D60" s="192" t="n">
        <v>0</v>
      </c>
      <c r="E60" s="193">
        <f>C60-D60</f>
        <v/>
      </c>
      <c r="F60" s="198" t="n">
        <v>0</v>
      </c>
    </row>
    <row r="61" ht="15" customHeight="1" thickBot="1">
      <c r="A61" s="49" t="n"/>
      <c r="B61" t="inlineStr">
        <is>
          <t>מסגרות יום</t>
        </is>
      </c>
      <c r="C61" s="191" t="n">
        <v>0</v>
      </c>
      <c r="D61" s="192" t="n">
        <v>0</v>
      </c>
      <c r="E61" s="193">
        <f>C61-D61</f>
        <v/>
      </c>
      <c r="F61" s="198" t="n">
        <v>0</v>
      </c>
    </row>
    <row r="62" ht="15" customHeight="1" thickBot="1">
      <c r="A62" s="49" t="n"/>
      <c r="B62" t="inlineStr">
        <is>
          <t>צהרון / מטפלת</t>
        </is>
      </c>
      <c r="C62" s="191" t="n">
        <v>0</v>
      </c>
      <c r="D62" s="192" t="n">
        <v>0</v>
      </c>
      <c r="E62" s="193">
        <f>C62-D62</f>
        <v/>
      </c>
      <c r="F62" s="198" t="n">
        <v>0</v>
      </c>
    </row>
    <row r="63" ht="15" customHeight="1" thickBot="1">
      <c r="A63" s="49" t="n"/>
      <c r="B63" t="inlineStr">
        <is>
          <t>הסעות</t>
        </is>
      </c>
      <c r="C63" s="191" t="n">
        <v>0</v>
      </c>
      <c r="D63" s="192" t="n">
        <v>0</v>
      </c>
      <c r="E63" s="193">
        <f>C63-D63</f>
        <v/>
      </c>
      <c r="F63" s="198" t="n">
        <v>0</v>
      </c>
    </row>
    <row r="64" ht="15" customHeight="1" thickBot="1">
      <c r="A64" s="49" t="n"/>
      <c r="B64" t="inlineStr">
        <is>
          <t>שיעור פרטי</t>
        </is>
      </c>
      <c r="C64" s="191" t="n">
        <v>0</v>
      </c>
      <c r="D64" s="192" t="n">
        <v>0</v>
      </c>
      <c r="E64" s="193">
        <f>C64-D64</f>
        <v/>
      </c>
      <c r="F64" s="198" t="n">
        <v>0</v>
      </c>
    </row>
    <row r="65" ht="15" customHeight="1" thickBot="1">
      <c r="A65" s="49" t="n"/>
      <c r="B65" t="inlineStr">
        <is>
          <t>מסגרות קיץ</t>
        </is>
      </c>
      <c r="C65" s="191" t="n">
        <v>0</v>
      </c>
      <c r="D65" s="192" t="n">
        <v>0</v>
      </c>
      <c r="E65" s="193">
        <f>C65-D65</f>
        <v/>
      </c>
      <c r="F65" s="198" t="n">
        <v>0</v>
      </c>
    </row>
    <row r="66" ht="15" customHeight="1" thickBot="1">
      <c r="A66" s="49" t="n"/>
      <c r="B66" t="inlineStr">
        <is>
          <t>חוגים ותנועת נוער</t>
        </is>
      </c>
      <c r="C66" s="191" t="n">
        <v>0</v>
      </c>
      <c r="D66" s="192" t="n">
        <v>0</v>
      </c>
      <c r="E66" s="193">
        <f>C66-D66</f>
        <v/>
      </c>
      <c r="F66" s="198" t="n">
        <v>0</v>
      </c>
    </row>
    <row r="67" ht="15" customHeight="1" thickBot="1">
      <c r="A67" s="49" t="n"/>
      <c r="B67" t="inlineStr">
        <is>
          <t>לימודים והשתלמות לבוגרים</t>
        </is>
      </c>
      <c r="C67" s="191" t="n">
        <v>0</v>
      </c>
      <c r="D67" s="192" t="n">
        <v>0</v>
      </c>
      <c r="E67" s="193">
        <f>C67-D67</f>
        <v/>
      </c>
      <c r="F67" s="198" t="n">
        <v>0</v>
      </c>
    </row>
    <row r="68">
      <c r="A68" s="199" t="n"/>
      <c r="B68" s="18" t="inlineStr">
        <is>
          <t>חינוך - כללי</t>
        </is>
      </c>
      <c r="C68" s="200" t="n">
        <v>0</v>
      </c>
      <c r="D68" s="201" t="n">
        <v>0</v>
      </c>
      <c r="E68" s="202">
        <f>C68-D68</f>
        <v/>
      </c>
      <c r="F68" s="203" t="n">
        <v>0</v>
      </c>
    </row>
    <row r="69" ht="15" customHeight="1">
      <c r="A69" s="136" t="inlineStr">
        <is>
          <t>סה"כ תקציב - חינוך</t>
        </is>
      </c>
      <c r="C69" s="204">
        <f>SUM(C59:C68)</f>
        <v/>
      </c>
      <c r="D69" s="205">
        <f>SUM(D59:D68)</f>
        <v/>
      </c>
      <c r="E69" s="206">
        <f>SUM(E59:E68)</f>
        <v/>
      </c>
      <c r="F69" s="207">
        <f>SUM(F59:F68)</f>
        <v/>
      </c>
    </row>
    <row r="70" ht="14.25" customHeight="1">
      <c r="A70" s="49" t="n"/>
      <c r="F70" s="50" t="n"/>
    </row>
    <row r="71" ht="15.75" customHeight="1" thickBot="1">
      <c r="A71" s="97" t="inlineStr">
        <is>
          <t>קטגוריה</t>
        </is>
      </c>
      <c r="B71" s="9" t="inlineStr">
        <is>
          <t>סעיפים</t>
        </is>
      </c>
      <c r="C71" s="10" t="inlineStr">
        <is>
          <t>שיקוף</t>
        </is>
      </c>
      <c r="D71" s="11" t="inlineStr">
        <is>
          <t>בקרה</t>
        </is>
      </c>
      <c r="E71" s="12" t="inlineStr">
        <is>
          <t>יתרה</t>
        </is>
      </c>
      <c r="F71" s="98" t="inlineStr">
        <is>
          <t>בפועל</t>
        </is>
      </c>
    </row>
    <row r="72" ht="15" customHeight="1" thickBot="1">
      <c r="A72" s="170" t="inlineStr">
        <is>
          <t>אירועים, תרומות, צרכי דת</t>
        </is>
      </c>
      <c r="B72" s="14" t="inlineStr">
        <is>
          <t>חגים וצרכי דת</t>
        </is>
      </c>
      <c r="C72" s="195" t="n">
        <v>0</v>
      </c>
      <c r="D72" s="196" t="n">
        <v>0</v>
      </c>
      <c r="E72" s="197">
        <f>C72-D72</f>
        <v/>
      </c>
      <c r="F72" s="194" t="n">
        <v>0</v>
      </c>
    </row>
    <row r="73" ht="15" customHeight="1" thickBot="1">
      <c r="A73" s="49" t="n"/>
      <c r="B73" t="inlineStr">
        <is>
          <t>אירוע בעבודה / לחברים</t>
        </is>
      </c>
      <c r="C73" s="191" t="n">
        <v>0</v>
      </c>
      <c r="D73" s="192" t="n">
        <v>0</v>
      </c>
      <c r="E73" s="193">
        <f>C73-D73</f>
        <v/>
      </c>
      <c r="F73" s="198" t="n">
        <v>0</v>
      </c>
    </row>
    <row r="74">
      <c r="A74" s="199" t="n"/>
      <c r="B74" s="18" t="inlineStr">
        <is>
          <t>תרומות</t>
        </is>
      </c>
      <c r="C74" s="200" t="n">
        <v>0</v>
      </c>
      <c r="D74" s="201" t="n">
        <v>0</v>
      </c>
      <c r="E74" s="202">
        <f>C74-D74</f>
        <v/>
      </c>
      <c r="F74" s="203" t="n">
        <v>0</v>
      </c>
    </row>
    <row r="75" ht="15" customHeight="1">
      <c r="A75" s="136" t="inlineStr">
        <is>
          <t>סה"כ תקציב - אירועים, תרומות, צרכי דת</t>
        </is>
      </c>
      <c r="C75" s="204">
        <f>SUM(C72:C74)</f>
        <v/>
      </c>
      <c r="D75" s="205">
        <f>SUM(D72:D74)</f>
        <v/>
      </c>
      <c r="E75" s="206">
        <f>SUM(E72:E74)</f>
        <v/>
      </c>
      <c r="F75" s="207">
        <f>SUM(F72:F74)</f>
        <v/>
      </c>
    </row>
    <row r="76" ht="14.25" customHeight="1">
      <c r="A76" s="49" t="n"/>
      <c r="F76" s="50" t="n"/>
    </row>
    <row r="77" ht="15.75" customHeight="1" thickBot="1">
      <c r="A77" s="97" t="inlineStr">
        <is>
          <t>קטגוריה</t>
        </is>
      </c>
      <c r="B77" s="9" t="inlineStr">
        <is>
          <t>סעיפים</t>
        </is>
      </c>
      <c r="C77" s="10" t="inlineStr">
        <is>
          <t>שיקוף</t>
        </is>
      </c>
      <c r="D77" s="11" t="inlineStr">
        <is>
          <t>בקרה</t>
        </is>
      </c>
      <c r="E77" s="12" t="inlineStr">
        <is>
          <t>יתרה</t>
        </is>
      </c>
      <c r="F77" s="98" t="inlineStr">
        <is>
          <t>בפועל</t>
        </is>
      </c>
    </row>
    <row r="78" ht="15" customHeight="1" thickBot="1">
      <c r="A78" s="170" t="inlineStr">
        <is>
          <t>בריאות</t>
        </is>
      </c>
      <c r="B78" s="14" t="inlineStr">
        <is>
          <t>קופ"ח תשלום קבוע</t>
        </is>
      </c>
      <c r="C78" s="195" t="n">
        <v>0</v>
      </c>
      <c r="D78" s="196" t="n">
        <v>0</v>
      </c>
      <c r="E78" s="197">
        <f>C78-D78</f>
        <v/>
      </c>
      <c r="F78" s="194" t="n">
        <v>0</v>
      </c>
    </row>
    <row r="79" ht="15" customHeight="1" thickBot="1">
      <c r="A79" s="49" t="n"/>
      <c r="B79" t="inlineStr">
        <is>
          <t>ביטוח רפואי נוסף</t>
        </is>
      </c>
      <c r="C79" s="191" t="n">
        <v>0</v>
      </c>
      <c r="D79" s="192" t="n">
        <v>0</v>
      </c>
      <c r="E79" s="193">
        <f>C79-D79</f>
        <v/>
      </c>
      <c r="F79" s="198" t="n">
        <v>0</v>
      </c>
    </row>
    <row r="80" ht="15" customHeight="1" thickBot="1">
      <c r="A80" s="49" t="n"/>
      <c r="B80" t="inlineStr">
        <is>
          <t>טיפולים פרטיים</t>
        </is>
      </c>
      <c r="C80" s="191" t="n">
        <v>0</v>
      </c>
      <c r="D80" s="192" t="n">
        <v>0</v>
      </c>
      <c r="E80" s="193">
        <f>C80-D80</f>
        <v/>
      </c>
      <c r="F80" s="198" t="n">
        <v>0</v>
      </c>
    </row>
    <row r="81" ht="15" customHeight="1" thickBot="1">
      <c r="A81" s="49" t="n"/>
      <c r="B81" t="inlineStr">
        <is>
          <t>תרופות</t>
        </is>
      </c>
      <c r="C81" s="191" t="n">
        <v>0</v>
      </c>
      <c r="D81" s="192" t="n">
        <v>0</v>
      </c>
      <c r="E81" s="193">
        <f>C81-D81</f>
        <v/>
      </c>
      <c r="F81" s="198" t="n">
        <v>0</v>
      </c>
    </row>
    <row r="82" ht="15" customHeight="1" thickBot="1">
      <c r="A82" s="49" t="n"/>
      <c r="B82" t="inlineStr">
        <is>
          <t>טיפולי שיניים / אורטודנט</t>
        </is>
      </c>
      <c r="C82" s="191" t="n">
        <v>0</v>
      </c>
      <c r="D82" s="192" t="n">
        <v>0</v>
      </c>
      <c r="E82" s="193">
        <f>C82-D82</f>
        <v/>
      </c>
      <c r="F82" s="198" t="n">
        <v>0</v>
      </c>
    </row>
    <row r="83" ht="15" customHeight="1" thickBot="1">
      <c r="A83" s="49" t="n"/>
      <c r="B83" t="inlineStr">
        <is>
          <t>אופטיקה</t>
        </is>
      </c>
      <c r="C83" s="191" t="n">
        <v>0</v>
      </c>
      <c r="D83" s="192" t="n">
        <v>0</v>
      </c>
      <c r="E83" s="193">
        <f>C83-D83</f>
        <v/>
      </c>
      <c r="F83" s="198" t="n">
        <v>0</v>
      </c>
    </row>
    <row r="84">
      <c r="A84" s="199" t="n"/>
      <c r="B84" s="18" t="inlineStr">
        <is>
          <t>בריאות - כללי</t>
        </is>
      </c>
      <c r="C84" s="200" t="n">
        <v>0</v>
      </c>
      <c r="D84" s="201" t="n">
        <v>0</v>
      </c>
      <c r="E84" s="202">
        <f>C84-D84</f>
        <v/>
      </c>
      <c r="F84" s="203" t="n">
        <v>0</v>
      </c>
    </row>
    <row r="85" ht="15" customHeight="1">
      <c r="A85" s="136" t="inlineStr">
        <is>
          <t>סה"כ תקציב - בריאות</t>
        </is>
      </c>
      <c r="C85" s="204">
        <f>SUM(C78:C84)</f>
        <v/>
      </c>
      <c r="D85" s="205">
        <f>SUM(D78:D84)</f>
        <v/>
      </c>
      <c r="E85" s="206">
        <f>SUM(E78:E84)</f>
        <v/>
      </c>
      <c r="F85" s="216">
        <f>SUM(F78:F84)</f>
        <v/>
      </c>
    </row>
    <row r="86" ht="14.25" customHeight="1">
      <c r="A86" s="49" t="n"/>
      <c r="F86" s="50" t="n"/>
    </row>
    <row r="87" ht="15.75" customHeight="1" thickBot="1">
      <c r="A87" s="97" t="inlineStr">
        <is>
          <t>קטגוריה</t>
        </is>
      </c>
      <c r="B87" s="9" t="inlineStr">
        <is>
          <t>סעיפים</t>
        </is>
      </c>
      <c r="C87" s="10" t="inlineStr">
        <is>
          <t>שיקוף</t>
        </is>
      </c>
      <c r="D87" s="11" t="inlineStr">
        <is>
          <t>בקרה</t>
        </is>
      </c>
      <c r="E87" s="12" t="inlineStr">
        <is>
          <t>יתרה</t>
        </is>
      </c>
      <c r="F87" s="98" t="inlineStr">
        <is>
          <t>בפועל</t>
        </is>
      </c>
    </row>
    <row r="88" ht="15" customHeight="1" thickBot="1">
      <c r="A88" s="170" t="inlineStr">
        <is>
          <t>תחבורה</t>
        </is>
      </c>
      <c r="B88" s="14" t="inlineStr">
        <is>
          <t>דלק</t>
        </is>
      </c>
      <c r="C88" s="195" t="n">
        <v>0</v>
      </c>
      <c r="D88" s="196" t="n">
        <v>0</v>
      </c>
      <c r="E88" s="197">
        <f>C88-D88</f>
        <v/>
      </c>
      <c r="F88" s="194" t="n">
        <v>0</v>
      </c>
    </row>
    <row r="89" ht="15" customHeight="1" thickBot="1">
      <c r="A89" s="49" t="n"/>
      <c r="B89" t="inlineStr">
        <is>
          <t>חניה</t>
        </is>
      </c>
      <c r="C89" s="191" t="n">
        <v>0</v>
      </c>
      <c r="D89" s="192" t="n">
        <v>0</v>
      </c>
      <c r="E89" s="193">
        <f>C89-D89</f>
        <v/>
      </c>
      <c r="F89" s="198" t="n">
        <v>0</v>
      </c>
    </row>
    <row r="90" ht="15" customHeight="1" thickBot="1">
      <c r="A90" s="49" t="n"/>
      <c r="B90" t="inlineStr">
        <is>
          <t>כבישי אגרה</t>
        </is>
      </c>
      <c r="C90" s="191" t="n">
        <v>0</v>
      </c>
      <c r="D90" s="192" t="n">
        <v>0</v>
      </c>
      <c r="E90" s="193">
        <f>C90-D90</f>
        <v/>
      </c>
      <c r="F90" s="198" t="n">
        <v>0</v>
      </c>
    </row>
    <row r="91" ht="15" customHeight="1" thickBot="1">
      <c r="A91" s="49" t="n"/>
      <c r="B91" t="inlineStr">
        <is>
          <t>ביטוח רכב</t>
        </is>
      </c>
      <c r="C91" s="191" t="n">
        <v>0</v>
      </c>
      <c r="D91" s="192" t="n">
        <v>0</v>
      </c>
      <c r="E91" s="193">
        <f>C91-D91</f>
        <v/>
      </c>
      <c r="F91" s="198" t="n">
        <v>0</v>
      </c>
    </row>
    <row r="92" ht="15" customHeight="1" thickBot="1">
      <c r="A92" s="49" t="n"/>
      <c r="B92" t="inlineStr">
        <is>
          <t>תחזוקת רכב</t>
        </is>
      </c>
      <c r="C92" s="191" t="n">
        <v>0</v>
      </c>
      <c r="D92" s="192" t="n">
        <v>0</v>
      </c>
      <c r="E92" s="193">
        <f>C92-D92</f>
        <v/>
      </c>
      <c r="F92" s="198" t="n">
        <v>0</v>
      </c>
    </row>
    <row r="93" ht="15" customHeight="1" thickBot="1">
      <c r="A93" s="49" t="n"/>
      <c r="B93" t="inlineStr">
        <is>
          <t>תחבורה ציבורית</t>
        </is>
      </c>
      <c r="C93" s="191" t="n">
        <v>0</v>
      </c>
      <c r="D93" s="192" t="n">
        <v>0</v>
      </c>
      <c r="E93" s="193">
        <f>C93-D93</f>
        <v/>
      </c>
      <c r="F93" s="198" t="n">
        <v>0</v>
      </c>
    </row>
    <row r="94" ht="15" customHeight="1" thickBot="1">
      <c r="A94" s="49" t="n"/>
      <c r="B94" t="inlineStr">
        <is>
          <t>רישוי רכב</t>
        </is>
      </c>
      <c r="C94" s="191" t="n">
        <v>0</v>
      </c>
      <c r="D94" s="192" t="n">
        <v>0</v>
      </c>
      <c r="E94" s="193">
        <f>C94-D94</f>
        <v/>
      </c>
      <c r="F94" s="198" t="n">
        <v>0</v>
      </c>
    </row>
    <row r="95" ht="15" customHeight="1" thickBot="1">
      <c r="A95" s="49" t="n"/>
      <c r="B95" t="inlineStr">
        <is>
          <t>תחבורה שיתופית</t>
        </is>
      </c>
      <c r="C95" s="191" t="n">
        <v>0</v>
      </c>
      <c r="D95" s="192" t="n">
        <v>0</v>
      </c>
      <c r="E95" s="193">
        <f>C95-D95</f>
        <v/>
      </c>
      <c r="F95" s="198" t="n">
        <v>0</v>
      </c>
    </row>
    <row r="96" ht="15" customHeight="1" thickBot="1">
      <c r="A96" s="49" t="n"/>
      <c r="B96" t="inlineStr">
        <is>
          <t>ליסינג</t>
        </is>
      </c>
      <c r="C96" s="191" t="n">
        <v>0</v>
      </c>
      <c r="D96" s="192" t="n">
        <v>0</v>
      </c>
      <c r="E96" s="193">
        <f>C96-D96</f>
        <v/>
      </c>
      <c r="F96" s="198" t="n">
        <v>0</v>
      </c>
    </row>
    <row r="97">
      <c r="A97" s="199" t="n"/>
      <c r="B97" s="18" t="inlineStr">
        <is>
          <t>תחבורה - כללי</t>
        </is>
      </c>
      <c r="C97" s="200" t="n">
        <v>0</v>
      </c>
      <c r="D97" s="201" t="n">
        <v>0</v>
      </c>
      <c r="E97" s="202">
        <f>C97-D97</f>
        <v/>
      </c>
      <c r="F97" s="203" t="n">
        <v>0</v>
      </c>
    </row>
    <row r="98" ht="15" customHeight="1">
      <c r="A98" s="136" t="inlineStr">
        <is>
          <t>סה"כ תקציב - תחבורה</t>
        </is>
      </c>
      <c r="C98" s="204">
        <f>SUM(C88:C97)</f>
        <v/>
      </c>
      <c r="D98" s="205">
        <f>SUM(D88:D97)</f>
        <v/>
      </c>
      <c r="E98" s="206">
        <f>SUM(E88:E97)</f>
        <v/>
      </c>
      <c r="F98" s="207">
        <f>SUM(F88:F97)</f>
        <v/>
      </c>
    </row>
    <row r="99" ht="14.25" customHeight="1">
      <c r="A99" s="49" t="n"/>
      <c r="F99" s="50" t="n"/>
    </row>
    <row r="100" ht="15.75" customHeight="1" thickBot="1">
      <c r="A100" s="97" t="inlineStr">
        <is>
          <t>קטגוריה</t>
        </is>
      </c>
      <c r="B100" s="9" t="inlineStr">
        <is>
          <t>סעיפים</t>
        </is>
      </c>
      <c r="C100" s="10" t="inlineStr">
        <is>
          <t>שיקוף</t>
        </is>
      </c>
      <c r="D100" s="11" t="inlineStr">
        <is>
          <t>בקרה</t>
        </is>
      </c>
      <c r="E100" s="12" t="inlineStr">
        <is>
          <t>יתרה</t>
        </is>
      </c>
      <c r="F100" s="98" t="inlineStr">
        <is>
          <t>בפועל</t>
        </is>
      </c>
    </row>
    <row r="101" ht="15" customHeight="1" thickBot="1">
      <c r="A101" s="170" t="inlineStr">
        <is>
          <t>משפחה</t>
        </is>
      </c>
      <c r="B101" s="14" t="inlineStr">
        <is>
          <t>ארועי שמחות במשפחה</t>
        </is>
      </c>
      <c r="C101" s="195" t="n">
        <v>0</v>
      </c>
      <c r="D101" s="196" t="n">
        <v>0</v>
      </c>
      <c r="E101" s="197">
        <f>C101-D101</f>
        <v/>
      </c>
      <c r="F101" s="194" t="n">
        <v>0</v>
      </c>
    </row>
    <row r="102" ht="15" customHeight="1" thickBot="1">
      <c r="A102" s="49" t="n"/>
      <c r="B102" t="inlineStr">
        <is>
          <t>דמי כיס</t>
        </is>
      </c>
      <c r="C102" s="191" t="n">
        <v>0</v>
      </c>
      <c r="D102" s="192" t="n">
        <v>0</v>
      </c>
      <c r="E102" s="193">
        <f>C102-D102</f>
        <v/>
      </c>
      <c r="F102" s="198" t="n">
        <v>0</v>
      </c>
    </row>
    <row r="103" ht="15" customHeight="1" thickBot="1">
      <c r="A103" s="49" t="n"/>
      <c r="B103" t="inlineStr">
        <is>
          <t>עזרה למשפחה</t>
        </is>
      </c>
      <c r="C103" s="191" t="n">
        <v>0</v>
      </c>
      <c r="D103" s="192" t="n">
        <v>0</v>
      </c>
      <c r="E103" s="193">
        <f>C103-D103</f>
        <v/>
      </c>
      <c r="F103" s="198" t="n">
        <v>0</v>
      </c>
    </row>
    <row r="104" ht="15" customHeight="1" thickBot="1">
      <c r="A104" s="49" t="n"/>
      <c r="B104" t="inlineStr">
        <is>
          <t>תשלום מזונות</t>
        </is>
      </c>
      <c r="C104" s="191" t="n">
        <v>0</v>
      </c>
      <c r="D104" s="192" t="n">
        <v>0</v>
      </c>
      <c r="E104" s="193">
        <f>C104-D104</f>
        <v/>
      </c>
      <c r="F104" s="198" t="n">
        <v>0</v>
      </c>
    </row>
    <row r="105">
      <c r="A105" s="199" t="n"/>
      <c r="B105" s="18" t="inlineStr">
        <is>
          <t>משפחה - כללי</t>
        </is>
      </c>
      <c r="C105" s="200" t="n">
        <v>0</v>
      </c>
      <c r="D105" s="201" t="n">
        <v>0</v>
      </c>
      <c r="E105" s="202">
        <f>C105-D105</f>
        <v/>
      </c>
      <c r="F105" s="203" t="n">
        <v>0</v>
      </c>
    </row>
    <row r="106" ht="15" customHeight="1">
      <c r="A106" s="136" t="inlineStr">
        <is>
          <t>סה"כ תקציב - משפחה</t>
        </is>
      </c>
      <c r="C106" s="204">
        <f>SUM(C101:C105)</f>
        <v/>
      </c>
      <c r="D106" s="205">
        <f>SUM(D101:D105)</f>
        <v/>
      </c>
      <c r="E106" s="206">
        <f>SUM(E101:E105)</f>
        <v/>
      </c>
      <c r="F106" s="207">
        <f>SUM(F101:F105)</f>
        <v/>
      </c>
    </row>
    <row r="107" ht="14.25" customHeight="1">
      <c r="A107" s="49" t="n"/>
      <c r="F107" s="50" t="n"/>
    </row>
    <row r="108" ht="15.75" customHeight="1" thickBot="1">
      <c r="A108" s="97" t="inlineStr">
        <is>
          <t>קטגוריה</t>
        </is>
      </c>
      <c r="B108" s="9" t="inlineStr">
        <is>
          <t>סעיפים</t>
        </is>
      </c>
      <c r="C108" s="10" t="inlineStr">
        <is>
          <t>שיקוף</t>
        </is>
      </c>
      <c r="D108" s="11" t="inlineStr">
        <is>
          <t>בקרה</t>
        </is>
      </c>
      <c r="E108" s="12" t="inlineStr">
        <is>
          <t>יתרה</t>
        </is>
      </c>
      <c r="F108" s="98" t="inlineStr">
        <is>
          <t>בפועל</t>
        </is>
      </c>
    </row>
    <row r="109" ht="15" customHeight="1" thickBot="1">
      <c r="A109" s="170" t="inlineStr">
        <is>
          <t>תקשורת</t>
        </is>
      </c>
      <c r="B109" s="14" t="inlineStr">
        <is>
          <t>טלפון נייד ונייח</t>
        </is>
      </c>
      <c r="C109" s="195" t="n">
        <v>0</v>
      </c>
      <c r="D109" s="196" t="n">
        <v>0</v>
      </c>
      <c r="E109" s="197">
        <f>C109-D109</f>
        <v/>
      </c>
      <c r="F109" s="194" t="n">
        <v>0</v>
      </c>
    </row>
    <row r="110" ht="15" customHeight="1" thickBot="1">
      <c r="A110" s="49" t="n"/>
      <c r="B110" t="inlineStr">
        <is>
          <t>טלויזיה ואינטרנט (ספק ותשתית)</t>
        </is>
      </c>
      <c r="C110" s="191" t="n">
        <v>0</v>
      </c>
      <c r="D110" s="192" t="n">
        <v>0</v>
      </c>
      <c r="E110" s="193">
        <f>C110-D110</f>
        <v/>
      </c>
      <c r="F110" s="198" t="n">
        <v>0</v>
      </c>
    </row>
    <row r="111" ht="15" customHeight="1" thickBot="1">
      <c r="A111" s="49" t="n"/>
      <c r="B111" t="inlineStr">
        <is>
          <t>שירותי תוכן</t>
        </is>
      </c>
      <c r="C111" s="191" t="n">
        <v>0</v>
      </c>
      <c r="D111" s="192" t="n">
        <v>0</v>
      </c>
      <c r="E111" s="193">
        <f>C111-D111</f>
        <v/>
      </c>
      <c r="F111" s="198" t="n">
        <v>0</v>
      </c>
    </row>
    <row r="112">
      <c r="A112" s="199" t="n"/>
      <c r="B112" s="18" t="inlineStr">
        <is>
          <t>תקשורת - כללי</t>
        </is>
      </c>
      <c r="C112" s="200" t="n">
        <v>0</v>
      </c>
      <c r="D112" s="201" t="n">
        <v>0</v>
      </c>
      <c r="E112" s="202">
        <f>C112-D112</f>
        <v/>
      </c>
      <c r="F112" s="203" t="n">
        <v>0</v>
      </c>
    </row>
    <row r="113" ht="15" customHeight="1">
      <c r="A113" s="136" t="inlineStr">
        <is>
          <t>סה"כ תקציב - תקשורת</t>
        </is>
      </c>
      <c r="C113" s="204">
        <f>SUM(C109:C112)</f>
        <v/>
      </c>
      <c r="D113" s="205">
        <f>SUM(D109:D112)</f>
        <v/>
      </c>
      <c r="E113" s="206">
        <f>SUM(E109:E112)</f>
        <v/>
      </c>
      <c r="F113" s="207">
        <f>SUM(F109:F112)</f>
        <v/>
      </c>
    </row>
    <row r="114" ht="14.25" customHeight="1">
      <c r="A114" s="49" t="n"/>
      <c r="F114" s="50" t="n"/>
    </row>
    <row r="115" ht="15.75" customHeight="1" thickBot="1">
      <c r="A115" s="97" t="inlineStr">
        <is>
          <t>קטגוריה</t>
        </is>
      </c>
      <c r="B115" s="9" t="inlineStr">
        <is>
          <t>סעיפים</t>
        </is>
      </c>
      <c r="C115" s="10" t="inlineStr">
        <is>
          <t>שיקוף</t>
        </is>
      </c>
      <c r="D115" s="11" t="inlineStr">
        <is>
          <t>בקרה</t>
        </is>
      </c>
      <c r="E115" s="12" t="inlineStr">
        <is>
          <t>יתרה</t>
        </is>
      </c>
      <c r="F115" s="98" t="inlineStr">
        <is>
          <t>בפועל</t>
        </is>
      </c>
    </row>
    <row r="116" ht="15" customHeight="1" thickBot="1">
      <c r="A116" s="170" t="inlineStr">
        <is>
          <t>דיור</t>
        </is>
      </c>
      <c r="B116" s="14" t="inlineStr">
        <is>
          <t>משכנתה</t>
        </is>
      </c>
      <c r="C116" s="195" t="n">
        <v>0</v>
      </c>
      <c r="D116" s="196" t="n">
        <v>0</v>
      </c>
      <c r="E116" s="197">
        <f>C116-D116</f>
        <v/>
      </c>
      <c r="F116" s="194" t="n">
        <v>0</v>
      </c>
    </row>
    <row r="117" ht="15" customHeight="1" thickBot="1">
      <c r="A117" s="49" t="n"/>
      <c r="B117" t="inlineStr">
        <is>
          <t>שכר דירה</t>
        </is>
      </c>
      <c r="C117" s="191" t="n">
        <v>0</v>
      </c>
      <c r="D117" s="192" t="n">
        <v>0</v>
      </c>
      <c r="E117" s="193">
        <f>C117-D117</f>
        <v/>
      </c>
      <c r="F117" s="198" t="n">
        <v>0</v>
      </c>
    </row>
    <row r="118" ht="15" customHeight="1" thickBot="1">
      <c r="A118" s="49" t="n"/>
      <c r="B118" t="inlineStr">
        <is>
          <t>מיסי ישוב / ועד בית</t>
        </is>
      </c>
      <c r="C118" s="191" t="n">
        <v>0</v>
      </c>
      <c r="D118" s="192" t="n">
        <v>0</v>
      </c>
      <c r="E118" s="193">
        <f>C118-D118</f>
        <v/>
      </c>
      <c r="F118" s="198" t="n">
        <v>0</v>
      </c>
    </row>
    <row r="119" ht="15" customHeight="1" thickBot="1">
      <c r="A119" s="49" t="n"/>
      <c r="B119" t="inlineStr">
        <is>
          <t>ארנונה</t>
        </is>
      </c>
      <c r="C119" s="191" t="n">
        <v>0</v>
      </c>
      <c r="D119" s="192" t="n">
        <v>0</v>
      </c>
      <c r="E119" s="193">
        <f>C119-D119</f>
        <v/>
      </c>
      <c r="F119" s="198" t="n">
        <v>0</v>
      </c>
    </row>
    <row r="120" ht="15" customHeight="1" thickBot="1">
      <c r="A120" s="49" t="n"/>
      <c r="B120" t="inlineStr">
        <is>
          <t>ביטוח נכס ותכולה</t>
        </is>
      </c>
      <c r="C120" s="191" t="n">
        <v>0</v>
      </c>
      <c r="D120" s="192" t="n">
        <v>0</v>
      </c>
      <c r="E120" s="193">
        <f>C120-D120</f>
        <v/>
      </c>
      <c r="F120" s="198" t="n">
        <v>0</v>
      </c>
    </row>
    <row r="121">
      <c r="A121" s="199" t="n"/>
      <c r="B121" s="18" t="inlineStr">
        <is>
          <t>דיור - כללי</t>
        </is>
      </c>
      <c r="C121" s="200" t="n">
        <v>0</v>
      </c>
      <c r="D121" s="201" t="n">
        <v>0</v>
      </c>
      <c r="E121" s="202">
        <f>C121-D121</f>
        <v/>
      </c>
      <c r="F121" s="203" t="n">
        <v>0</v>
      </c>
    </row>
    <row r="122" ht="15" customHeight="1">
      <c r="A122" s="136" t="inlineStr">
        <is>
          <t>סה"כ תקציב - דיור</t>
        </is>
      </c>
      <c r="C122" s="204">
        <f>SUM(C116:C121)</f>
        <v/>
      </c>
      <c r="D122" s="205">
        <f>SUM(D116:D121)</f>
        <v/>
      </c>
      <c r="E122" s="206">
        <f>SUM(E116:E121)</f>
        <v/>
      </c>
      <c r="F122" s="207">
        <f>SUM(F116:F121)</f>
        <v/>
      </c>
    </row>
    <row r="123" ht="14.25" customHeight="1">
      <c r="A123" s="49" t="n"/>
      <c r="F123" s="50" t="n"/>
    </row>
    <row r="124" ht="15.75" customHeight="1" thickBot="1">
      <c r="A124" s="97" t="inlineStr">
        <is>
          <t>קטגוריה</t>
        </is>
      </c>
      <c r="B124" s="9" t="inlineStr">
        <is>
          <t>סעיפים</t>
        </is>
      </c>
      <c r="C124" s="10" t="inlineStr">
        <is>
          <t>שיקוף</t>
        </is>
      </c>
      <c r="D124" s="11" t="inlineStr">
        <is>
          <t>בקרה</t>
        </is>
      </c>
      <c r="E124" s="12" t="inlineStr">
        <is>
          <t>יתרה</t>
        </is>
      </c>
      <c r="F124" s="98" t="inlineStr">
        <is>
          <t>בפועל</t>
        </is>
      </c>
    </row>
    <row r="125" ht="15" customHeight="1" thickBot="1">
      <c r="A125" s="170" t="inlineStr">
        <is>
          <t>התחייבויות</t>
        </is>
      </c>
      <c r="B125" s="14" t="inlineStr">
        <is>
          <t>החזר חובות חודשי (למעט משכנתה) - כללי</t>
        </is>
      </c>
      <c r="C125" s="195" t="n">
        <v>0</v>
      </c>
      <c r="D125" s="196" t="n">
        <v>0</v>
      </c>
      <c r="E125" s="197">
        <f>C125-D125</f>
        <v/>
      </c>
      <c r="F125" s="194" t="n">
        <v>0</v>
      </c>
    </row>
    <row r="126">
      <c r="A126" s="199" t="n"/>
      <c r="B126" s="18" t="inlineStr">
        <is>
          <t>ריביות משיכת יתר</t>
        </is>
      </c>
      <c r="C126" s="200" t="n">
        <v>0</v>
      </c>
      <c r="D126" s="201" t="n">
        <v>0</v>
      </c>
      <c r="E126" s="202">
        <f>C126-D126</f>
        <v/>
      </c>
      <c r="F126" s="203" t="n">
        <v>0</v>
      </c>
    </row>
    <row r="127" ht="15" customHeight="1">
      <c r="A127" s="136" t="inlineStr">
        <is>
          <t>סה"כ תקציב - התחייבויות</t>
        </is>
      </c>
      <c r="C127" s="204">
        <f>SUM(C125:C126)</f>
        <v/>
      </c>
      <c r="D127" s="205">
        <f>SUM(D125:D126)</f>
        <v/>
      </c>
      <c r="E127" s="206">
        <f>SUM(E125:E126)</f>
        <v/>
      </c>
      <c r="F127" s="207">
        <f>SUM(F125:F126)</f>
        <v/>
      </c>
    </row>
    <row r="128" ht="14.25" customHeight="1">
      <c r="A128" s="49" t="n"/>
      <c r="F128" s="50" t="n"/>
    </row>
    <row r="129" ht="15.75" customHeight="1" thickBot="1">
      <c r="A129" s="97" t="inlineStr">
        <is>
          <t>קטגוריה</t>
        </is>
      </c>
      <c r="B129" s="9" t="inlineStr">
        <is>
          <t>סעיפים</t>
        </is>
      </c>
      <c r="C129" s="10" t="inlineStr">
        <is>
          <t>שיקוף</t>
        </is>
      </c>
      <c r="D129" s="11" t="inlineStr">
        <is>
          <t>בקרה</t>
        </is>
      </c>
      <c r="E129" s="12" t="inlineStr">
        <is>
          <t>יתרה</t>
        </is>
      </c>
      <c r="F129" s="98" t="inlineStr">
        <is>
          <t>בפועל</t>
        </is>
      </c>
    </row>
    <row r="130">
      <c r="A130" s="119" t="inlineStr">
        <is>
          <t>נכסים</t>
        </is>
      </c>
      <c r="B130" s="25" t="inlineStr">
        <is>
          <t>הפקדות לחסכונות - כללי</t>
        </is>
      </c>
      <c r="C130" s="217" t="n">
        <v>0</v>
      </c>
      <c r="D130" s="218" t="n">
        <v>0</v>
      </c>
      <c r="E130" s="219">
        <f>C130-D130</f>
        <v/>
      </c>
      <c r="F130" s="220" t="n">
        <v>0</v>
      </c>
    </row>
    <row r="131" ht="15" customHeight="1">
      <c r="A131" s="136" t="inlineStr">
        <is>
          <t>סה"כ תקציב - נכסים</t>
        </is>
      </c>
      <c r="C131" s="204">
        <f>SUM(C130:C130)</f>
        <v/>
      </c>
      <c r="D131" s="205">
        <f>SUM(D130:D130)</f>
        <v/>
      </c>
      <c r="E131" s="206">
        <f>SUM(E130:E130)</f>
        <v/>
      </c>
      <c r="F131" s="207">
        <f>SUM(F130)</f>
        <v/>
      </c>
    </row>
    <row r="132" ht="14.25" customHeight="1">
      <c r="A132" s="49" t="n"/>
      <c r="F132" s="50" t="n"/>
    </row>
    <row r="133" ht="15.75" customHeight="1" thickBot="1">
      <c r="A133" s="97" t="inlineStr">
        <is>
          <t>קטגוריה</t>
        </is>
      </c>
      <c r="B133" s="9" t="inlineStr">
        <is>
          <t>סעיפים</t>
        </is>
      </c>
      <c r="C133" s="10" t="inlineStr">
        <is>
          <t>שיקוף</t>
        </is>
      </c>
      <c r="D133" s="11" t="inlineStr">
        <is>
          <t>בקרה</t>
        </is>
      </c>
      <c r="E133" s="12" t="inlineStr">
        <is>
          <t>יתרה</t>
        </is>
      </c>
      <c r="F133" s="98" t="inlineStr">
        <is>
          <t>בפועל</t>
        </is>
      </c>
    </row>
    <row r="134" ht="15" customHeight="1" thickBot="1">
      <c r="A134" s="170" t="inlineStr">
        <is>
          <t>פיננסים</t>
        </is>
      </c>
      <c r="B134" s="14" t="inlineStr">
        <is>
          <t>עמלות</t>
        </is>
      </c>
      <c r="C134" s="195" t="n">
        <v>0</v>
      </c>
      <c r="D134" s="196" t="n">
        <v>0</v>
      </c>
      <c r="E134" s="197">
        <f>C134-D134</f>
        <v/>
      </c>
      <c r="F134" s="194" t="n">
        <v>0</v>
      </c>
    </row>
    <row r="135" ht="15" customHeight="1" thickBot="1">
      <c r="A135" s="49" t="n"/>
      <c r="B135" t="inlineStr">
        <is>
          <t>ביטוח חיים</t>
        </is>
      </c>
      <c r="C135" s="191" t="n">
        <v>0</v>
      </c>
      <c r="D135" s="192" t="n">
        <v>0</v>
      </c>
      <c r="E135" s="193">
        <f>C135-D135</f>
        <v/>
      </c>
      <c r="F135" s="198" t="n">
        <v>0</v>
      </c>
    </row>
    <row r="136" ht="15" customHeight="1" thickBot="1">
      <c r="A136" s="49" t="n"/>
      <c r="B136" t="inlineStr">
        <is>
          <t>ביטוח לאומי (למי שלא עובד)</t>
        </is>
      </c>
      <c r="C136" s="191" t="n">
        <v>0</v>
      </c>
      <c r="D136" s="192" t="n">
        <v>0</v>
      </c>
      <c r="E136" s="193">
        <f>C136-D136</f>
        <v/>
      </c>
      <c r="F136" s="198" t="n">
        <v>0</v>
      </c>
    </row>
    <row r="137">
      <c r="A137" s="199" t="n"/>
      <c r="B137" s="18" t="inlineStr">
        <is>
          <t>פיננסים - כללי</t>
        </is>
      </c>
      <c r="C137" s="200" t="n">
        <v>0</v>
      </c>
      <c r="D137" s="201" t="n">
        <v>0</v>
      </c>
      <c r="E137" s="202">
        <f>C137-D137</f>
        <v/>
      </c>
      <c r="F137" s="203" t="n">
        <v>0</v>
      </c>
    </row>
    <row r="138" ht="15" customHeight="1" thickBot="1">
      <c r="A138" s="139" t="inlineStr">
        <is>
          <t>סה"כ תקציב - פיננסים</t>
        </is>
      </c>
      <c r="B138" s="188" t="n"/>
      <c r="C138" s="212">
        <f>SUM(C134:C137)</f>
        <v/>
      </c>
      <c r="D138" s="213">
        <f>SUM(D134:D137)</f>
        <v/>
      </c>
      <c r="E138" s="214">
        <f>SUM(E134:E137)</f>
        <v/>
      </c>
      <c r="F138" s="215">
        <f>SUM(F134:F137)</f>
        <v/>
      </c>
    </row>
  </sheetData>
  <mergeCells count="49">
    <mergeCell ref="A101:A105"/>
    <mergeCell ref="H20:I20"/>
    <mergeCell ref="A98:B98"/>
    <mergeCell ref="L3:L4"/>
    <mergeCell ref="H23:H26"/>
    <mergeCell ref="H7:H11"/>
    <mergeCell ref="F3:F4"/>
    <mergeCell ref="A72:A74"/>
    <mergeCell ref="A138:B138"/>
    <mergeCell ref="A59:A68"/>
    <mergeCell ref="A69:B69"/>
    <mergeCell ref="H15:H19"/>
    <mergeCell ref="H3:I4"/>
    <mergeCell ref="A53:A55"/>
    <mergeCell ref="A25:B25"/>
    <mergeCell ref="A35:A39"/>
    <mergeCell ref="A7:A12"/>
    <mergeCell ref="M3:M4"/>
    <mergeCell ref="A75:B75"/>
    <mergeCell ref="D3:D4"/>
    <mergeCell ref="A56:B56"/>
    <mergeCell ref="A50:B50"/>
    <mergeCell ref="A88:A97"/>
    <mergeCell ref="A43:A49"/>
    <mergeCell ref="A1:M1"/>
    <mergeCell ref="A113:B113"/>
    <mergeCell ref="A85:B85"/>
    <mergeCell ref="A32:B32"/>
    <mergeCell ref="J3:J4"/>
    <mergeCell ref="A125:A126"/>
    <mergeCell ref="A134:A137"/>
    <mergeCell ref="A106:B106"/>
    <mergeCell ref="A116:A121"/>
    <mergeCell ref="A122:B122"/>
    <mergeCell ref="H27:I27"/>
    <mergeCell ref="A131:B131"/>
    <mergeCell ref="H12:I12"/>
    <mergeCell ref="A109:A112"/>
    <mergeCell ref="K3:K4"/>
    <mergeCell ref="C3:C4"/>
    <mergeCell ref="A78:A84"/>
    <mergeCell ref="E3:E4"/>
    <mergeCell ref="A28:A31"/>
    <mergeCell ref="A13:B13"/>
    <mergeCell ref="A127:B127"/>
    <mergeCell ref="A16:A24"/>
    <mergeCell ref="A2:M2"/>
    <mergeCell ref="A3:B4"/>
    <mergeCell ref="A40:B40"/>
  </mergeCells>
  <pageMargins left="0.7" right="0.7" top="0.75" bottom="0.75" header="0.3" footer="0.3"/>
  <pageSetup orientation="portrait" paperSize="9" useFirstPageNumber="1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showGridLines="0" rightToLeft="1" zoomScaleNormal="100" workbookViewId="0">
      <selection activeCell="H32" sqref="H32"/>
    </sheetView>
  </sheetViews>
  <sheetFormatPr baseColWidth="8" defaultRowHeight="14.25" customHeight="1"/>
  <cols>
    <col width="20.625" customWidth="1" min="1" max="1"/>
    <col width="31.625" customWidth="1" min="2" max="2"/>
    <col width="16.625" customWidth="1" min="3" max="6"/>
    <col width="20.625" customWidth="1" min="8" max="8"/>
    <col width="31.625" customWidth="1" min="9" max="9"/>
    <col width="16.625" customWidth="1" min="10" max="13"/>
  </cols>
  <sheetData>
    <row r="1" ht="21" customHeight="1" thickBot="1">
      <c r="A1" s="175" t="inlineStr">
        <is>
          <t>תקציב הון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</row>
    <row r="2" ht="15.75" customHeight="1" thickBot="1" thickTop="1">
      <c r="A2" s="142" t="inlineStr">
        <is>
          <t>מטרת תקציב הון הינו לבנות תקציב בעל הון גבוה מהשיקוף שניתן להשקיע אותו בחיסכון תוך שמירה על איזון  היתרה. מטרטינו העיקרית להגיע ליתרת הון של עד 30% ע"י שינויים בין הקטגוריות השונות. חובה לשמור על הון  יציב בין סה"כ הכנסות לסה"כ הוצאות</t>
        </is>
      </c>
    </row>
    <row r="3" ht="12" customHeight="1">
      <c r="A3" s="177" t="inlineStr">
        <is>
          <t>סיכום הוצאות</t>
        </is>
      </c>
      <c r="B3" s="63" t="n"/>
      <c r="C3" s="178">
        <f>C13+C25+C32+C40+C50+C56+C69+C75+C85+C98+C106+C113+C122+C127+C131+C138</f>
        <v/>
      </c>
      <c r="D3" s="179">
        <f>D13+D25+D32+D40+D50+D56+D69+D75+D85+D98+D106+D113+D122+D127+D131+D138</f>
        <v/>
      </c>
      <c r="E3" s="180">
        <f>E13+E25+E32+E40+E50+E56+E69+E75+E85+E98+E106+E113+E122+E127+E131+E138</f>
        <v/>
      </c>
      <c r="F3" s="181">
        <f>F13+F25+F32+F40+F50+F56+F69+F75+F85+F98+F106+F113+F122+F127+F131+F138</f>
        <v/>
      </c>
      <c r="H3" s="182" t="inlineStr">
        <is>
          <t>סיכום הכנסות</t>
        </is>
      </c>
      <c r="I3" s="63" t="n"/>
      <c r="J3" s="183">
        <f>J12+J20+J27</f>
        <v/>
      </c>
      <c r="K3" s="184">
        <f>K12+K20+K27</f>
        <v/>
      </c>
      <c r="L3" s="185">
        <f>L12+L20+L27</f>
        <v/>
      </c>
      <c r="M3" s="186">
        <f>M12+M20+M27</f>
        <v/>
      </c>
    </row>
    <row r="4" ht="12" customHeight="1" thickBot="1">
      <c r="A4" s="187" t="n"/>
      <c r="B4" s="188" t="n"/>
      <c r="C4" s="188" t="n"/>
      <c r="D4" s="189" t="n"/>
      <c r="E4" s="188" t="n"/>
      <c r="F4" s="190" t="n"/>
      <c r="H4" s="187" t="n"/>
      <c r="I4" s="188" t="n"/>
      <c r="J4" s="188" t="n"/>
      <c r="K4" s="189" t="n"/>
      <c r="L4" s="188" t="n"/>
      <c r="M4" s="190" t="n"/>
    </row>
    <row r="5">
      <c r="A5" s="111" t="n"/>
      <c r="B5" s="112" t="n"/>
      <c r="C5" s="112" t="n"/>
      <c r="D5" s="112" t="n"/>
      <c r="E5" s="112" t="n"/>
      <c r="F5" s="113" t="n"/>
      <c r="H5" s="49" t="n"/>
      <c r="M5" s="50" t="n"/>
    </row>
    <row r="6" ht="15.75" customHeight="1" thickBot="1">
      <c r="A6" s="97" t="inlineStr">
        <is>
          <t>קטגוריה</t>
        </is>
      </c>
      <c r="B6" s="9" t="inlineStr">
        <is>
          <t>סעיפים</t>
        </is>
      </c>
      <c r="C6" s="10" t="inlineStr">
        <is>
          <t>שיקוף</t>
        </is>
      </c>
      <c r="D6" s="11" t="inlineStr">
        <is>
          <t>הון</t>
        </is>
      </c>
      <c r="E6" s="12" t="inlineStr">
        <is>
          <t>יתרה</t>
        </is>
      </c>
      <c r="F6" s="98" t="inlineStr">
        <is>
          <t>בפועל</t>
        </is>
      </c>
      <c r="H6" s="97" t="inlineStr">
        <is>
          <t>קטגוריה</t>
        </is>
      </c>
      <c r="I6" s="9" t="inlineStr">
        <is>
          <t>סעיפים</t>
        </is>
      </c>
      <c r="J6" s="10" t="inlineStr">
        <is>
          <t>שיקוף</t>
        </is>
      </c>
      <c r="K6" s="11" t="inlineStr">
        <is>
          <t>הון</t>
        </is>
      </c>
      <c r="L6" s="12" t="inlineStr">
        <is>
          <t>יתרה</t>
        </is>
      </c>
      <c r="M6" s="98" t="inlineStr">
        <is>
          <t>בפועל</t>
        </is>
      </c>
    </row>
    <row r="7" ht="15" customHeight="1" thickBot="1">
      <c r="A7" s="170" t="inlineStr">
        <is>
          <t>מזון ופארמה</t>
        </is>
      </c>
      <c r="B7" s="114" t="inlineStr">
        <is>
          <t>מזון</t>
        </is>
      </c>
      <c r="C7" s="191" t="n">
        <v>0</v>
      </c>
      <c r="D7" s="192" t="n">
        <v>0</v>
      </c>
      <c r="E7" s="193">
        <f>C7-D7</f>
        <v/>
      </c>
      <c r="F7" s="194" t="n">
        <v>0</v>
      </c>
      <c r="H7" s="171" t="inlineStr">
        <is>
          <t>שכר</t>
        </is>
      </c>
      <c r="I7" s="14" t="inlineStr">
        <is>
          <t>שכר עבודה 1</t>
        </is>
      </c>
      <c r="J7" s="195" t="n">
        <v>0</v>
      </c>
      <c r="K7" s="196" t="n">
        <v>0</v>
      </c>
      <c r="L7" s="197">
        <f>K7-J7</f>
        <v/>
      </c>
      <c r="M7" s="194" t="n">
        <v>0</v>
      </c>
    </row>
    <row r="8" ht="15" customHeight="1" thickBot="1">
      <c r="A8" s="49" t="n"/>
      <c r="B8" s="114" t="inlineStr">
        <is>
          <t>פארמה וטואלטיקה</t>
        </is>
      </c>
      <c r="C8" s="191" t="n">
        <v>0</v>
      </c>
      <c r="D8" s="192" t="n">
        <v>0</v>
      </c>
      <c r="E8" s="193">
        <f>C8-D8</f>
        <v/>
      </c>
      <c r="F8" s="198" t="n">
        <v>0</v>
      </c>
      <c r="H8" s="49" t="n"/>
      <c r="I8" t="inlineStr">
        <is>
          <t>שכר עבודה 2</t>
        </is>
      </c>
      <c r="J8" s="191" t="n">
        <v>0</v>
      </c>
      <c r="K8" s="192" t="n">
        <v>0</v>
      </c>
      <c r="L8" s="193">
        <f>K8-J8</f>
        <v/>
      </c>
      <c r="M8" s="198" t="n">
        <v>0</v>
      </c>
    </row>
    <row r="9" ht="15" customHeight="1" thickBot="1">
      <c r="A9" s="49" t="n"/>
      <c r="B9" s="114" t="inlineStr">
        <is>
          <t>בר מים</t>
        </is>
      </c>
      <c r="C9" s="191" t="n">
        <v>0</v>
      </c>
      <c r="D9" s="192" t="n">
        <v>0</v>
      </c>
      <c r="E9" s="193">
        <f>C9-D9</f>
        <v/>
      </c>
      <c r="F9" s="198" t="n">
        <v>0</v>
      </c>
      <c r="H9" s="49" t="n"/>
      <c r="I9" t="inlineStr">
        <is>
          <t>שכר עבודה 3</t>
        </is>
      </c>
      <c r="J9" s="191" t="n">
        <v>0</v>
      </c>
      <c r="K9" s="192" t="n">
        <v>0</v>
      </c>
      <c r="L9" s="193">
        <f>K9-J9</f>
        <v/>
      </c>
      <c r="M9" s="198" t="n">
        <v>0</v>
      </c>
    </row>
    <row r="10" ht="15" customHeight="1" thickBot="1">
      <c r="A10" s="49" t="n"/>
      <c r="B10" s="114" t="inlineStr">
        <is>
          <t>אוכל מוכן / בעבודה</t>
        </is>
      </c>
      <c r="C10" s="191" t="n">
        <v>0</v>
      </c>
      <c r="D10" s="192" t="n">
        <v>0</v>
      </c>
      <c r="E10" s="193">
        <f>C10-D10</f>
        <v/>
      </c>
      <c r="F10" s="198" t="n">
        <v>0</v>
      </c>
      <c r="H10" s="49" t="n"/>
      <c r="I10" t="inlineStr">
        <is>
          <t>שכר עבודה 4</t>
        </is>
      </c>
      <c r="J10" s="191" t="n">
        <v>0</v>
      </c>
      <c r="K10" s="192" t="n">
        <v>0</v>
      </c>
      <c r="L10" s="193">
        <f>K10-J10</f>
        <v/>
      </c>
      <c r="M10" s="198" t="n">
        <v>0</v>
      </c>
    </row>
    <row r="11" ht="15" customHeight="1" thickBot="1">
      <c r="A11" s="49" t="n"/>
      <c r="B11" s="114" t="inlineStr">
        <is>
          <t>עישון</t>
        </is>
      </c>
      <c r="C11" s="191" t="n">
        <v>0</v>
      </c>
      <c r="D11" s="192" t="n">
        <v>0</v>
      </c>
      <c r="E11" s="193">
        <f>C11-D11</f>
        <v/>
      </c>
      <c r="F11" s="198" t="n">
        <v>0</v>
      </c>
      <c r="H11" s="199" t="n"/>
      <c r="I11" s="18" t="inlineStr">
        <is>
          <t>שכר - כללי</t>
        </is>
      </c>
      <c r="J11" s="200" t="n">
        <v>0</v>
      </c>
      <c r="K11" s="201" t="n">
        <v>0</v>
      </c>
      <c r="L11" s="202">
        <f>K11-J11</f>
        <v/>
      </c>
      <c r="M11" s="203" t="n">
        <v>0</v>
      </c>
    </row>
    <row r="12" ht="15" customHeight="1">
      <c r="A12" s="199" t="n"/>
      <c r="B12" s="22" t="inlineStr">
        <is>
          <t>מזון ופארמה - כללי</t>
        </is>
      </c>
      <c r="C12" s="200" t="n">
        <v>0</v>
      </c>
      <c r="D12" s="201" t="n">
        <v>0</v>
      </c>
      <c r="E12" s="202">
        <f>C12-D12</f>
        <v/>
      </c>
      <c r="F12" s="203" t="n">
        <v>0</v>
      </c>
      <c r="H12" s="136" t="inlineStr">
        <is>
          <t>סה"כ תקציב - שכר</t>
        </is>
      </c>
      <c r="J12" s="204">
        <f>SUM(J7:J11)</f>
        <v/>
      </c>
      <c r="K12" s="205">
        <f>SUM(K7:K11)</f>
        <v/>
      </c>
      <c r="L12" s="206">
        <f>SUM(L7:L11)</f>
        <v/>
      </c>
      <c r="M12" s="207">
        <f>SUM(M7:M11)</f>
        <v/>
      </c>
    </row>
    <row r="13" ht="15" customHeight="1">
      <c r="A13" s="136" t="inlineStr">
        <is>
          <t>סה"כ תקציב - מזון ופארמה</t>
        </is>
      </c>
      <c r="C13" s="208">
        <f>SUM(C7:C12)</f>
        <v/>
      </c>
      <c r="D13" s="209">
        <f>SUM(D7:D12)</f>
        <v/>
      </c>
      <c r="E13" s="210">
        <f>SUM(E7:E12)</f>
        <v/>
      </c>
      <c r="F13" s="211">
        <f>SUM(F7:F12)</f>
        <v/>
      </c>
      <c r="H13" s="49" t="n"/>
      <c r="M13" s="50" t="n"/>
    </row>
    <row r="14" ht="15.75" customHeight="1" thickBot="1">
      <c r="A14" s="49" t="n"/>
      <c r="F14" s="50" t="n"/>
      <c r="H14" s="97" t="inlineStr">
        <is>
          <t>קטגוריה</t>
        </is>
      </c>
      <c r="I14" s="9" t="inlineStr">
        <is>
          <t>סעיפים</t>
        </is>
      </c>
      <c r="J14" s="10" t="inlineStr">
        <is>
          <t>שיקוף</t>
        </is>
      </c>
      <c r="K14" s="11" t="inlineStr">
        <is>
          <t>הון</t>
        </is>
      </c>
      <c r="L14" s="12" t="inlineStr">
        <is>
          <t>יתרה</t>
        </is>
      </c>
      <c r="M14" s="98" t="inlineStr">
        <is>
          <t>בפועל</t>
        </is>
      </c>
    </row>
    <row r="15" ht="15.75" customHeight="1" thickBot="1">
      <c r="A15" s="97" t="inlineStr">
        <is>
          <t>קטגוריה</t>
        </is>
      </c>
      <c r="B15" s="9" t="inlineStr">
        <is>
          <t>סעיפים</t>
        </is>
      </c>
      <c r="C15" s="10" t="inlineStr">
        <is>
          <t>שיקוף</t>
        </is>
      </c>
      <c r="D15" s="11" t="inlineStr">
        <is>
          <t>הון</t>
        </is>
      </c>
      <c r="E15" s="12" t="inlineStr">
        <is>
          <t>יתרה</t>
        </is>
      </c>
      <c r="F15" s="98" t="inlineStr">
        <is>
          <t>בפועל</t>
        </is>
      </c>
      <c r="H15" s="171" t="inlineStr">
        <is>
          <t>קצבאות</t>
        </is>
      </c>
      <c r="I15" s="14" t="inlineStr">
        <is>
          <t>קצבת ילדים</t>
        </is>
      </c>
      <c r="J15" s="195" t="n">
        <v>0</v>
      </c>
      <c r="K15" s="196" t="n">
        <v>0</v>
      </c>
      <c r="L15" s="197">
        <f>K15-J15</f>
        <v/>
      </c>
      <c r="M15" s="194" t="n">
        <v>0</v>
      </c>
    </row>
    <row r="16" ht="15" customHeight="1" thickBot="1">
      <c r="A16" s="170" t="inlineStr">
        <is>
          <t>פנאי, בילוי ותחביבים</t>
        </is>
      </c>
      <c r="B16" s="14" t="inlineStr">
        <is>
          <t>מסעדה ואוכל בחוץ</t>
        </is>
      </c>
      <c r="C16" s="195" t="n">
        <v>0</v>
      </c>
      <c r="D16" s="196" t="n">
        <v>0</v>
      </c>
      <c r="E16" s="197">
        <f>C16-D16</f>
        <v/>
      </c>
      <c r="F16" s="194" t="n">
        <v>0</v>
      </c>
      <c r="H16" s="49" t="n"/>
      <c r="I16" t="inlineStr">
        <is>
          <t>קצבת נכות</t>
        </is>
      </c>
      <c r="J16" s="191" t="n">
        <v>0</v>
      </c>
      <c r="K16" s="192" t="n">
        <v>0</v>
      </c>
      <c r="L16" s="193">
        <f>K16-J16</f>
        <v/>
      </c>
      <c r="M16" s="198" t="n">
        <v>0</v>
      </c>
    </row>
    <row r="17" ht="15" customHeight="1" thickBot="1">
      <c r="A17" s="49" t="n"/>
      <c r="B17" t="inlineStr">
        <is>
          <t>ספורט</t>
        </is>
      </c>
      <c r="C17" s="191" t="n">
        <v>0</v>
      </c>
      <c r="D17" s="192" t="n">
        <v>0</v>
      </c>
      <c r="E17" s="193">
        <f>C17-D17</f>
        <v/>
      </c>
      <c r="F17" s="198" t="n">
        <v>0</v>
      </c>
      <c r="H17" s="49" t="n"/>
      <c r="I17" t="inlineStr">
        <is>
          <t>סיוע בשכר דירה</t>
        </is>
      </c>
      <c r="J17" s="191" t="n">
        <v>0</v>
      </c>
      <c r="K17" s="192" t="n">
        <v>0</v>
      </c>
      <c r="L17" s="193">
        <f>K17-J17</f>
        <v/>
      </c>
      <c r="M17" s="198" t="n">
        <v>0</v>
      </c>
    </row>
    <row r="18" ht="15" customHeight="1" thickBot="1">
      <c r="A18" s="49" t="n"/>
      <c r="B18" t="inlineStr">
        <is>
          <t>חופשות</t>
        </is>
      </c>
      <c r="C18" s="191" t="n">
        <v>0</v>
      </c>
      <c r="D18" s="192" t="n">
        <v>0</v>
      </c>
      <c r="E18" s="193">
        <f>C18-D18</f>
        <v/>
      </c>
      <c r="F18" s="198" t="n">
        <v>0</v>
      </c>
      <c r="H18" s="49" t="n"/>
      <c r="I18" t="inlineStr">
        <is>
          <t>קצבת זיקנה</t>
        </is>
      </c>
      <c r="J18" s="191" t="n">
        <v>0</v>
      </c>
      <c r="K18" s="192" t="n">
        <v>0</v>
      </c>
      <c r="L18" s="193">
        <f>K18-J18</f>
        <v/>
      </c>
      <c r="M18" s="198" t="n">
        <v>0</v>
      </c>
    </row>
    <row r="19" ht="15" customHeight="1" thickBot="1">
      <c r="A19" s="49" t="n"/>
      <c r="B19" t="inlineStr">
        <is>
          <t>בילויים ומופעים</t>
        </is>
      </c>
      <c r="C19" s="191" t="n">
        <v>0</v>
      </c>
      <c r="D19" s="192" t="n">
        <v>0</v>
      </c>
      <c r="E19" s="193">
        <f>C19-D19</f>
        <v/>
      </c>
      <c r="F19" s="198" t="n">
        <v>0</v>
      </c>
      <c r="H19" s="199" t="n"/>
      <c r="I19" s="18" t="inlineStr">
        <is>
          <t>קצבאות - כללי</t>
        </is>
      </c>
      <c r="J19" s="200" t="n">
        <v>0</v>
      </c>
      <c r="K19" s="201" t="n">
        <v>0</v>
      </c>
      <c r="L19" s="202">
        <f>K19-J19</f>
        <v/>
      </c>
      <c r="M19" s="203" t="n">
        <v>0</v>
      </c>
    </row>
    <row r="20" ht="15" customHeight="1" thickBot="1">
      <c r="A20" s="49" t="n"/>
      <c r="B20" t="inlineStr">
        <is>
          <t>חיות מחמד</t>
        </is>
      </c>
      <c r="C20" s="191" t="n">
        <v>0</v>
      </c>
      <c r="D20" s="192" t="n">
        <v>0</v>
      </c>
      <c r="E20" s="193">
        <f>C20-D20</f>
        <v/>
      </c>
      <c r="F20" s="198" t="n">
        <v>0</v>
      </c>
      <c r="H20" s="136" t="inlineStr">
        <is>
          <t>סה"כ תקציב - קצבאות</t>
        </is>
      </c>
      <c r="J20" s="204">
        <f>SUM(J15:J19)</f>
        <v/>
      </c>
      <c r="K20" s="205">
        <f>SUM(K15:K19)</f>
        <v/>
      </c>
      <c r="L20" s="206">
        <f>SUM(L15:L19)</f>
        <v/>
      </c>
      <c r="M20" s="207">
        <f>SUM(M15:M19)</f>
        <v/>
      </c>
    </row>
    <row r="21" ht="15" customHeight="1" thickBot="1">
      <c r="A21" s="49" t="n"/>
      <c r="B21" t="inlineStr">
        <is>
          <t>חוגי מבוגרים</t>
        </is>
      </c>
      <c r="C21" s="191" t="n">
        <v>0</v>
      </c>
      <c r="D21" s="192" t="n">
        <v>0</v>
      </c>
      <c r="E21" s="193">
        <f>C21-D21</f>
        <v/>
      </c>
      <c r="F21" s="198" t="n">
        <v>0</v>
      </c>
      <c r="H21" s="49" t="n"/>
      <c r="M21" s="50" t="n"/>
    </row>
    <row r="22" ht="15.75" customHeight="1" thickBot="1">
      <c r="A22" s="49" t="n"/>
      <c r="B22" t="inlineStr">
        <is>
          <t>בייביסיטר</t>
        </is>
      </c>
      <c r="C22" s="191" t="n">
        <v>0</v>
      </c>
      <c r="D22" s="192" t="n">
        <v>0</v>
      </c>
      <c r="E22" s="193">
        <f>C22-D22</f>
        <v/>
      </c>
      <c r="F22" s="198" t="n">
        <v>0</v>
      </c>
      <c r="H22" s="97" t="inlineStr">
        <is>
          <t>קטגוריה</t>
        </is>
      </c>
      <c r="I22" s="9" t="inlineStr">
        <is>
          <t>סעיפים</t>
        </is>
      </c>
      <c r="J22" s="10" t="inlineStr">
        <is>
          <t>שיקוף</t>
        </is>
      </c>
      <c r="K22" s="11" t="inlineStr">
        <is>
          <t>הון</t>
        </is>
      </c>
      <c r="L22" s="12" t="inlineStr">
        <is>
          <t>יתרה</t>
        </is>
      </c>
      <c r="M22" s="98" t="inlineStr">
        <is>
          <t>בפועל</t>
        </is>
      </c>
    </row>
    <row r="23" ht="15" customHeight="1" thickBot="1">
      <c r="A23" s="49" t="n"/>
      <c r="B23" t="inlineStr">
        <is>
          <t>הגרלות</t>
        </is>
      </c>
      <c r="C23" s="191" t="n">
        <v>0</v>
      </c>
      <c r="D23" s="192" t="n">
        <v>0</v>
      </c>
      <c r="E23" s="193">
        <f>C23-D23</f>
        <v/>
      </c>
      <c r="F23" s="198" t="n">
        <v>0</v>
      </c>
      <c r="H23" s="171" t="inlineStr">
        <is>
          <t>הכנסות שונות</t>
        </is>
      </c>
      <c r="I23" s="14" t="inlineStr">
        <is>
          <t>קבלת מזונות</t>
        </is>
      </c>
      <c r="J23" s="195" t="n">
        <v>0</v>
      </c>
      <c r="K23" s="196" t="n">
        <v>0</v>
      </c>
      <c r="L23" s="197">
        <f>K23-J23</f>
        <v/>
      </c>
      <c r="M23" s="194" t="n">
        <v>0</v>
      </c>
    </row>
    <row r="24" ht="15" customHeight="1" thickBot="1">
      <c r="A24" s="199" t="n"/>
      <c r="B24" s="18" t="inlineStr">
        <is>
          <t>פנאי - כללי</t>
        </is>
      </c>
      <c r="C24" s="200" t="n">
        <v>0</v>
      </c>
      <c r="D24" s="201" t="n">
        <v>0</v>
      </c>
      <c r="E24" s="202">
        <f>C24-D24</f>
        <v/>
      </c>
      <c r="F24" s="203" t="n">
        <v>0</v>
      </c>
      <c r="H24" s="49" t="n"/>
      <c r="I24" t="inlineStr">
        <is>
          <t>הכנסה מנכס</t>
        </is>
      </c>
      <c r="J24" s="191" t="n">
        <v>0</v>
      </c>
      <c r="K24" s="192" t="n">
        <v>0</v>
      </c>
      <c r="L24" s="193">
        <f>K24-J24</f>
        <v/>
      </c>
      <c r="M24" s="198" t="n">
        <v>0</v>
      </c>
    </row>
    <row r="25" ht="15" customHeight="1" thickBot="1">
      <c r="A25" s="136" t="inlineStr">
        <is>
          <t>סה"כ תקציב - פנאי, בילוי ותחביבים</t>
        </is>
      </c>
      <c r="C25" s="204">
        <f>SUM(C16:C24)</f>
        <v/>
      </c>
      <c r="D25" s="205">
        <f>SUM(D16:D24)</f>
        <v/>
      </c>
      <c r="E25" s="206">
        <f>SUM(E16:E24)</f>
        <v/>
      </c>
      <c r="F25" s="207">
        <f>SUM(F16:F24)</f>
        <v/>
      </c>
      <c r="H25" s="49" t="n"/>
      <c r="I25" t="inlineStr">
        <is>
          <t>עזרה מההורים</t>
        </is>
      </c>
      <c r="J25" s="191" t="n">
        <v>0</v>
      </c>
      <c r="K25" s="192" t="n">
        <v>0</v>
      </c>
      <c r="L25" s="193">
        <f>K25-J25</f>
        <v/>
      </c>
      <c r="M25" s="198" t="n">
        <v>0</v>
      </c>
    </row>
    <row r="26">
      <c r="A26" s="49" t="n"/>
      <c r="F26" s="50" t="n"/>
      <c r="H26" s="199" t="n"/>
      <c r="I26" s="18" t="inlineStr">
        <is>
          <t>הכנסות שונות - כללי</t>
        </is>
      </c>
      <c r="J26" s="200" t="n">
        <v>0</v>
      </c>
      <c r="K26" s="201" t="n">
        <v>0</v>
      </c>
      <c r="L26" s="202">
        <f>K26-J26</f>
        <v/>
      </c>
      <c r="M26" s="203" t="n">
        <v>0</v>
      </c>
    </row>
    <row r="27" ht="15.75" customHeight="1" thickBot="1">
      <c r="A27" s="97" t="inlineStr">
        <is>
          <t>קטגוריה</t>
        </is>
      </c>
      <c r="B27" s="9" t="inlineStr">
        <is>
          <t>סעיפים</t>
        </is>
      </c>
      <c r="C27" s="10" t="inlineStr">
        <is>
          <t>שיקוף</t>
        </is>
      </c>
      <c r="D27" s="11" t="inlineStr">
        <is>
          <t>הון</t>
        </is>
      </c>
      <c r="E27" s="12" t="inlineStr">
        <is>
          <t>יתרה</t>
        </is>
      </c>
      <c r="F27" s="98" t="inlineStr">
        <is>
          <t>בפועל</t>
        </is>
      </c>
      <c r="H27" s="139" t="inlineStr">
        <is>
          <t>סה"כ תקציב - הכנסות שונות</t>
        </is>
      </c>
      <c r="I27" s="188" t="n"/>
      <c r="J27" s="212">
        <f>SUM(J23:J26)</f>
        <v/>
      </c>
      <c r="K27" s="213">
        <f>SUM(K23:K26)</f>
        <v/>
      </c>
      <c r="L27" s="214">
        <f>SUM(L23:L26)</f>
        <v/>
      </c>
      <c r="M27" s="215">
        <f>SUM(M23:M26)</f>
        <v/>
      </c>
    </row>
    <row r="28" ht="15" customHeight="1" thickBot="1">
      <c r="A28" s="170" t="inlineStr">
        <is>
          <t>ביגוד והנעלה</t>
        </is>
      </c>
      <c r="B28" s="14" t="inlineStr">
        <is>
          <t>ביגוד הורים</t>
        </is>
      </c>
      <c r="C28" s="195" t="n">
        <v>0</v>
      </c>
      <c r="D28" s="196" t="n">
        <v>0</v>
      </c>
      <c r="E28" s="197">
        <f>C28-D28</f>
        <v/>
      </c>
      <c r="F28" s="194" t="n">
        <v>0</v>
      </c>
    </row>
    <row r="29" ht="15" customHeight="1" thickBot="1">
      <c r="A29" s="49" t="n"/>
      <c r="B29" t="inlineStr">
        <is>
          <t>ביגוד ילדים</t>
        </is>
      </c>
      <c r="C29" s="191" t="n">
        <v>0</v>
      </c>
      <c r="D29" s="192" t="n">
        <v>0</v>
      </c>
      <c r="E29" s="193">
        <f>C29-D29</f>
        <v/>
      </c>
      <c r="F29" s="198" t="n">
        <v>0</v>
      </c>
    </row>
    <row r="30" ht="15" customHeight="1" thickBot="1">
      <c r="A30" s="49" t="n"/>
      <c r="B30" t="inlineStr">
        <is>
          <t>נעליים</t>
        </is>
      </c>
      <c r="C30" s="191" t="n">
        <v>0</v>
      </c>
      <c r="D30" s="192" t="n">
        <v>0</v>
      </c>
      <c r="E30" s="193">
        <f>C30-D30</f>
        <v/>
      </c>
      <c r="F30" s="198" t="n">
        <v>0</v>
      </c>
    </row>
    <row r="31">
      <c r="A31" s="199" t="n"/>
      <c r="B31" s="18" t="inlineStr">
        <is>
          <t>ביגוד והנעלה - כללי</t>
        </is>
      </c>
      <c r="C31" s="200" t="n">
        <v>0</v>
      </c>
      <c r="D31" s="201" t="n">
        <v>0</v>
      </c>
      <c r="E31" s="202">
        <f>C31-D31</f>
        <v/>
      </c>
      <c r="F31" s="203" t="n">
        <v>0</v>
      </c>
    </row>
    <row r="32" ht="15" customHeight="1">
      <c r="A32" s="136" t="inlineStr">
        <is>
          <t>סה"כ תקציב - ביגוד והנעלה</t>
        </is>
      </c>
      <c r="C32" s="204">
        <f>SUM(C28:C31)</f>
        <v/>
      </c>
      <c r="D32" s="205">
        <f>SUM(D28:D31)</f>
        <v/>
      </c>
      <c r="E32" s="206">
        <f>SUM(E28:E31)</f>
        <v/>
      </c>
      <c r="F32" s="207">
        <f>SUM(F28:F31)</f>
        <v/>
      </c>
    </row>
    <row r="33" ht="14.25" customHeight="1">
      <c r="A33" s="49" t="n"/>
      <c r="F33" s="50" t="n"/>
    </row>
    <row r="34" ht="15.75" customHeight="1" thickBot="1">
      <c r="A34" s="97" t="inlineStr">
        <is>
          <t>קטגוריה</t>
        </is>
      </c>
      <c r="B34" s="9" t="inlineStr">
        <is>
          <t>סעיפים</t>
        </is>
      </c>
      <c r="C34" s="10" t="inlineStr">
        <is>
          <t>שיקוף</t>
        </is>
      </c>
      <c r="D34" s="11" t="inlineStr">
        <is>
          <t>הון</t>
        </is>
      </c>
      <c r="E34" s="12" t="inlineStr">
        <is>
          <t>יתרה</t>
        </is>
      </c>
      <c r="F34" s="98" t="inlineStr">
        <is>
          <t>בפועל</t>
        </is>
      </c>
    </row>
    <row r="35" ht="15" customHeight="1" thickBot="1">
      <c r="A35" s="170" t="inlineStr">
        <is>
          <t>תכולת בית</t>
        </is>
      </c>
      <c r="B35" s="14" t="inlineStr">
        <is>
          <t>ריהוט</t>
        </is>
      </c>
      <c r="C35" s="195" t="n">
        <v>0</v>
      </c>
      <c r="D35" s="196" t="n">
        <v>0</v>
      </c>
      <c r="E35" s="197">
        <f>C35-D35</f>
        <v/>
      </c>
      <c r="F35" s="194" t="n">
        <v>0</v>
      </c>
    </row>
    <row r="36" ht="15" customHeight="1" thickBot="1">
      <c r="A36" s="49" t="n"/>
      <c r="B36" t="inlineStr">
        <is>
          <t>מוצרי חשמל ואלקטרוניקה</t>
        </is>
      </c>
      <c r="C36" s="191" t="n">
        <v>0</v>
      </c>
      <c r="D36" s="192" t="n">
        <v>0</v>
      </c>
      <c r="E36" s="193">
        <f>C36-D36</f>
        <v/>
      </c>
      <c r="F36" s="198" t="n">
        <v>0</v>
      </c>
    </row>
    <row r="37" ht="15" customHeight="1" thickBot="1">
      <c r="A37" s="49" t="n"/>
      <c r="B37" t="inlineStr">
        <is>
          <t>משחקים, צעצועים וספרים</t>
        </is>
      </c>
      <c r="C37" s="191" t="n">
        <v>0</v>
      </c>
      <c r="D37" s="192" t="n">
        <v>0</v>
      </c>
      <c r="E37" s="193">
        <f>C37-D37</f>
        <v/>
      </c>
      <c r="F37" s="198" t="n">
        <v>0</v>
      </c>
    </row>
    <row r="38" ht="15" customHeight="1" thickBot="1">
      <c r="A38" s="49" t="n"/>
      <c r="B38" t="inlineStr">
        <is>
          <t>כלי בית</t>
        </is>
      </c>
      <c r="C38" s="191" t="n">
        <v>0</v>
      </c>
      <c r="D38" s="192" t="n">
        <v>0</v>
      </c>
      <c r="E38" s="193">
        <f>C38-D38</f>
        <v/>
      </c>
      <c r="F38" s="198" t="n">
        <v>0</v>
      </c>
    </row>
    <row r="39">
      <c r="A39" s="199" t="n"/>
      <c r="B39" s="18" t="inlineStr">
        <is>
          <t>תכולת בית - כללי</t>
        </is>
      </c>
      <c r="C39" s="200" t="n">
        <v>0</v>
      </c>
      <c r="D39" s="201" t="n">
        <v>0</v>
      </c>
      <c r="E39" s="202">
        <f>C39-D39</f>
        <v/>
      </c>
      <c r="F39" s="203" t="n">
        <v>0</v>
      </c>
    </row>
    <row r="40" ht="15" customHeight="1">
      <c r="A40" s="136" t="inlineStr">
        <is>
          <t>סה"כ תקציב - תכולת בית</t>
        </is>
      </c>
      <c r="C40" s="204">
        <f>SUM(C35:C39)</f>
        <v/>
      </c>
      <c r="D40" s="205">
        <f>SUM(D35:D39)</f>
        <v/>
      </c>
      <c r="E40" s="206">
        <f>SUM(E35:E39)</f>
        <v/>
      </c>
      <c r="F40" s="207">
        <f>SUM(F35:F39)</f>
        <v/>
      </c>
    </row>
    <row r="41" ht="14.25" customHeight="1">
      <c r="A41" s="49" t="n"/>
      <c r="F41" s="50" t="n"/>
    </row>
    <row r="42" ht="15.75" customHeight="1" thickBot="1">
      <c r="A42" s="97" t="inlineStr">
        <is>
          <t>קטגוריה</t>
        </is>
      </c>
      <c r="B42" s="9" t="inlineStr">
        <is>
          <t>סעיפים</t>
        </is>
      </c>
      <c r="C42" s="10" t="inlineStr">
        <is>
          <t>שיקוף</t>
        </is>
      </c>
      <c r="D42" s="11" t="inlineStr">
        <is>
          <t>הון</t>
        </is>
      </c>
      <c r="E42" s="12" t="inlineStr">
        <is>
          <t>יתרה</t>
        </is>
      </c>
      <c r="F42" s="98" t="inlineStr">
        <is>
          <t>בפועל</t>
        </is>
      </c>
    </row>
    <row r="43" ht="15" customHeight="1" thickBot="1">
      <c r="A43" s="170" t="inlineStr">
        <is>
          <t>אחזקת בית</t>
        </is>
      </c>
      <c r="B43" s="14" t="inlineStr">
        <is>
          <t>חשמל</t>
        </is>
      </c>
      <c r="C43" s="195" t="n">
        <v>0</v>
      </c>
      <c r="D43" s="196" t="n">
        <v>0</v>
      </c>
      <c r="E43" s="197">
        <f>C43-D43</f>
        <v/>
      </c>
      <c r="F43" s="194" t="n">
        <v>0</v>
      </c>
    </row>
    <row r="44" ht="15" customHeight="1" thickBot="1">
      <c r="A44" s="49" t="n"/>
      <c r="B44" t="inlineStr">
        <is>
          <t>מים וביוב</t>
        </is>
      </c>
      <c r="C44" s="191" t="n">
        <v>0</v>
      </c>
      <c r="D44" s="192" t="n">
        <v>0</v>
      </c>
      <c r="E44" s="193">
        <f>C44-D44</f>
        <v/>
      </c>
      <c r="F44" s="198" t="n">
        <v>0</v>
      </c>
    </row>
    <row r="45" ht="15" customHeight="1" thickBot="1">
      <c r="A45" s="49" t="n"/>
      <c r="B45" t="inlineStr">
        <is>
          <t>גז</t>
        </is>
      </c>
      <c r="C45" s="191" t="n">
        <v>0</v>
      </c>
      <c r="D45" s="192" t="n">
        <v>0</v>
      </c>
      <c r="E45" s="193">
        <f>C45-D45</f>
        <v/>
      </c>
      <c r="F45" s="198" t="n">
        <v>0</v>
      </c>
    </row>
    <row r="46" ht="15" customHeight="1" thickBot="1">
      <c r="A46" s="49" t="n"/>
      <c r="B46" t="inlineStr">
        <is>
          <t>ניקיון</t>
        </is>
      </c>
      <c r="C46" s="191" t="n">
        <v>0</v>
      </c>
      <c r="D46" s="192" t="n">
        <v>0</v>
      </c>
      <c r="E46" s="193">
        <f>C46-D46</f>
        <v/>
      </c>
      <c r="F46" s="198" t="n">
        <v>0</v>
      </c>
    </row>
    <row r="47" ht="15" customHeight="1" thickBot="1">
      <c r="A47" s="49" t="n"/>
      <c r="B47" t="inlineStr">
        <is>
          <t>תיקונים בבית / במכשירים</t>
        </is>
      </c>
      <c r="C47" s="191" t="n">
        <v>0</v>
      </c>
      <c r="D47" s="192" t="n">
        <v>0</v>
      </c>
      <c r="E47" s="193">
        <f>C47-D47</f>
        <v/>
      </c>
      <c r="F47" s="198" t="n">
        <v>0</v>
      </c>
    </row>
    <row r="48" ht="15" customHeight="1" thickBot="1">
      <c r="A48" s="49" t="n"/>
      <c r="B48" t="inlineStr">
        <is>
          <t>גינה</t>
        </is>
      </c>
      <c r="C48" s="191" t="n">
        <v>0</v>
      </c>
      <c r="D48" s="192" t="n">
        <v>0</v>
      </c>
      <c r="E48" s="193">
        <f>C48-D48</f>
        <v/>
      </c>
      <c r="F48" s="198" t="n">
        <v>0</v>
      </c>
    </row>
    <row r="49">
      <c r="A49" s="199" t="n"/>
      <c r="B49" s="18" t="inlineStr">
        <is>
          <t>אחזקת בית - כללי</t>
        </is>
      </c>
      <c r="C49" s="200" t="n">
        <v>0</v>
      </c>
      <c r="D49" s="201" t="n">
        <v>0</v>
      </c>
      <c r="E49" s="202">
        <f>C49-D49</f>
        <v/>
      </c>
      <c r="F49" s="203" t="n">
        <v>0</v>
      </c>
    </row>
    <row r="50" ht="15" customHeight="1">
      <c r="A50" s="136" t="inlineStr">
        <is>
          <t>סה"כ תקציב - אחזקת בית</t>
        </is>
      </c>
      <c r="C50" s="204">
        <f>SUM(C43:C49)</f>
        <v/>
      </c>
      <c r="D50" s="205">
        <f>SUM(D43:D49)</f>
        <v/>
      </c>
      <c r="E50" s="206">
        <f>SUM(E43:E49)</f>
        <v/>
      </c>
      <c r="F50" s="207">
        <f>SUM(F43:F49)</f>
        <v/>
      </c>
    </row>
    <row r="51" ht="14.25" customHeight="1">
      <c r="A51" s="49" t="n"/>
      <c r="F51" s="50" t="n"/>
    </row>
    <row r="52" ht="15.75" customHeight="1" thickBot="1">
      <c r="A52" s="97" t="inlineStr">
        <is>
          <t>קטגוריה</t>
        </is>
      </c>
      <c r="B52" s="9" t="inlineStr">
        <is>
          <t>סעיפים</t>
        </is>
      </c>
      <c r="C52" s="10" t="inlineStr">
        <is>
          <t>שיקוף</t>
        </is>
      </c>
      <c r="D52" s="11" t="inlineStr">
        <is>
          <t>הון</t>
        </is>
      </c>
      <c r="E52" s="12" t="inlineStr">
        <is>
          <t>יתרה</t>
        </is>
      </c>
      <c r="F52" s="98" t="inlineStr">
        <is>
          <t>בפועל</t>
        </is>
      </c>
    </row>
    <row r="53" ht="15" customHeight="1" thickBot="1">
      <c r="A53" s="170" t="inlineStr">
        <is>
          <t>טיפוח</t>
        </is>
      </c>
      <c r="B53" s="14" t="inlineStr">
        <is>
          <t>מספרה</t>
        </is>
      </c>
      <c r="C53" s="195" t="n">
        <v>0</v>
      </c>
      <c r="D53" s="196" t="n">
        <v>0</v>
      </c>
      <c r="E53" s="197">
        <f>C53-D53</f>
        <v/>
      </c>
      <c r="F53" s="194" t="n">
        <v>0</v>
      </c>
    </row>
    <row r="54" ht="15" customHeight="1" thickBot="1">
      <c r="A54" s="49" t="n"/>
      <c r="B54" t="inlineStr">
        <is>
          <t>קוסמטיקה</t>
        </is>
      </c>
      <c r="C54" s="191" t="n">
        <v>0</v>
      </c>
      <c r="D54" s="192" t="n">
        <v>0</v>
      </c>
      <c r="E54" s="193">
        <f>C54-D54</f>
        <v/>
      </c>
      <c r="F54" s="198" t="n">
        <v>0</v>
      </c>
    </row>
    <row r="55">
      <c r="A55" s="199" t="n"/>
      <c r="B55" s="18" t="inlineStr">
        <is>
          <t>טיפוח - כללי</t>
        </is>
      </c>
      <c r="C55" s="200" t="n">
        <v>0</v>
      </c>
      <c r="D55" s="201" t="n">
        <v>0</v>
      </c>
      <c r="E55" s="202">
        <f>C55-D55</f>
        <v/>
      </c>
      <c r="F55" s="203" t="n">
        <v>0</v>
      </c>
    </row>
    <row r="56" ht="15" customHeight="1">
      <c r="A56" s="136" t="inlineStr">
        <is>
          <t>סה"כ תקציב - טיפוח</t>
        </is>
      </c>
      <c r="C56" s="204">
        <f>SUM(C53:C55)</f>
        <v/>
      </c>
      <c r="D56" s="205">
        <f>SUM(D53:D55)</f>
        <v/>
      </c>
      <c r="E56" s="206">
        <f>SUM(E53:E55)</f>
        <v/>
      </c>
      <c r="F56" s="207">
        <f>SUM(F53:F55)</f>
        <v/>
      </c>
    </row>
    <row r="57" ht="14.25" customHeight="1">
      <c r="A57" s="49" t="n"/>
      <c r="F57" s="50" t="n"/>
    </row>
    <row r="58" ht="15.75" customHeight="1" thickBot="1">
      <c r="A58" s="97" t="inlineStr">
        <is>
          <t>קטגוריה</t>
        </is>
      </c>
      <c r="B58" s="9" t="inlineStr">
        <is>
          <t>סעיפים</t>
        </is>
      </c>
      <c r="C58" s="10" t="inlineStr">
        <is>
          <t>שיקוף</t>
        </is>
      </c>
      <c r="D58" s="11" t="inlineStr">
        <is>
          <t>הון</t>
        </is>
      </c>
      <c r="E58" s="12" t="inlineStr">
        <is>
          <t>יתרה</t>
        </is>
      </c>
      <c r="F58" s="98" t="inlineStr">
        <is>
          <t>בפועל</t>
        </is>
      </c>
    </row>
    <row r="59" ht="15" customHeight="1" thickBot="1">
      <c r="A59" s="170" t="inlineStr">
        <is>
          <t>חינוך</t>
        </is>
      </c>
      <c r="B59" s="14" t="inlineStr">
        <is>
          <t>בית ספר</t>
        </is>
      </c>
      <c r="C59" s="195" t="n">
        <v>0</v>
      </c>
      <c r="D59" s="196" t="n">
        <v>0</v>
      </c>
      <c r="E59" s="197">
        <f>C59-D59</f>
        <v/>
      </c>
      <c r="F59" s="194" t="n">
        <v>0</v>
      </c>
    </row>
    <row r="60" ht="15" customHeight="1" thickBot="1">
      <c r="A60" s="49" t="n"/>
      <c r="B60" t="inlineStr">
        <is>
          <t>מסגרות צהריים</t>
        </is>
      </c>
      <c r="C60" s="191" t="n">
        <v>0</v>
      </c>
      <c r="D60" s="192" t="n">
        <v>0</v>
      </c>
      <c r="E60" s="193">
        <f>C60-D60</f>
        <v/>
      </c>
      <c r="F60" s="198" t="n">
        <v>0</v>
      </c>
    </row>
    <row r="61" ht="15" customHeight="1" thickBot="1">
      <c r="A61" s="49" t="n"/>
      <c r="B61" t="inlineStr">
        <is>
          <t>מסגרות יום</t>
        </is>
      </c>
      <c r="C61" s="191" t="n">
        <v>0</v>
      </c>
      <c r="D61" s="192" t="n">
        <v>0</v>
      </c>
      <c r="E61" s="193">
        <f>C61-D61</f>
        <v/>
      </c>
      <c r="F61" s="198" t="n">
        <v>0</v>
      </c>
    </row>
    <row r="62" ht="15" customHeight="1" thickBot="1">
      <c r="A62" s="49" t="n"/>
      <c r="B62" t="inlineStr">
        <is>
          <t>צהרון / מטפלת</t>
        </is>
      </c>
      <c r="C62" s="191" t="n">
        <v>0</v>
      </c>
      <c r="D62" s="192" t="n">
        <v>0</v>
      </c>
      <c r="E62" s="193">
        <f>C62-D62</f>
        <v/>
      </c>
      <c r="F62" s="198" t="n">
        <v>0</v>
      </c>
    </row>
    <row r="63" ht="15" customHeight="1" thickBot="1">
      <c r="A63" s="49" t="n"/>
      <c r="B63" t="inlineStr">
        <is>
          <t>הסעות</t>
        </is>
      </c>
      <c r="C63" s="191" t="n">
        <v>0</v>
      </c>
      <c r="D63" s="192" t="n">
        <v>0</v>
      </c>
      <c r="E63" s="193">
        <f>C63-D63</f>
        <v/>
      </c>
      <c r="F63" s="198" t="n">
        <v>0</v>
      </c>
    </row>
    <row r="64" ht="15" customHeight="1" thickBot="1">
      <c r="A64" s="49" t="n"/>
      <c r="B64" t="inlineStr">
        <is>
          <t>שיעור פרטי</t>
        </is>
      </c>
      <c r="C64" s="191" t="n">
        <v>0</v>
      </c>
      <c r="D64" s="192" t="n">
        <v>0</v>
      </c>
      <c r="E64" s="193">
        <f>C64-D64</f>
        <v/>
      </c>
      <c r="F64" s="198" t="n">
        <v>0</v>
      </c>
    </row>
    <row r="65" ht="15" customHeight="1" thickBot="1">
      <c r="A65" s="49" t="n"/>
      <c r="B65" t="inlineStr">
        <is>
          <t>מסגרות קיץ</t>
        </is>
      </c>
      <c r="C65" s="191" t="n">
        <v>0</v>
      </c>
      <c r="D65" s="192" t="n">
        <v>0</v>
      </c>
      <c r="E65" s="193">
        <f>C65-D65</f>
        <v/>
      </c>
      <c r="F65" s="198" t="n">
        <v>0</v>
      </c>
    </row>
    <row r="66" ht="15" customHeight="1" thickBot="1">
      <c r="A66" s="49" t="n"/>
      <c r="B66" t="inlineStr">
        <is>
          <t>חוגים ותנועת נוער</t>
        </is>
      </c>
      <c r="C66" s="191" t="n">
        <v>0</v>
      </c>
      <c r="D66" s="192" t="n">
        <v>0</v>
      </c>
      <c r="E66" s="193">
        <f>C66-D66</f>
        <v/>
      </c>
      <c r="F66" s="198" t="n">
        <v>0</v>
      </c>
    </row>
    <row r="67" ht="15" customHeight="1" thickBot="1">
      <c r="A67" s="49" t="n"/>
      <c r="B67" t="inlineStr">
        <is>
          <t>לימודים והשתלמות לבוגרים</t>
        </is>
      </c>
      <c r="C67" s="191" t="n">
        <v>0</v>
      </c>
      <c r="D67" s="192" t="n">
        <v>0</v>
      </c>
      <c r="E67" s="193">
        <f>C67-D67</f>
        <v/>
      </c>
      <c r="F67" s="198" t="n">
        <v>0</v>
      </c>
    </row>
    <row r="68">
      <c r="A68" s="199" t="n"/>
      <c r="B68" s="18" t="inlineStr">
        <is>
          <t>חינוך - כללי</t>
        </is>
      </c>
      <c r="C68" s="200" t="n">
        <v>0</v>
      </c>
      <c r="D68" s="201" t="n">
        <v>0</v>
      </c>
      <c r="E68" s="202">
        <f>C68-D68</f>
        <v/>
      </c>
      <c r="F68" s="203" t="n">
        <v>0</v>
      </c>
    </row>
    <row r="69" ht="15" customHeight="1">
      <c r="A69" s="136" t="inlineStr">
        <is>
          <t>סה"כ תקציב - חינוך</t>
        </is>
      </c>
      <c r="C69" s="204">
        <f>SUM(C59:C68)</f>
        <v/>
      </c>
      <c r="D69" s="205">
        <f>SUM(D59:D68)</f>
        <v/>
      </c>
      <c r="E69" s="206">
        <f>SUM(E59:E68)</f>
        <v/>
      </c>
      <c r="F69" s="207">
        <f>SUM(F59:F68)</f>
        <v/>
      </c>
    </row>
    <row r="70" ht="14.25" customHeight="1">
      <c r="A70" s="49" t="n"/>
      <c r="F70" s="50" t="n"/>
    </row>
    <row r="71" ht="15.75" customHeight="1" thickBot="1">
      <c r="A71" s="97" t="inlineStr">
        <is>
          <t>קטגוריה</t>
        </is>
      </c>
      <c r="B71" s="9" t="inlineStr">
        <is>
          <t>סעיפים</t>
        </is>
      </c>
      <c r="C71" s="10" t="inlineStr">
        <is>
          <t>שיקוף</t>
        </is>
      </c>
      <c r="D71" s="11" t="inlineStr">
        <is>
          <t>הון</t>
        </is>
      </c>
      <c r="E71" s="12" t="inlineStr">
        <is>
          <t>יתרה</t>
        </is>
      </c>
      <c r="F71" s="98" t="inlineStr">
        <is>
          <t>בפועל</t>
        </is>
      </c>
    </row>
    <row r="72" ht="15" customHeight="1" thickBot="1">
      <c r="A72" s="170" t="inlineStr">
        <is>
          <t>אירועים, תרומות, צרכי דת</t>
        </is>
      </c>
      <c r="B72" s="14" t="inlineStr">
        <is>
          <t>חגים וצרכי דת</t>
        </is>
      </c>
      <c r="C72" s="195" t="n">
        <v>0</v>
      </c>
      <c r="D72" s="196" t="n">
        <v>0</v>
      </c>
      <c r="E72" s="197">
        <f>C72-D72</f>
        <v/>
      </c>
      <c r="F72" s="194" t="n">
        <v>0</v>
      </c>
    </row>
    <row r="73" ht="15" customHeight="1" thickBot="1">
      <c r="A73" s="49" t="n"/>
      <c r="B73" t="inlineStr">
        <is>
          <t>אירוע בעבודה / לחברים</t>
        </is>
      </c>
      <c r="C73" s="191" t="n">
        <v>0</v>
      </c>
      <c r="D73" s="192" t="n">
        <v>0</v>
      </c>
      <c r="E73" s="193">
        <f>C73-D73</f>
        <v/>
      </c>
      <c r="F73" s="198" t="n">
        <v>0</v>
      </c>
    </row>
    <row r="74">
      <c r="A74" s="199" t="n"/>
      <c r="B74" s="18" t="inlineStr">
        <is>
          <t>תרומות</t>
        </is>
      </c>
      <c r="C74" s="200" t="n">
        <v>0</v>
      </c>
      <c r="D74" s="201" t="n">
        <v>0</v>
      </c>
      <c r="E74" s="202">
        <f>C74-D74</f>
        <v/>
      </c>
      <c r="F74" s="203" t="n">
        <v>0</v>
      </c>
    </row>
    <row r="75" ht="15" customHeight="1">
      <c r="A75" s="136" t="inlineStr">
        <is>
          <t>סה"כ תקציב - אירועים, תרומות, צרכי דת</t>
        </is>
      </c>
      <c r="C75" s="204">
        <f>SUM(C72:C74)</f>
        <v/>
      </c>
      <c r="D75" s="205">
        <f>SUM(D72:D74)</f>
        <v/>
      </c>
      <c r="E75" s="206">
        <f>SUM(E72:E74)</f>
        <v/>
      </c>
      <c r="F75" s="207">
        <f>SUM(F72:F74)</f>
        <v/>
      </c>
    </row>
    <row r="76" ht="14.25" customHeight="1">
      <c r="A76" s="49" t="n"/>
      <c r="F76" s="50" t="n"/>
    </row>
    <row r="77" ht="15.75" customHeight="1" thickBot="1">
      <c r="A77" s="97" t="inlineStr">
        <is>
          <t>קטגוריה</t>
        </is>
      </c>
      <c r="B77" s="9" t="inlineStr">
        <is>
          <t>סעיפים</t>
        </is>
      </c>
      <c r="C77" s="10" t="inlineStr">
        <is>
          <t>שיקוף</t>
        </is>
      </c>
      <c r="D77" s="11" t="inlineStr">
        <is>
          <t>הון</t>
        </is>
      </c>
      <c r="E77" s="12" t="inlineStr">
        <is>
          <t>יתרה</t>
        </is>
      </c>
      <c r="F77" s="98" t="inlineStr">
        <is>
          <t>בפועל</t>
        </is>
      </c>
    </row>
    <row r="78" ht="15" customHeight="1" thickBot="1">
      <c r="A78" s="170" t="inlineStr">
        <is>
          <t>בריאות</t>
        </is>
      </c>
      <c r="B78" s="14" t="inlineStr">
        <is>
          <t>קופ"ח תשלום קבוע</t>
        </is>
      </c>
      <c r="C78" s="195" t="n">
        <v>0</v>
      </c>
      <c r="D78" s="196" t="n">
        <v>0</v>
      </c>
      <c r="E78" s="197">
        <f>C78-D78</f>
        <v/>
      </c>
      <c r="F78" s="194" t="n">
        <v>0</v>
      </c>
    </row>
    <row r="79" ht="15" customHeight="1" thickBot="1">
      <c r="A79" s="49" t="n"/>
      <c r="B79" t="inlineStr">
        <is>
          <t>ביטוח רפואי נוסף</t>
        </is>
      </c>
      <c r="C79" s="191" t="n">
        <v>0</v>
      </c>
      <c r="D79" s="192" t="n">
        <v>0</v>
      </c>
      <c r="E79" s="193">
        <f>C79-D79</f>
        <v/>
      </c>
      <c r="F79" s="198" t="n">
        <v>0</v>
      </c>
    </row>
    <row r="80" ht="15" customHeight="1" thickBot="1">
      <c r="A80" s="49" t="n"/>
      <c r="B80" t="inlineStr">
        <is>
          <t>טיפולים פרטיים</t>
        </is>
      </c>
      <c r="C80" s="191" t="n">
        <v>0</v>
      </c>
      <c r="D80" s="192" t="n">
        <v>0</v>
      </c>
      <c r="E80" s="193">
        <f>C80-D80</f>
        <v/>
      </c>
      <c r="F80" s="198" t="n">
        <v>0</v>
      </c>
    </row>
    <row r="81" ht="15" customHeight="1" thickBot="1">
      <c r="A81" s="49" t="n"/>
      <c r="B81" t="inlineStr">
        <is>
          <t>תרופות</t>
        </is>
      </c>
      <c r="C81" s="191" t="n">
        <v>0</v>
      </c>
      <c r="D81" s="192" t="n">
        <v>0</v>
      </c>
      <c r="E81" s="193">
        <f>C81-D81</f>
        <v/>
      </c>
      <c r="F81" s="198" t="n">
        <v>0</v>
      </c>
    </row>
    <row r="82" ht="15" customHeight="1" thickBot="1">
      <c r="A82" s="49" t="n"/>
      <c r="B82" t="inlineStr">
        <is>
          <t>טיפולי שיניים / אורטודנט</t>
        </is>
      </c>
      <c r="C82" s="191" t="n">
        <v>0</v>
      </c>
      <c r="D82" s="192" t="n">
        <v>0</v>
      </c>
      <c r="E82" s="193">
        <f>C82-D82</f>
        <v/>
      </c>
      <c r="F82" s="198" t="n">
        <v>0</v>
      </c>
    </row>
    <row r="83" ht="15" customHeight="1" thickBot="1">
      <c r="A83" s="49" t="n"/>
      <c r="B83" t="inlineStr">
        <is>
          <t>אופטיקה</t>
        </is>
      </c>
      <c r="C83" s="191" t="n">
        <v>0</v>
      </c>
      <c r="D83" s="192" t="n">
        <v>0</v>
      </c>
      <c r="E83" s="193">
        <f>C83-D83</f>
        <v/>
      </c>
      <c r="F83" s="198" t="n">
        <v>0</v>
      </c>
    </row>
    <row r="84">
      <c r="A84" s="199" t="n"/>
      <c r="B84" s="18" t="inlineStr">
        <is>
          <t>בריאות - כללי</t>
        </is>
      </c>
      <c r="C84" s="200" t="n">
        <v>0</v>
      </c>
      <c r="D84" s="201" t="n">
        <v>0</v>
      </c>
      <c r="E84" s="202">
        <f>C84-D84</f>
        <v/>
      </c>
      <c r="F84" s="203" t="n">
        <v>0</v>
      </c>
    </row>
    <row r="85" ht="15" customHeight="1">
      <c r="A85" s="136" t="inlineStr">
        <is>
          <t>סה"כ תקציב - בריאות</t>
        </is>
      </c>
      <c r="C85" s="204">
        <f>SUM(C78:C84)</f>
        <v/>
      </c>
      <c r="D85" s="205">
        <f>SUM(D78:D84)</f>
        <v/>
      </c>
      <c r="E85" s="206">
        <f>SUM(E78:E84)</f>
        <v/>
      </c>
      <c r="F85" s="216">
        <f>SUM(F78:F84)</f>
        <v/>
      </c>
    </row>
    <row r="86" ht="14.25" customHeight="1">
      <c r="A86" s="49" t="n"/>
      <c r="F86" s="50" t="n"/>
    </row>
    <row r="87" ht="15.75" customHeight="1" thickBot="1">
      <c r="A87" s="97" t="inlineStr">
        <is>
          <t>קטגוריה</t>
        </is>
      </c>
      <c r="B87" s="9" t="inlineStr">
        <is>
          <t>סעיפים</t>
        </is>
      </c>
      <c r="C87" s="10" t="inlineStr">
        <is>
          <t>שיקוף</t>
        </is>
      </c>
      <c r="D87" s="11" t="inlineStr">
        <is>
          <t>הון</t>
        </is>
      </c>
      <c r="E87" s="12" t="inlineStr">
        <is>
          <t>יתרה</t>
        </is>
      </c>
      <c r="F87" s="98" t="inlineStr">
        <is>
          <t>בפועל</t>
        </is>
      </c>
    </row>
    <row r="88" ht="15" customHeight="1" thickBot="1">
      <c r="A88" s="170" t="inlineStr">
        <is>
          <t>תחבורה</t>
        </is>
      </c>
      <c r="B88" s="14" t="inlineStr">
        <is>
          <t>דלק</t>
        </is>
      </c>
      <c r="C88" s="195" t="n">
        <v>0</v>
      </c>
      <c r="D88" s="196" t="n">
        <v>0</v>
      </c>
      <c r="E88" s="197">
        <f>C88-D88</f>
        <v/>
      </c>
      <c r="F88" s="194" t="n">
        <v>0</v>
      </c>
    </row>
    <row r="89" ht="15" customHeight="1" thickBot="1">
      <c r="A89" s="49" t="n"/>
      <c r="B89" t="inlineStr">
        <is>
          <t>חניה</t>
        </is>
      </c>
      <c r="C89" s="191" t="n">
        <v>0</v>
      </c>
      <c r="D89" s="192" t="n">
        <v>0</v>
      </c>
      <c r="E89" s="193">
        <f>C89-D89</f>
        <v/>
      </c>
      <c r="F89" s="198" t="n">
        <v>0</v>
      </c>
    </row>
    <row r="90" ht="15" customHeight="1" thickBot="1">
      <c r="A90" s="49" t="n"/>
      <c r="B90" t="inlineStr">
        <is>
          <t>כבישי אגרה</t>
        </is>
      </c>
      <c r="C90" s="191" t="n">
        <v>0</v>
      </c>
      <c r="D90" s="192" t="n">
        <v>0</v>
      </c>
      <c r="E90" s="193">
        <f>C90-D90</f>
        <v/>
      </c>
      <c r="F90" s="198" t="n">
        <v>0</v>
      </c>
    </row>
    <row r="91" ht="15" customHeight="1" thickBot="1">
      <c r="A91" s="49" t="n"/>
      <c r="B91" t="inlineStr">
        <is>
          <t>ביטוח רכב</t>
        </is>
      </c>
      <c r="C91" s="191" t="n">
        <v>0</v>
      </c>
      <c r="D91" s="192" t="n">
        <v>0</v>
      </c>
      <c r="E91" s="193">
        <f>C91-D91</f>
        <v/>
      </c>
      <c r="F91" s="198" t="n">
        <v>0</v>
      </c>
    </row>
    <row r="92" ht="15" customHeight="1" thickBot="1">
      <c r="A92" s="49" t="n"/>
      <c r="B92" t="inlineStr">
        <is>
          <t>תחזוקת רכב</t>
        </is>
      </c>
      <c r="C92" s="191" t="n">
        <v>0</v>
      </c>
      <c r="D92" s="192" t="n">
        <v>0</v>
      </c>
      <c r="E92" s="193">
        <f>C92-D92</f>
        <v/>
      </c>
      <c r="F92" s="198" t="n">
        <v>0</v>
      </c>
    </row>
    <row r="93" ht="15" customHeight="1" thickBot="1">
      <c r="A93" s="49" t="n"/>
      <c r="B93" t="inlineStr">
        <is>
          <t>תחבורה ציבורית</t>
        </is>
      </c>
      <c r="C93" s="191" t="n">
        <v>0</v>
      </c>
      <c r="D93" s="192" t="n">
        <v>0</v>
      </c>
      <c r="E93" s="193">
        <f>C93-D93</f>
        <v/>
      </c>
      <c r="F93" s="198" t="n">
        <v>0</v>
      </c>
    </row>
    <row r="94" ht="15" customHeight="1" thickBot="1">
      <c r="A94" s="49" t="n"/>
      <c r="B94" t="inlineStr">
        <is>
          <t>רישוי רכב</t>
        </is>
      </c>
      <c r="C94" s="191" t="n">
        <v>0</v>
      </c>
      <c r="D94" s="192" t="n">
        <v>0</v>
      </c>
      <c r="E94" s="193">
        <f>C94-D94</f>
        <v/>
      </c>
      <c r="F94" s="198" t="n">
        <v>0</v>
      </c>
    </row>
    <row r="95" ht="15" customHeight="1" thickBot="1">
      <c r="A95" s="49" t="n"/>
      <c r="B95" t="inlineStr">
        <is>
          <t>תחבורה שיתופית</t>
        </is>
      </c>
      <c r="C95" s="191" t="n">
        <v>0</v>
      </c>
      <c r="D95" s="192" t="n">
        <v>0</v>
      </c>
      <c r="E95" s="193">
        <f>C95-D95</f>
        <v/>
      </c>
      <c r="F95" s="198" t="n">
        <v>0</v>
      </c>
    </row>
    <row r="96" ht="15" customHeight="1" thickBot="1">
      <c r="A96" s="49" t="n"/>
      <c r="B96" t="inlineStr">
        <is>
          <t>ליסינג</t>
        </is>
      </c>
      <c r="C96" s="191" t="n">
        <v>0</v>
      </c>
      <c r="D96" s="192" t="n">
        <v>0</v>
      </c>
      <c r="E96" s="193">
        <f>C96-D96</f>
        <v/>
      </c>
      <c r="F96" s="198" t="n">
        <v>0</v>
      </c>
    </row>
    <row r="97">
      <c r="A97" s="199" t="n"/>
      <c r="B97" s="18" t="inlineStr">
        <is>
          <t>תחבורה - כללי</t>
        </is>
      </c>
      <c r="C97" s="200" t="n">
        <v>0</v>
      </c>
      <c r="D97" s="201" t="n">
        <v>0</v>
      </c>
      <c r="E97" s="202">
        <f>C97-D97</f>
        <v/>
      </c>
      <c r="F97" s="203" t="n">
        <v>0</v>
      </c>
    </row>
    <row r="98" ht="15" customHeight="1">
      <c r="A98" s="136" t="inlineStr">
        <is>
          <t>סה"כ תקציב - תחבורה</t>
        </is>
      </c>
      <c r="C98" s="204">
        <f>SUM(C88:C97)</f>
        <v/>
      </c>
      <c r="D98" s="205">
        <f>SUM(D88:D97)</f>
        <v/>
      </c>
      <c r="E98" s="206">
        <f>SUM(E88:E97)</f>
        <v/>
      </c>
      <c r="F98" s="207">
        <f>SUM(F88:F97)</f>
        <v/>
      </c>
    </row>
    <row r="99" ht="14.25" customHeight="1">
      <c r="A99" s="49" t="n"/>
      <c r="F99" s="50" t="n"/>
    </row>
    <row r="100" ht="15.75" customHeight="1" thickBot="1">
      <c r="A100" s="97" t="inlineStr">
        <is>
          <t>קטגוריה</t>
        </is>
      </c>
      <c r="B100" s="9" t="inlineStr">
        <is>
          <t>סעיפים</t>
        </is>
      </c>
      <c r="C100" s="10" t="inlineStr">
        <is>
          <t>שיקוף</t>
        </is>
      </c>
      <c r="D100" s="11" t="inlineStr">
        <is>
          <t>הון</t>
        </is>
      </c>
      <c r="E100" s="12" t="inlineStr">
        <is>
          <t>יתרה</t>
        </is>
      </c>
      <c r="F100" s="98" t="inlineStr">
        <is>
          <t>בפועל</t>
        </is>
      </c>
    </row>
    <row r="101" ht="15" customHeight="1" thickBot="1">
      <c r="A101" s="170" t="inlineStr">
        <is>
          <t>משפחה</t>
        </is>
      </c>
      <c r="B101" s="14" t="inlineStr">
        <is>
          <t>ארועי שמחות במשפחה</t>
        </is>
      </c>
      <c r="C101" s="195" t="n">
        <v>0</v>
      </c>
      <c r="D101" s="196" t="n">
        <v>0</v>
      </c>
      <c r="E101" s="197">
        <f>C101-D101</f>
        <v/>
      </c>
      <c r="F101" s="194" t="n">
        <v>0</v>
      </c>
    </row>
    <row r="102" ht="15" customHeight="1" thickBot="1">
      <c r="A102" s="49" t="n"/>
      <c r="B102" t="inlineStr">
        <is>
          <t>דמי כיס</t>
        </is>
      </c>
      <c r="C102" s="191" t="n">
        <v>0</v>
      </c>
      <c r="D102" s="192" t="n">
        <v>0</v>
      </c>
      <c r="E102" s="193">
        <f>C102-D102</f>
        <v/>
      </c>
      <c r="F102" s="198" t="n">
        <v>0</v>
      </c>
    </row>
    <row r="103" ht="15" customHeight="1" thickBot="1">
      <c r="A103" s="49" t="n"/>
      <c r="B103" t="inlineStr">
        <is>
          <t>עזרה למשפחה</t>
        </is>
      </c>
      <c r="C103" s="191" t="n">
        <v>0</v>
      </c>
      <c r="D103" s="192" t="n">
        <v>0</v>
      </c>
      <c r="E103" s="193">
        <f>C103-D103</f>
        <v/>
      </c>
      <c r="F103" s="198" t="n">
        <v>0</v>
      </c>
    </row>
    <row r="104" ht="15" customHeight="1" thickBot="1">
      <c r="A104" s="49" t="n"/>
      <c r="B104" t="inlineStr">
        <is>
          <t>תשלום מזונות</t>
        </is>
      </c>
      <c r="C104" s="191" t="n">
        <v>0</v>
      </c>
      <c r="D104" s="192" t="n">
        <v>0</v>
      </c>
      <c r="E104" s="193">
        <f>C104-D104</f>
        <v/>
      </c>
      <c r="F104" s="198" t="n">
        <v>0</v>
      </c>
    </row>
    <row r="105">
      <c r="A105" s="199" t="n"/>
      <c r="B105" s="18" t="inlineStr">
        <is>
          <t>משפחה - כללי</t>
        </is>
      </c>
      <c r="C105" s="200" t="n">
        <v>0</v>
      </c>
      <c r="D105" s="201" t="n">
        <v>0</v>
      </c>
      <c r="E105" s="202">
        <f>C105-D105</f>
        <v/>
      </c>
      <c r="F105" s="203" t="n">
        <v>0</v>
      </c>
    </row>
    <row r="106" ht="15" customHeight="1">
      <c r="A106" s="136" t="inlineStr">
        <is>
          <t>סה"כ תקציב - משפחה</t>
        </is>
      </c>
      <c r="C106" s="204">
        <f>SUM(C101:C105)</f>
        <v/>
      </c>
      <c r="D106" s="205">
        <f>SUM(D101:D105)</f>
        <v/>
      </c>
      <c r="E106" s="206">
        <f>SUM(E101:E105)</f>
        <v/>
      </c>
      <c r="F106" s="207">
        <f>SUM(F101:F105)</f>
        <v/>
      </c>
    </row>
    <row r="107" ht="14.25" customHeight="1">
      <c r="A107" s="49" t="n"/>
      <c r="F107" s="50" t="n"/>
    </row>
    <row r="108" ht="15.75" customHeight="1" thickBot="1">
      <c r="A108" s="97" t="inlineStr">
        <is>
          <t>קטגוריה</t>
        </is>
      </c>
      <c r="B108" s="9" t="inlineStr">
        <is>
          <t>סעיפים</t>
        </is>
      </c>
      <c r="C108" s="10" t="inlineStr">
        <is>
          <t>שיקוף</t>
        </is>
      </c>
      <c r="D108" s="11" t="inlineStr">
        <is>
          <t>הון</t>
        </is>
      </c>
      <c r="E108" s="12" t="inlineStr">
        <is>
          <t>יתרה</t>
        </is>
      </c>
      <c r="F108" s="98" t="inlineStr">
        <is>
          <t>בפועל</t>
        </is>
      </c>
    </row>
    <row r="109" ht="15" customHeight="1" thickBot="1">
      <c r="A109" s="170" t="inlineStr">
        <is>
          <t>תקשורת</t>
        </is>
      </c>
      <c r="B109" s="14" t="inlineStr">
        <is>
          <t>טלפון נייד ונייח</t>
        </is>
      </c>
      <c r="C109" s="195" t="n">
        <v>0</v>
      </c>
      <c r="D109" s="196" t="n">
        <v>0</v>
      </c>
      <c r="E109" s="197">
        <f>C109-D109</f>
        <v/>
      </c>
      <c r="F109" s="194" t="n">
        <v>0</v>
      </c>
    </row>
    <row r="110" ht="15" customHeight="1" thickBot="1">
      <c r="A110" s="49" t="n"/>
      <c r="B110" t="inlineStr">
        <is>
          <t>טלויזיה ואינטרנט (ספק ותשתית)</t>
        </is>
      </c>
      <c r="C110" s="191" t="n">
        <v>0</v>
      </c>
      <c r="D110" s="192" t="n">
        <v>0</v>
      </c>
      <c r="E110" s="193">
        <f>C110-D110</f>
        <v/>
      </c>
      <c r="F110" s="198" t="n">
        <v>0</v>
      </c>
    </row>
    <row r="111" ht="15" customHeight="1" thickBot="1">
      <c r="A111" s="49" t="n"/>
      <c r="B111" t="inlineStr">
        <is>
          <t>שירותי תוכן</t>
        </is>
      </c>
      <c r="C111" s="191" t="n">
        <v>0</v>
      </c>
      <c r="D111" s="192" t="n">
        <v>0</v>
      </c>
      <c r="E111" s="193">
        <f>C111-D111</f>
        <v/>
      </c>
      <c r="F111" s="198" t="n">
        <v>0</v>
      </c>
    </row>
    <row r="112">
      <c r="A112" s="199" t="n"/>
      <c r="B112" s="18" t="inlineStr">
        <is>
          <t>תקשורת - כללי</t>
        </is>
      </c>
      <c r="C112" s="200" t="n">
        <v>0</v>
      </c>
      <c r="D112" s="201" t="n">
        <v>0</v>
      </c>
      <c r="E112" s="202">
        <f>C112-D112</f>
        <v/>
      </c>
      <c r="F112" s="203" t="n">
        <v>0</v>
      </c>
    </row>
    <row r="113" ht="15" customHeight="1">
      <c r="A113" s="136" t="inlineStr">
        <is>
          <t>סה"כ תקציב - תקשורת</t>
        </is>
      </c>
      <c r="C113" s="204">
        <f>SUM(C109:C112)</f>
        <v/>
      </c>
      <c r="D113" s="205">
        <f>SUM(D109:D112)</f>
        <v/>
      </c>
      <c r="E113" s="206">
        <f>SUM(E109:E112)</f>
        <v/>
      </c>
      <c r="F113" s="207">
        <f>SUM(F109:F112)</f>
        <v/>
      </c>
    </row>
    <row r="114" ht="14.25" customHeight="1">
      <c r="A114" s="49" t="n"/>
      <c r="F114" s="50" t="n"/>
    </row>
    <row r="115" ht="15.75" customHeight="1" thickBot="1">
      <c r="A115" s="97" t="inlineStr">
        <is>
          <t>קטגוריה</t>
        </is>
      </c>
      <c r="B115" s="9" t="inlineStr">
        <is>
          <t>סעיפים</t>
        </is>
      </c>
      <c r="C115" s="10" t="inlineStr">
        <is>
          <t>שיקוף</t>
        </is>
      </c>
      <c r="D115" s="11" t="inlineStr">
        <is>
          <t>הון</t>
        </is>
      </c>
      <c r="E115" s="12" t="inlineStr">
        <is>
          <t>יתרה</t>
        </is>
      </c>
      <c r="F115" s="98" t="inlineStr">
        <is>
          <t>בפועל</t>
        </is>
      </c>
    </row>
    <row r="116" ht="15" customHeight="1" thickBot="1">
      <c r="A116" s="170" t="inlineStr">
        <is>
          <t>דיור</t>
        </is>
      </c>
      <c r="B116" s="14" t="inlineStr">
        <is>
          <t>משכנתה</t>
        </is>
      </c>
      <c r="C116" s="195" t="n">
        <v>0</v>
      </c>
      <c r="D116" s="196" t="n">
        <v>0</v>
      </c>
      <c r="E116" s="197">
        <f>C116-D116</f>
        <v/>
      </c>
      <c r="F116" s="194" t="n">
        <v>0</v>
      </c>
    </row>
    <row r="117" ht="15" customHeight="1" thickBot="1">
      <c r="A117" s="49" t="n"/>
      <c r="B117" t="inlineStr">
        <is>
          <t>שכר דירה</t>
        </is>
      </c>
      <c r="C117" s="191" t="n">
        <v>0</v>
      </c>
      <c r="D117" s="192" t="n">
        <v>0</v>
      </c>
      <c r="E117" s="193">
        <f>C117-D117</f>
        <v/>
      </c>
      <c r="F117" s="198" t="n">
        <v>0</v>
      </c>
    </row>
    <row r="118" ht="15" customHeight="1" thickBot="1">
      <c r="A118" s="49" t="n"/>
      <c r="B118" t="inlineStr">
        <is>
          <t>מיסי ישוב / ועד בית</t>
        </is>
      </c>
      <c r="C118" s="191" t="n">
        <v>0</v>
      </c>
      <c r="D118" s="192" t="n">
        <v>0</v>
      </c>
      <c r="E118" s="193">
        <f>C118-D118</f>
        <v/>
      </c>
      <c r="F118" s="198" t="n">
        <v>0</v>
      </c>
    </row>
    <row r="119" ht="15" customHeight="1" thickBot="1">
      <c r="A119" s="49" t="n"/>
      <c r="B119" t="inlineStr">
        <is>
          <t>ארנונה</t>
        </is>
      </c>
      <c r="C119" s="191" t="n">
        <v>0</v>
      </c>
      <c r="D119" s="192" t="n">
        <v>0</v>
      </c>
      <c r="E119" s="193">
        <f>C119-D119</f>
        <v/>
      </c>
      <c r="F119" s="198" t="n">
        <v>0</v>
      </c>
    </row>
    <row r="120" ht="15" customHeight="1" thickBot="1">
      <c r="A120" s="49" t="n"/>
      <c r="B120" t="inlineStr">
        <is>
          <t>ביטוח נכס ותכולה</t>
        </is>
      </c>
      <c r="C120" s="191" t="n">
        <v>0</v>
      </c>
      <c r="D120" s="192" t="n">
        <v>0</v>
      </c>
      <c r="E120" s="193">
        <f>C120-D120</f>
        <v/>
      </c>
      <c r="F120" s="198" t="n">
        <v>0</v>
      </c>
    </row>
    <row r="121">
      <c r="A121" s="199" t="n"/>
      <c r="B121" s="18" t="inlineStr">
        <is>
          <t>דיור - כללי</t>
        </is>
      </c>
      <c r="C121" s="200" t="n">
        <v>0</v>
      </c>
      <c r="D121" s="201" t="n">
        <v>0</v>
      </c>
      <c r="E121" s="202">
        <f>C121-D121</f>
        <v/>
      </c>
      <c r="F121" s="203" t="n">
        <v>0</v>
      </c>
    </row>
    <row r="122" ht="15" customHeight="1">
      <c r="A122" s="136" t="inlineStr">
        <is>
          <t>סה"כ תקציב - דיור</t>
        </is>
      </c>
      <c r="C122" s="204">
        <f>SUM(C116:C121)</f>
        <v/>
      </c>
      <c r="D122" s="205">
        <f>SUM(D116:D121)</f>
        <v/>
      </c>
      <c r="E122" s="206">
        <f>SUM(E116:E121)</f>
        <v/>
      </c>
      <c r="F122" s="207">
        <f>SUM(F116:F121)</f>
        <v/>
      </c>
    </row>
    <row r="123" ht="14.25" customHeight="1">
      <c r="A123" s="49" t="n"/>
      <c r="F123" s="50" t="n"/>
    </row>
    <row r="124" ht="15.75" customHeight="1" thickBot="1">
      <c r="A124" s="97" t="inlineStr">
        <is>
          <t>קטגוריה</t>
        </is>
      </c>
      <c r="B124" s="9" t="inlineStr">
        <is>
          <t>סעיפים</t>
        </is>
      </c>
      <c r="C124" s="10" t="inlineStr">
        <is>
          <t>שיקוף</t>
        </is>
      </c>
      <c r="D124" s="11" t="inlineStr">
        <is>
          <t>הון</t>
        </is>
      </c>
      <c r="E124" s="12" t="inlineStr">
        <is>
          <t>יתרה</t>
        </is>
      </c>
      <c r="F124" s="98" t="inlineStr">
        <is>
          <t>בפועל</t>
        </is>
      </c>
    </row>
    <row r="125" ht="15" customHeight="1" thickBot="1">
      <c r="A125" s="170" t="inlineStr">
        <is>
          <t>התחייבויות</t>
        </is>
      </c>
      <c r="B125" s="14" t="inlineStr">
        <is>
          <t>החזר חובות חודשי (למעט משכנתה) - כללי</t>
        </is>
      </c>
      <c r="C125" s="195" t="n">
        <v>0</v>
      </c>
      <c r="D125" s="196" t="n">
        <v>0</v>
      </c>
      <c r="E125" s="197">
        <f>C125-D125</f>
        <v/>
      </c>
      <c r="F125" s="194" t="n">
        <v>0</v>
      </c>
    </row>
    <row r="126">
      <c r="A126" s="199" t="n"/>
      <c r="B126" s="18" t="inlineStr">
        <is>
          <t>ריביות משיכת יתר</t>
        </is>
      </c>
      <c r="C126" s="200" t="n">
        <v>0</v>
      </c>
      <c r="D126" s="201" t="n">
        <v>0</v>
      </c>
      <c r="E126" s="202">
        <f>C126-D126</f>
        <v/>
      </c>
      <c r="F126" s="203" t="n">
        <v>0</v>
      </c>
    </row>
    <row r="127" ht="15" customHeight="1">
      <c r="A127" s="136" t="inlineStr">
        <is>
          <t>סה"כ תקציב - התחייבויות</t>
        </is>
      </c>
      <c r="C127" s="204">
        <f>SUM(C125:C126)</f>
        <v/>
      </c>
      <c r="D127" s="205">
        <f>SUM(D125:D126)</f>
        <v/>
      </c>
      <c r="E127" s="206">
        <f>SUM(E125:E126)</f>
        <v/>
      </c>
      <c r="F127" s="207">
        <f>SUM(F125:F126)</f>
        <v/>
      </c>
    </row>
    <row r="128" ht="14.25" customHeight="1">
      <c r="A128" s="49" t="n"/>
      <c r="F128" s="50" t="n"/>
    </row>
    <row r="129" ht="15.75" customHeight="1" thickBot="1">
      <c r="A129" s="97" t="inlineStr">
        <is>
          <t>קטגוריה</t>
        </is>
      </c>
      <c r="B129" s="9" t="inlineStr">
        <is>
          <t>סעיפים</t>
        </is>
      </c>
      <c r="C129" s="10" t="inlineStr">
        <is>
          <t>שיקוף</t>
        </is>
      </c>
      <c r="D129" s="11" t="inlineStr">
        <is>
          <t>הון</t>
        </is>
      </c>
      <c r="E129" s="12" t="inlineStr">
        <is>
          <t>יתרה</t>
        </is>
      </c>
      <c r="F129" s="98" t="inlineStr">
        <is>
          <t>בפועל</t>
        </is>
      </c>
    </row>
    <row r="130">
      <c r="A130" s="119" t="inlineStr">
        <is>
          <t>נכסים</t>
        </is>
      </c>
      <c r="B130" s="25" t="inlineStr">
        <is>
          <t>הפקדות לחסכונות - כללי</t>
        </is>
      </c>
      <c r="C130" s="217" t="n">
        <v>0</v>
      </c>
      <c r="D130" s="218" t="n">
        <v>0</v>
      </c>
      <c r="E130" s="219">
        <f>C130-D130</f>
        <v/>
      </c>
      <c r="F130" s="220" t="n">
        <v>0</v>
      </c>
    </row>
    <row r="131" ht="15" customHeight="1">
      <c r="A131" s="136" t="inlineStr">
        <is>
          <t>סה"כ תקציב - נכסים</t>
        </is>
      </c>
      <c r="C131" s="204">
        <f>SUM(C130:C130)</f>
        <v/>
      </c>
      <c r="D131" s="205">
        <f>SUM(D130:D130)</f>
        <v/>
      </c>
      <c r="E131" s="206">
        <f>SUM(E130:E130)</f>
        <v/>
      </c>
      <c r="F131" s="207">
        <f>SUM(F130)</f>
        <v/>
      </c>
    </row>
    <row r="132" ht="14.25" customHeight="1">
      <c r="A132" s="49" t="n"/>
      <c r="F132" s="50" t="n"/>
    </row>
    <row r="133" ht="15.75" customHeight="1" thickBot="1">
      <c r="A133" s="97" t="inlineStr">
        <is>
          <t>קטגוריה</t>
        </is>
      </c>
      <c r="B133" s="9" t="inlineStr">
        <is>
          <t>סעיפים</t>
        </is>
      </c>
      <c r="C133" s="10" t="inlineStr">
        <is>
          <t>שיקוף</t>
        </is>
      </c>
      <c r="D133" s="11" t="inlineStr">
        <is>
          <t>הון</t>
        </is>
      </c>
      <c r="E133" s="12" t="inlineStr">
        <is>
          <t>יתרה</t>
        </is>
      </c>
      <c r="F133" s="98" t="inlineStr">
        <is>
          <t>בפועל</t>
        </is>
      </c>
    </row>
    <row r="134" ht="15" customHeight="1" thickBot="1">
      <c r="A134" s="170" t="inlineStr">
        <is>
          <t>פיננסים</t>
        </is>
      </c>
      <c r="B134" s="14" t="inlineStr">
        <is>
          <t>עמלות</t>
        </is>
      </c>
      <c r="C134" s="195" t="n">
        <v>0</v>
      </c>
      <c r="D134" s="196" t="n">
        <v>0</v>
      </c>
      <c r="E134" s="197">
        <f>C134-D134</f>
        <v/>
      </c>
      <c r="F134" s="194" t="n">
        <v>0</v>
      </c>
    </row>
    <row r="135" ht="15" customHeight="1" thickBot="1">
      <c r="A135" s="49" t="n"/>
      <c r="B135" t="inlineStr">
        <is>
          <t>ביטוח חיים</t>
        </is>
      </c>
      <c r="C135" s="191" t="n">
        <v>0</v>
      </c>
      <c r="D135" s="192" t="n">
        <v>0</v>
      </c>
      <c r="E135" s="193">
        <f>C135-D135</f>
        <v/>
      </c>
      <c r="F135" s="198" t="n">
        <v>0</v>
      </c>
    </row>
    <row r="136" ht="15" customHeight="1" thickBot="1">
      <c r="A136" s="49" t="n"/>
      <c r="B136" t="inlineStr">
        <is>
          <t>ביטוח לאומי (למי שלא עובד)</t>
        </is>
      </c>
      <c r="C136" s="191" t="n">
        <v>0</v>
      </c>
      <c r="D136" s="192" t="n">
        <v>0</v>
      </c>
      <c r="E136" s="193">
        <f>C136-D136</f>
        <v/>
      </c>
      <c r="F136" s="198" t="n">
        <v>0</v>
      </c>
    </row>
    <row r="137">
      <c r="A137" s="199" t="n"/>
      <c r="B137" s="18" t="inlineStr">
        <is>
          <t>פיננסים - כללי</t>
        </is>
      </c>
      <c r="C137" s="200" t="n">
        <v>0</v>
      </c>
      <c r="D137" s="201" t="n">
        <v>0</v>
      </c>
      <c r="E137" s="202">
        <f>C137-D137</f>
        <v/>
      </c>
      <c r="F137" s="203" t="n">
        <v>0</v>
      </c>
    </row>
    <row r="138" ht="15" customHeight="1" thickBot="1">
      <c r="A138" s="139" t="inlineStr">
        <is>
          <t>סה"כ תקציב - פיננסים</t>
        </is>
      </c>
      <c r="B138" s="188" t="n"/>
      <c r="C138" s="212">
        <f>SUM(C134:C137)</f>
        <v/>
      </c>
      <c r="D138" s="213">
        <f>SUM(D134:D137)</f>
        <v/>
      </c>
      <c r="E138" s="214">
        <f>SUM(E134:E137)</f>
        <v/>
      </c>
      <c r="F138" s="215">
        <f>SUM(F134:F137)</f>
        <v/>
      </c>
    </row>
  </sheetData>
  <mergeCells count="49">
    <mergeCell ref="A101:A105"/>
    <mergeCell ref="H20:I20"/>
    <mergeCell ref="A98:B98"/>
    <mergeCell ref="L3:L4"/>
    <mergeCell ref="H23:H26"/>
    <mergeCell ref="H7:H11"/>
    <mergeCell ref="F3:F4"/>
    <mergeCell ref="A72:A74"/>
    <mergeCell ref="A138:B138"/>
    <mergeCell ref="A59:A68"/>
    <mergeCell ref="A69:B69"/>
    <mergeCell ref="H15:H19"/>
    <mergeCell ref="H3:I4"/>
    <mergeCell ref="A53:A55"/>
    <mergeCell ref="A25:B25"/>
    <mergeCell ref="A35:A39"/>
    <mergeCell ref="A7:A12"/>
    <mergeCell ref="M3:M4"/>
    <mergeCell ref="A75:B75"/>
    <mergeCell ref="D3:D4"/>
    <mergeCell ref="A56:B56"/>
    <mergeCell ref="A50:B50"/>
    <mergeCell ref="A88:A97"/>
    <mergeCell ref="A43:A49"/>
    <mergeCell ref="A1:M1"/>
    <mergeCell ref="A113:B113"/>
    <mergeCell ref="A85:B85"/>
    <mergeCell ref="A32:B32"/>
    <mergeCell ref="J3:J4"/>
    <mergeCell ref="A125:A126"/>
    <mergeCell ref="A134:A137"/>
    <mergeCell ref="A106:B106"/>
    <mergeCell ref="A116:A121"/>
    <mergeCell ref="A122:B122"/>
    <mergeCell ref="H27:I27"/>
    <mergeCell ref="A131:B131"/>
    <mergeCell ref="H12:I12"/>
    <mergeCell ref="A109:A112"/>
    <mergeCell ref="K3:K4"/>
    <mergeCell ref="C3:C4"/>
    <mergeCell ref="A78:A84"/>
    <mergeCell ref="E3:E4"/>
    <mergeCell ref="A28:A31"/>
    <mergeCell ref="A13:B13"/>
    <mergeCell ref="A127:B127"/>
    <mergeCell ref="A16:A24"/>
    <mergeCell ref="A2:M2"/>
    <mergeCell ref="A3:B4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2026-07-10T17:42:49Z</dcterms:created>
  <dcterms:modified xmlns:dcterms="http://purl.org/dc/terms/" xmlns:xsi="http://www.w3.org/2001/XMLSchema-instance" xsi:type="dcterms:W3CDTF">2026-07-13T22:00:32Z</dcterms:modified>
</cp:coreProperties>
</file>