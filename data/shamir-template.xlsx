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חוברת_עבודה_זו"/>
  <mc:AlternateContent>
    <mc:Choice Requires="x15">
      <x15ac:absPath xmlns:x15ac="http://schemas.microsoft.com/office/spreadsheetml/2010/11/ac" url="D:\Program\Workspace\appamon\appamon\src\main\resources\"/>
    </mc:Choice>
  </mc:AlternateContent>
  <xr:revisionPtr revIDLastSave="0" documentId="13_ncr:1_{529A86BC-2F5E-4FA7-853C-D0CDD71EBFE2}" xr6:coauthVersionLast="47" xr6:coauthVersionMax="47" xr10:uidLastSave="{00000000-0000-0000-0000-000000000000}"/>
  <workbookProtection lockStructure="1"/>
  <bookViews>
    <workbookView xWindow="-120" yWindow="-120" windowWidth="29040" windowHeight="15720" tabRatio="682" activeTab="2" xr2:uid="{00000000-000D-0000-FFFF-FFFF00000000}"/>
  </bookViews>
  <sheets>
    <sheet name="הדרכה" sheetId="1" r:id="rId1"/>
    <sheet name="שלב א - טעינת דפי מקור" sheetId="8" state="hidden" r:id="rId2"/>
    <sheet name="שלב ב - סיווג תנועות" sheetId="2" r:id="rId3"/>
    <sheet name="שלב ג - תוצאות השיקוף" sheetId="27" r:id="rId4"/>
    <sheet name="חובות" sheetId="5" state="hidden" r:id="rId5"/>
    <sheet name="חסכונות" sheetId="6" state="hidden" r:id="rId6"/>
    <sheet name="ביטוחים" sheetId="7" state="hidden" r:id="rId7"/>
    <sheet name="רשימת הסעיפים" sheetId="26" r:id="rId8"/>
    <sheet name="שמור1 - היסטוריית גירסאות" sheetId="10" state="hidden" r:id="rId9"/>
    <sheet name="שמור 2 - רשימת בנקים ואשראי" sheetId="11" state="hidden" r:id="rId10"/>
    <sheet name="שמור4" sheetId="13" state="hidden" r:id="rId11"/>
    <sheet name="שמור5" sheetId="14" state="hidden" r:id="rId12"/>
    <sheet name="שמור6" sheetId="15" state="hidden" r:id="rId13"/>
    <sheet name="שמור7" sheetId="16" state="hidden" r:id="rId14"/>
    <sheet name="שמור8" sheetId="17" state="hidden" r:id="rId15"/>
    <sheet name="שמור9" sheetId="18" state="hidden" r:id="rId16"/>
    <sheet name="שמור10" sheetId="24" state="hidden" r:id="rId17"/>
    <sheet name="ליבוא מהתוכנה" sheetId="25" state="hidden" r:id="rId18"/>
    <sheet name="שמיר" r:id="rId23" sheetId="28"/>
    <sheet name="אשראי-1" r:id="rId24" sheetId="29"/>
    <sheet name="אשראי-2" r:id="rId25" sheetId="30"/>
    <sheet name="אשראי-3" r:id="rId26" sheetId="31"/>
    <sheet name="אשראי-4" r:id="rId27" sheetId="32"/>
    <sheet name="אשראי-5" r:id="rId28" sheetId="33"/>
    <sheet name="אשראי-6" r:id="rId29" sheetId="34"/>
    <sheet name="אשראי-7" r:id="rId30" sheetId="35"/>
    <sheet name="אשראי-8" r:id="rId31" sheetId="36"/>
    <sheet name="אשראי-9" r:id="rId32" sheetId="37"/>
    <sheet name="בנק-10" r:id="rId33" sheetId="38"/>
    <sheet name="בנק-11" r:id="rId34" sheetId="39"/>
    <sheet name="אשראי-12" r:id="rId35" sheetId="40"/>
    <sheet name="אשראי-13" r:id="rId36" sheetId="41"/>
    <sheet name="בנק-14" r:id="rId37" sheetId="42"/>
    <sheet name="בנק-15" r:id="rId38" sheetId="43"/>
  </sheets>
  <definedNames>
    <definedName name="_xlnm._FilterDatabase" localSheetId="17" hidden="1">'ליבוא מהתוכנה'!$CR$3:$CU$103</definedName>
    <definedName name="_xlnm._FilterDatabase" localSheetId="2" hidden="true">'שלב ב - סיווג תנועות'!$A$8:$L$8</definedName>
    <definedName name="_xlnm._FilterDatabase" localSheetId="3" hidden="1">'שלב ג - תוצאות השיקוף'!$A$4:$B$339</definedName>
    <definedName name="BlanksRangeExp">'רשימת הסעיפים'!$AA$4:$AA$323</definedName>
    <definedName name="BlanksRangeInc">'רשימת הסעיפים'!$AB$4:$AB$63</definedName>
    <definedName name="ExpCare">טבלה11[טיפוח]</definedName>
    <definedName name="ExpCloth">טבלה8[ביגוד והנעלה]</definedName>
    <definedName name="ExpCom">טבלה17[תקשורת]</definedName>
    <definedName name="ExpCommit">טבלה19[התחייבויות]</definedName>
    <definedName name="ExpEdu">טבלה12[חינוך]</definedName>
    <definedName name="ExpEvents">טבלה13[אירועים, תרומות, צרכי דת]</definedName>
    <definedName name="ExpFamily">טבלה16[משפחה]</definedName>
    <definedName name="ExpFin">טבלה21[פיננסים]</definedName>
    <definedName name="ExpFood">טבלה4[מזון ופארמה]</definedName>
    <definedName name="ExpHealth">טבלה14[בריאות]</definedName>
    <definedName name="ExpHobby">טבלה7[פנאי, בילוי ותחביבים]</definedName>
    <definedName name="ExpHome">טבלה10[אחזקת בית]</definedName>
    <definedName name="ExpHomeCont">טבלה9[תכולת בית]</definedName>
    <definedName name="ExpHousing">טבלה18[דיור]</definedName>
    <definedName name="ExpMainList">'רשימת הסעיפים'!$AG$4:$AG$20</definedName>
    <definedName name="ExpProp">טבלה20[נכסים]</definedName>
    <definedName name="ExpTransp">טבלה15[תחבורה]</definedName>
    <definedName name="IncAllow">טבלה23[קצבאות]</definedName>
    <definedName name="IncMainList">'רשימת הסעיפים'!$AG$21:$AG$24</definedName>
    <definedName name="IncMisc">טבלה24[הכנסות שונות]</definedName>
    <definedName name="Incomes">OFFSET(#REF!,0,0,COUNTA(#REF!),1)</definedName>
    <definedName name="IncSal">טבלה22[שכר]</definedName>
    <definedName name="NoBlanksExp">'רשימת הסעיפים'!$AC$3:$AC$323</definedName>
    <definedName name="NoBlanksInc">'רשימת הסעיפים'!$AD$3:$AD$62</definedName>
    <definedName name="Outcomes">OFFSET(#REF!,0,0,COUNTA(#REF!),1)</definedName>
    <definedName name="PrivateIncomes">OFFSET(#REF!,0,0,COUNTA(#REF!),1)</definedName>
    <definedName name="PrivateOutcomes">OFFSET(#REF!,0,0,COUNTA(#REF!),1)</definedName>
    <definedName name="טבלת_ימי_החודש" localSheetId="16">#REF!</definedName>
    <definedName name="טבלת_נתוני_מקור" localSheetId="16">#REF!</definedName>
    <definedName name="טבלת_נתוני_מקור_להכנסות" localSheetId="16">#REF!</definedName>
    <definedName name="טבלת_קטגוריות" localSheetId="16">#REF!</definedName>
    <definedName name="טבלת_שמות_החודשים" localSheetId="16">#REF!</definedName>
    <definedName name="ללא_בחירה" localSheetId="16">#REF!</definedName>
    <definedName name="סעיפי_הכנסות" localSheetId="16">#REF!</definedName>
    <definedName name="סעיפי_חובות" localSheetId="16">#REF!</definedName>
    <definedName name="סעיפי_חודשיות_קבועות" localSheetId="16">#REF!</definedName>
    <definedName name="סעיפי_שוטפות" localSheetId="16">#REF!</definedName>
    <definedName name="סעיפי_תקופתיות" localSheetId="16">#REF!</definedName>
    <definedName name="ריקה" localSheetId="16">#REF!</definedName>
    <definedName name="תשלום_שלא_כובד" localSheetId="16">#REF!</definedName>
  </definedNames>
  <calcPr calcId="181029"/>
</workbook>
</file>

<file path=xl/calcChain.xml><?xml version="1.0" encoding="utf-8"?>
<calcChain xmlns="http://schemas.openxmlformats.org/spreadsheetml/2006/main">
  <c r="AG23" i="26" l="1"/>
  <c r="AG22" i="26"/>
  <c r="AG21" i="26"/>
  <c r="AG19" i="26"/>
  <c r="AG18" i="26"/>
  <c r="AG17" i="26"/>
  <c r="AG16" i="26"/>
  <c r="AG15" i="26"/>
  <c r="AG14" i="26"/>
  <c r="AG13" i="26"/>
  <c r="AG12" i="26"/>
  <c r="AG11" i="26"/>
  <c r="AG10" i="26"/>
  <c r="AG9" i="26"/>
  <c r="AG8" i="26"/>
  <c r="AG7" i="26"/>
  <c r="AG6" i="26"/>
  <c r="AG5" i="26"/>
  <c r="AG4" i="26"/>
  <c r="A339" i="27" l="1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B63" i="26" l="1"/>
  <c r="AB62" i="26"/>
  <c r="AB61" i="26"/>
  <c r="AB60" i="26"/>
  <c r="AB59" i="26"/>
  <c r="AB58" i="26"/>
  <c r="AB57" i="26"/>
  <c r="AB56" i="26"/>
  <c r="AB55" i="26"/>
  <c r="AB54" i="26"/>
  <c r="AB53" i="26"/>
  <c r="AB52" i="26"/>
  <c r="AB51" i="26"/>
  <c r="AB50" i="26"/>
  <c r="AB49" i="26"/>
  <c r="AB48" i="26"/>
  <c r="AB47" i="26"/>
  <c r="AB46" i="26"/>
  <c r="AB45" i="26"/>
  <c r="AB43" i="26"/>
  <c r="AB42" i="26"/>
  <c r="AB41" i="26"/>
  <c r="AB40" i="26"/>
  <c r="AB39" i="26"/>
  <c r="AB38" i="26"/>
  <c r="AB37" i="26"/>
  <c r="AB36" i="26"/>
  <c r="AB35" i="26"/>
  <c r="AB34" i="26"/>
  <c r="AB33" i="26"/>
  <c r="AB32" i="26"/>
  <c r="AB31" i="26"/>
  <c r="AB30" i="26"/>
  <c r="AB29" i="26"/>
  <c r="AB28" i="26"/>
  <c r="AB27" i="26"/>
  <c r="AB26" i="26"/>
  <c r="AB25" i="26"/>
  <c r="AB23" i="26"/>
  <c r="AB22" i="26"/>
  <c r="AB21" i="26"/>
  <c r="AB20" i="26"/>
  <c r="AB19" i="26"/>
  <c r="AB18" i="26"/>
  <c r="AB17" i="26"/>
  <c r="AB16" i="26"/>
  <c r="AB15" i="26"/>
  <c r="AB14" i="26"/>
  <c r="AB13" i="26"/>
  <c r="AB12" i="26"/>
  <c r="AB11" i="26"/>
  <c r="AB10" i="26"/>
  <c r="AB9" i="26"/>
  <c r="AB8" i="26"/>
  <c r="AB7" i="26"/>
  <c r="AB6" i="26"/>
  <c r="AB5" i="26"/>
  <c r="AA323" i="26"/>
  <c r="AA322" i="26"/>
  <c r="AA321" i="26"/>
  <c r="AA320" i="26"/>
  <c r="AA319" i="26"/>
  <c r="AA318" i="26"/>
  <c r="AA317" i="26"/>
  <c r="AA316" i="26"/>
  <c r="AA315" i="26"/>
  <c r="AA314" i="26"/>
  <c r="AA313" i="26"/>
  <c r="AA312" i="26"/>
  <c r="AA311" i="26"/>
  <c r="AA310" i="26"/>
  <c r="AA309" i="26"/>
  <c r="AA308" i="26"/>
  <c r="AA307" i="26"/>
  <c r="AA306" i="26"/>
  <c r="AA305" i="26"/>
  <c r="AA303" i="26"/>
  <c r="AA302" i="26"/>
  <c r="AA301" i="26"/>
  <c r="AA300" i="26"/>
  <c r="AA299" i="26"/>
  <c r="AA298" i="26"/>
  <c r="AA297" i="26"/>
  <c r="AA296" i="26"/>
  <c r="AA295" i="26"/>
  <c r="AA294" i="26"/>
  <c r="AA293" i="26"/>
  <c r="AA292" i="26"/>
  <c r="AA291" i="26"/>
  <c r="AA290" i="26"/>
  <c r="AA289" i="26"/>
  <c r="AA288" i="26"/>
  <c r="AA287" i="26"/>
  <c r="AA286" i="26"/>
  <c r="AA285" i="26"/>
  <c r="AA283" i="26"/>
  <c r="AA282" i="26"/>
  <c r="AA281" i="26"/>
  <c r="AA280" i="26"/>
  <c r="AA279" i="26"/>
  <c r="AA278" i="26"/>
  <c r="AA277" i="26"/>
  <c r="AA276" i="26"/>
  <c r="AA275" i="26"/>
  <c r="AA274" i="26"/>
  <c r="AA273" i="26"/>
  <c r="AA272" i="26"/>
  <c r="AA271" i="26"/>
  <c r="AA270" i="26"/>
  <c r="AA269" i="26"/>
  <c r="AA268" i="26"/>
  <c r="AA267" i="26"/>
  <c r="AA266" i="26"/>
  <c r="AA265" i="26"/>
  <c r="AA263" i="26"/>
  <c r="AA262" i="26"/>
  <c r="AA261" i="26"/>
  <c r="AA260" i="26"/>
  <c r="AA259" i="26"/>
  <c r="AA258" i="26"/>
  <c r="AA257" i="26"/>
  <c r="AA256" i="26"/>
  <c r="AA255" i="26"/>
  <c r="AA254" i="26"/>
  <c r="AA253" i="26"/>
  <c r="AA252" i="26"/>
  <c r="AA251" i="26"/>
  <c r="AA250" i="26"/>
  <c r="AA249" i="26"/>
  <c r="AA248" i="26"/>
  <c r="AA247" i="26"/>
  <c r="AA246" i="26"/>
  <c r="AA245" i="26"/>
  <c r="AA244" i="26"/>
  <c r="AA243" i="26"/>
  <c r="AA242" i="26"/>
  <c r="AA241" i="26"/>
  <c r="AA240" i="26"/>
  <c r="AA239" i="26"/>
  <c r="AA238" i="26"/>
  <c r="AA237" i="26"/>
  <c r="AA236" i="26"/>
  <c r="AA235" i="26"/>
  <c r="AA234" i="26"/>
  <c r="AA233" i="26"/>
  <c r="AA232" i="26"/>
  <c r="AA231" i="26"/>
  <c r="AA230" i="26"/>
  <c r="AA229" i="26"/>
  <c r="AA228" i="26"/>
  <c r="AA227" i="26"/>
  <c r="AA226" i="26"/>
  <c r="AA225" i="26"/>
  <c r="AA224" i="26"/>
  <c r="AA223" i="26"/>
  <c r="AA222" i="26"/>
  <c r="AA221" i="26"/>
  <c r="AA220" i="26"/>
  <c r="AA219" i="26"/>
  <c r="AA218" i="26"/>
  <c r="AA217" i="26"/>
  <c r="AA216" i="26"/>
  <c r="AA215" i="26"/>
  <c r="AA214" i="26"/>
  <c r="AA213" i="26"/>
  <c r="AA212" i="26"/>
  <c r="AA211" i="26"/>
  <c r="AA210" i="26"/>
  <c r="AA209" i="26"/>
  <c r="AA208" i="26"/>
  <c r="AA207" i="26"/>
  <c r="AA206" i="26"/>
  <c r="AA205" i="26"/>
  <c r="AA203" i="26"/>
  <c r="AA202" i="26"/>
  <c r="AA201" i="26"/>
  <c r="AA200" i="26"/>
  <c r="AA199" i="26"/>
  <c r="AA198" i="26"/>
  <c r="AA197" i="26"/>
  <c r="AA196" i="26"/>
  <c r="AA195" i="26"/>
  <c r="AA194" i="26"/>
  <c r="AA193" i="26"/>
  <c r="AA192" i="26"/>
  <c r="AA191" i="26"/>
  <c r="AA190" i="26"/>
  <c r="AA189" i="26"/>
  <c r="AA188" i="26"/>
  <c r="AA187" i="26"/>
  <c r="AA186" i="26"/>
  <c r="AA185" i="26"/>
  <c r="AA183" i="26"/>
  <c r="AA182" i="26"/>
  <c r="AA181" i="26"/>
  <c r="AA180" i="26"/>
  <c r="AA179" i="26"/>
  <c r="AA178" i="26"/>
  <c r="AA177" i="26"/>
  <c r="AA176" i="26"/>
  <c r="AA175" i="26"/>
  <c r="AA174" i="26"/>
  <c r="AA173" i="26"/>
  <c r="AA172" i="26"/>
  <c r="AA171" i="26"/>
  <c r="AA170" i="26"/>
  <c r="AA169" i="26"/>
  <c r="AA168" i="26"/>
  <c r="AA167" i="26"/>
  <c r="AA166" i="26"/>
  <c r="AA165" i="26"/>
  <c r="AA163" i="26"/>
  <c r="AA162" i="26"/>
  <c r="AA161" i="26"/>
  <c r="AA160" i="26"/>
  <c r="AA159" i="26"/>
  <c r="AA158" i="26"/>
  <c r="AA157" i="26"/>
  <c r="AA156" i="26"/>
  <c r="AA155" i="26"/>
  <c r="AA154" i="26"/>
  <c r="AA153" i="26"/>
  <c r="AA152" i="26"/>
  <c r="AA151" i="26"/>
  <c r="AA150" i="26"/>
  <c r="AA149" i="26"/>
  <c r="AA148" i="26"/>
  <c r="AA147" i="26"/>
  <c r="AA146" i="26"/>
  <c r="AA145" i="26"/>
  <c r="AA143" i="26"/>
  <c r="AA142" i="26"/>
  <c r="AA141" i="26"/>
  <c r="AA140" i="26"/>
  <c r="AA139" i="26"/>
  <c r="AA138" i="26"/>
  <c r="AA137" i="26"/>
  <c r="AA136" i="26"/>
  <c r="AA135" i="26"/>
  <c r="AA134" i="26"/>
  <c r="AA133" i="26"/>
  <c r="AA132" i="26"/>
  <c r="AA131" i="26"/>
  <c r="AA130" i="26"/>
  <c r="AA129" i="26"/>
  <c r="AA128" i="26"/>
  <c r="AA127" i="26"/>
  <c r="AA126" i="26"/>
  <c r="AA125" i="26"/>
  <c r="AA123" i="26"/>
  <c r="AA122" i="26"/>
  <c r="AA121" i="26"/>
  <c r="AA120" i="26"/>
  <c r="AA119" i="26"/>
  <c r="AA118" i="26"/>
  <c r="AA117" i="26"/>
  <c r="AA116" i="26"/>
  <c r="AA115" i="26"/>
  <c r="AA114" i="26"/>
  <c r="AA113" i="26"/>
  <c r="AA112" i="26"/>
  <c r="AA111" i="26"/>
  <c r="AA110" i="26"/>
  <c r="AA109" i="26"/>
  <c r="AA108" i="26"/>
  <c r="AA107" i="26"/>
  <c r="AA106" i="26"/>
  <c r="AA105" i="26"/>
  <c r="AA103" i="26"/>
  <c r="AA102" i="26"/>
  <c r="AA101" i="26"/>
  <c r="AA100" i="26"/>
  <c r="AA99" i="26"/>
  <c r="AA98" i="26"/>
  <c r="AA97" i="26"/>
  <c r="AA96" i="26"/>
  <c r="AA95" i="26"/>
  <c r="AA94" i="26"/>
  <c r="AA93" i="26"/>
  <c r="AA92" i="26"/>
  <c r="AA91" i="26"/>
  <c r="AA90" i="26"/>
  <c r="AA89" i="26"/>
  <c r="AA88" i="26"/>
  <c r="AA87" i="26"/>
  <c r="AA86" i="26"/>
  <c r="AA85" i="26"/>
  <c r="AA83" i="26"/>
  <c r="AA82" i="26"/>
  <c r="AA81" i="26"/>
  <c r="AA80" i="26"/>
  <c r="AA79" i="26"/>
  <c r="AA78" i="26"/>
  <c r="AA77" i="26"/>
  <c r="AA76" i="26"/>
  <c r="AA75" i="26"/>
  <c r="AA74" i="26"/>
  <c r="AA73" i="26"/>
  <c r="AA72" i="26"/>
  <c r="AA71" i="26"/>
  <c r="AA70" i="26"/>
  <c r="AA69" i="26"/>
  <c r="AA68" i="26"/>
  <c r="AA67" i="26"/>
  <c r="AA66" i="26"/>
  <c r="AA65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AA51" i="26"/>
  <c r="AA50" i="26"/>
  <c r="AA49" i="26"/>
  <c r="AA48" i="26"/>
  <c r="AA47" i="26"/>
  <c r="AA46" i="26"/>
  <c r="AA45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3" i="26"/>
  <c r="AA22" i="26"/>
  <c r="AA21" i="26"/>
  <c r="AA20" i="26"/>
  <c r="AA19" i="26"/>
  <c r="AA18" i="26"/>
  <c r="AA17" i="26"/>
  <c r="AA16" i="26"/>
  <c r="AA15" i="26"/>
  <c r="AA14" i="26"/>
  <c r="AA13" i="26"/>
  <c r="AA12" i="26"/>
  <c r="AA11" i="26"/>
  <c r="AA10" i="26"/>
  <c r="AA9" i="26"/>
  <c r="AA8" i="26"/>
  <c r="AA7" i="26"/>
  <c r="AA6" i="26"/>
  <c r="AA5" i="26"/>
  <c r="G10" i="2" l="1"/>
  <c r="H10" i="2"/>
  <c r="G11" i="2"/>
  <c r="F9" i="2"/>
  <c r="AB44" i="26"/>
  <c r="AB24" i="26"/>
  <c r="AB4" i="26"/>
  <c r="AA4" i="26"/>
  <c r="AA304" i="26"/>
  <c r="AA284" i="26"/>
  <c r="AA264" i="26"/>
  <c r="AA204" i="26"/>
  <c r="AA184" i="26"/>
  <c r="AA164" i="26"/>
  <c r="AA144" i="26"/>
  <c r="AA124" i="26"/>
  <c r="AA104" i="26"/>
  <c r="AA84" i="26"/>
  <c r="AA64" i="26"/>
  <c r="AA44" i="26"/>
  <c r="AA24" i="26"/>
  <c r="AC8" i="26" a="1"/>
  <c r="AC201" i="26" a="1"/>
  <c r="AC103" i="26" a="1"/>
  <c r="AC210" i="26" a="1"/>
  <c r="AC189" i="26" a="1"/>
  <c r="AC226" i="26" a="1"/>
  <c r="AC28" i="26" a="1"/>
  <c r="AC59" i="26" a="1"/>
  <c r="AC29" i="26" a="1"/>
  <c r="AC176" i="26" a="1"/>
  <c r="AC77" i="26" a="1"/>
  <c r="AC277" i="26" a="1"/>
  <c r="AC88" i="26" a="1"/>
  <c r="AC124" i="26" a="1"/>
  <c r="AC207" i="26" a="1"/>
  <c r="AC17" i="26" a="1"/>
  <c r="AC242" i="26" a="1"/>
  <c r="AC290" i="26" a="1"/>
  <c r="AC202" i="26" a="1"/>
  <c r="AC129" i="26" a="1"/>
  <c r="AC278" i="26" a="1"/>
  <c r="AC297" i="26" a="1"/>
  <c r="AC74" i="26" a="1"/>
  <c r="AC117" i="26" a="1"/>
  <c r="AC273" i="26" a="1"/>
  <c r="AC224" i="26" a="1"/>
  <c r="AC316" i="26" a="1"/>
  <c r="AC100" i="26" a="1"/>
  <c r="AC145" i="26" a="1"/>
  <c r="AC75" i="26" a="1"/>
  <c r="AC90" i="26" a="1"/>
  <c r="AC102" i="26" a="1"/>
  <c r="AC298" i="26" a="1"/>
  <c r="AC154" i="26" a="1"/>
  <c r="AC87" i="26" a="1"/>
  <c r="AC280" i="26" a="1"/>
  <c r="AC164" i="26" a="1"/>
  <c r="AC237" i="26" a="1"/>
  <c r="AC93" i="26" a="1"/>
  <c r="AC204" i="26" a="1"/>
  <c r="AC169" i="26" a="1"/>
  <c r="AC121" i="26" a="1"/>
  <c r="AC222" i="26" a="1"/>
  <c r="AC299" i="26" a="1"/>
  <c r="AC116" i="26" a="1"/>
  <c r="AD7" i="26" a="1"/>
  <c r="AC6" i="26" a="1"/>
  <c r="AC294" i="26" a="1"/>
  <c r="AC11" i="26" a="1"/>
  <c r="AC251" i="26" a="1"/>
  <c r="AC295" i="26" a="1"/>
  <c r="AC104" i="26" a="1"/>
  <c r="AC296" i="26" a="1"/>
  <c r="AC15" i="26" a="1"/>
  <c r="AC172" i="26" a="1"/>
  <c r="AC225" i="26" a="1"/>
  <c r="AC194" i="26" a="1"/>
  <c r="AC311" i="26" a="1"/>
  <c r="AC108" i="26" a="1"/>
  <c r="AD5" i="26" a="1"/>
  <c r="AC106" i="26" a="1"/>
  <c r="AC238" i="26" a="1"/>
  <c r="AD4" i="26" a="1"/>
  <c r="AC220" i="26" a="1"/>
  <c r="AC41" i="26" a="1"/>
  <c r="AC20" i="26" a="1"/>
  <c r="AC150" i="26" a="1"/>
  <c r="AC72" i="26" a="1"/>
  <c r="AC18" i="26" a="1"/>
  <c r="AC21" i="26" a="1"/>
  <c r="AC271" i="26" a="1"/>
  <c r="AC155" i="26" a="1"/>
  <c r="AC9" i="26" a="1"/>
  <c r="AC91" i="26" a="1"/>
  <c r="AC323" i="26" a="1"/>
  <c r="AC71" i="26" a="1"/>
  <c r="AC265" i="26" a="1"/>
  <c r="AC85" i="26" a="1"/>
  <c r="AC183" i="26" a="1"/>
  <c r="AC175" i="26" a="1"/>
  <c r="AC127" i="26" a="1"/>
  <c r="AC192" i="26" a="1"/>
  <c r="AC258" i="26" a="1"/>
  <c r="AC115" i="26" a="1"/>
  <c r="AC177" i="26" a="1"/>
  <c r="AC137" i="26" a="1"/>
  <c r="AC84" i="26" a="1"/>
  <c r="AC180" i="26" a="1"/>
  <c r="AC13" i="26" a="1"/>
  <c r="AC166" i="26" a="1"/>
  <c r="AC40" i="26" a="1"/>
  <c r="AC162" i="26" a="1"/>
  <c r="AC262" i="26" a="1"/>
  <c r="AC63" i="26" a="1"/>
  <c r="AC5" i="26" a="1"/>
  <c r="AC305" i="26" a="1"/>
  <c r="AC161" i="26" a="1"/>
  <c r="AC7" i="26" a="1"/>
  <c r="AC247" i="26" a="1"/>
  <c r="AC52" i="26" a="1"/>
  <c r="AC231" i="26" a="1"/>
  <c r="AC266" i="26" a="1"/>
  <c r="AC264" i="26" a="1"/>
  <c r="AC139" i="26" a="1"/>
  <c r="AC245" i="26" a="1"/>
  <c r="AC133" i="26" a="1"/>
  <c r="AC160" i="26" a="1"/>
  <c r="AC19" i="26" a="1"/>
  <c r="AC32" i="26" a="1"/>
  <c r="AC182" i="26" a="1"/>
  <c r="AC205" i="26" a="1"/>
  <c r="AC286" i="26" a="1"/>
  <c r="AC241" i="26" a="1"/>
  <c r="AC187" i="26" a="1"/>
  <c r="AC35" i="26" a="1"/>
  <c r="AC30" i="26" a="1"/>
  <c r="AC318" i="26" a="1"/>
  <c r="AC308" i="26" a="1"/>
  <c r="AC95" i="26" a="1"/>
  <c r="AC228" i="26" a="1"/>
  <c r="AC42" i="26" a="1"/>
  <c r="AC279" i="26" a="1"/>
  <c r="AC304" i="26" a="1"/>
  <c r="AC152" i="26" a="1"/>
  <c r="AC254" i="26" a="1"/>
  <c r="AC203" i="26" a="1"/>
  <c r="AC215" i="26" a="1"/>
  <c r="AC132" i="26" a="1"/>
  <c r="AC92" i="26" a="1"/>
  <c r="AC33" i="26" a="1"/>
  <c r="AC322" i="26" a="1"/>
  <c r="AC288" i="26" a="1"/>
  <c r="AC122" i="26" a="1"/>
  <c r="AC186" i="26" a="1"/>
  <c r="AC250" i="26" a="1"/>
  <c r="AC292" i="26" a="1"/>
  <c r="AC244" i="26" a="1"/>
  <c r="AC301" i="26" a="1"/>
  <c r="AC149" i="26" a="1"/>
  <c r="AC147" i="26" a="1"/>
  <c r="AC130" i="26" a="1"/>
  <c r="AC315" i="26" a="1"/>
  <c r="AC214" i="26" a="1"/>
  <c r="AC321" i="26" a="1"/>
  <c r="AC105" i="26" a="1"/>
  <c r="AC190" i="26" a="1"/>
  <c r="AC55" i="26" a="1"/>
  <c r="AC141" i="26" a="1"/>
  <c r="AC61" i="26" a="1"/>
  <c r="AC101" i="26" a="1"/>
  <c r="AC208" i="26" a="1"/>
  <c r="AC120" i="26" a="1"/>
  <c r="AC199" i="26" a="1"/>
  <c r="AC68" i="26" a="1"/>
  <c r="AC76" i="26" a="1"/>
  <c r="AC274" i="26" a="1"/>
  <c r="AC78" i="26" a="1"/>
  <c r="AC45" i="26" a="1"/>
  <c r="AC144" i="26" a="1"/>
  <c r="AC4" i="26"/>
  <c r="AC94" i="26" a="1"/>
  <c r="AC173" i="26" a="1"/>
  <c r="AC168" i="26" a="1"/>
  <c r="AC240" i="26" a="1"/>
  <c r="AC217" i="26" a="1"/>
  <c r="AC80" i="26" a="1"/>
  <c r="AC46" i="26" a="1"/>
  <c r="AC239" i="26" a="1"/>
  <c r="AC153" i="26" a="1"/>
  <c r="AC81" i="26" a="1"/>
  <c r="AC136" i="26" a="1"/>
  <c r="AC309" i="26" a="1"/>
  <c r="AC232" i="26" a="1"/>
  <c r="AC16" i="26" a="1"/>
  <c r="AC135" i="26" a="1"/>
  <c r="AC48" i="26" a="1"/>
  <c r="AC198" i="26" a="1"/>
  <c r="AC14" i="26" a="1"/>
  <c r="AC157" i="26" a="1"/>
  <c r="AC67" i="26" a="1"/>
  <c r="AC179" i="26" a="1"/>
  <c r="AC97" i="26" a="1"/>
  <c r="AC111" i="26" a="1"/>
  <c r="AC221" i="26" a="1"/>
  <c r="AC312" i="26" a="1"/>
  <c r="AC54" i="26" a="1"/>
  <c r="AC178" i="26" a="1"/>
  <c r="AC27" i="26" a="1"/>
  <c r="AC107" i="26" a="1"/>
  <c r="AC275" i="26" a="1"/>
  <c r="AC191" i="26" a="1"/>
  <c r="AC223" i="26" a="1"/>
  <c r="AC39" i="26" a="1"/>
  <c r="AC134" i="26" a="1"/>
  <c r="AC51" i="26" a="1"/>
  <c r="AC58" i="26" a="1"/>
  <c r="AD6" i="26" a="1"/>
  <c r="AC159" i="26" a="1"/>
  <c r="AC185" i="26" a="1"/>
  <c r="AC114" i="26" a="1"/>
  <c r="AC12" i="26" a="1"/>
  <c r="AC249" i="26" a="1"/>
  <c r="AC234" i="26" a="1"/>
  <c r="AC86" i="26" a="1"/>
  <c r="AC50" i="26" a="1"/>
  <c r="AC209" i="26" a="1"/>
  <c r="AC89" i="26" a="1"/>
  <c r="AC282" i="26" a="1"/>
  <c r="AC98" i="26" a="1"/>
  <c r="AC252" i="26" a="1"/>
  <c r="AC289" i="26" a="1"/>
  <c r="AC236" i="26" a="1"/>
  <c r="AC82" i="26" a="1"/>
  <c r="AC138" i="26" a="1"/>
  <c r="AC287" i="26" a="1"/>
  <c r="AC291" i="26" a="1"/>
  <c r="AC293" i="26" a="1"/>
  <c r="AC47" i="26" a="1"/>
  <c r="AC22" i="26" a="1"/>
  <c r="AC246" i="26" a="1"/>
  <c r="AC248" i="26" a="1"/>
  <c r="AC73" i="26" a="1"/>
  <c r="AC307" i="26" a="1"/>
  <c r="AC24" i="26" a="1"/>
  <c r="AC37" i="26" a="1"/>
  <c r="AC218" i="26" a="1"/>
  <c r="AC284" i="26" a="1"/>
  <c r="AC174" i="26" a="1"/>
  <c r="AC285" i="26" a="1"/>
  <c r="AC148" i="26" a="1"/>
  <c r="AC300" i="26" a="1"/>
  <c r="AC319" i="26" a="1"/>
  <c r="AC44" i="26" a="1"/>
  <c r="AC171" i="26" a="1"/>
  <c r="AC56" i="26" a="1"/>
  <c r="AC302" i="26" a="1"/>
  <c r="AC79" i="26" a="1"/>
  <c r="AC219" i="26" a="1"/>
  <c r="AC184" i="26" a="1"/>
  <c r="AC146" i="26" a="1"/>
  <c r="AC119" i="26" a="1"/>
  <c r="AC195" i="26" a="1"/>
  <c r="AC306" i="26" a="1"/>
  <c r="AC314" i="26" a="1"/>
  <c r="AC23" i="26" a="1"/>
  <c r="AC125" i="26" a="1"/>
  <c r="AC256" i="26" a="1"/>
  <c r="AC140" i="26" a="1"/>
  <c r="AD63" i="26" a="1"/>
  <c r="AC243" i="26" a="1"/>
  <c r="AC303" i="26" a="1"/>
  <c r="AC276" i="26" a="1"/>
  <c r="AC62" i="26" a="1"/>
  <c r="AC193" i="26" a="1"/>
  <c r="AC200" i="26" a="1"/>
  <c r="AC281" i="26" a="1"/>
  <c r="AC163" i="26" a="1"/>
  <c r="AC142" i="26" a="1"/>
  <c r="AC64" i="26" a="1"/>
  <c r="AC25" i="26" a="1"/>
  <c r="AC126" i="26" a="1"/>
  <c r="AC216" i="26" a="1"/>
  <c r="AC268" i="26" a="1"/>
  <c r="AC53" i="26" a="1"/>
  <c r="AC167" i="26" a="1"/>
  <c r="AC158" i="26" a="1"/>
  <c r="AC181" i="26" a="1"/>
  <c r="AC99" i="26" a="1"/>
  <c r="AC270" i="26" a="1"/>
  <c r="AC320" i="26" a="1"/>
  <c r="AC36" i="26" a="1"/>
  <c r="AC283" i="26" a="1"/>
  <c r="AC10" i="26" a="1"/>
  <c r="AC83" i="26" a="1"/>
  <c r="AC156" i="26" a="1"/>
  <c r="AC257" i="26" a="1"/>
  <c r="AC267" i="26" a="1"/>
  <c r="AC112" i="26" a="1"/>
  <c r="AC263" i="26" a="1"/>
  <c r="AC188" i="26" a="1"/>
  <c r="AC66" i="26" a="1"/>
  <c r="AC170" i="26" a="1"/>
  <c r="AC57" i="26" a="1"/>
  <c r="AC261" i="26" a="1"/>
  <c r="AC43" i="26" a="1"/>
  <c r="AC211" i="26" a="1"/>
  <c r="AC310" i="26" a="1"/>
  <c r="AC197" i="26" a="1"/>
  <c r="AC128" i="26" a="1"/>
  <c r="AC229" i="26" a="1"/>
  <c r="AC26" i="26" a="1"/>
  <c r="AC233" i="26" a="1"/>
  <c r="AC196" i="26" a="1"/>
  <c r="AC49" i="26" a="1"/>
  <c r="AC96" i="26" a="1"/>
  <c r="AC272" i="26" a="1"/>
  <c r="AC253" i="26" a="1"/>
  <c r="AC110" i="26" a="1"/>
  <c r="AC34" i="26" a="1"/>
  <c r="AC269" i="26" a="1"/>
  <c r="AC259" i="26" a="1"/>
  <c r="AC206" i="26" a="1"/>
  <c r="AC213" i="26" a="1"/>
  <c r="AC65" i="26" a="1"/>
  <c r="AC109" i="26" a="1"/>
  <c r="AC235" i="26" a="1"/>
  <c r="AC69" i="26" a="1"/>
  <c r="AC38" i="26" a="1"/>
  <c r="AC313" i="26" a="1"/>
  <c r="AC131" i="26" a="1"/>
  <c r="AC118" i="26" a="1"/>
  <c r="AC60" i="26" a="1"/>
  <c r="AC113" i="26" a="1"/>
  <c r="AC31" i="26" a="1"/>
  <c r="AC230" i="26" a="1"/>
  <c r="AC227" i="26" a="1"/>
  <c r="AC260" i="26" a="1"/>
  <c r="AC317" i="26" a="1"/>
  <c r="AC212" i="26" a="1"/>
  <c r="AC165" i="26" a="1"/>
  <c r="AC143" i="26" a="1"/>
  <c r="AC123" i="26" a="1"/>
  <c r="AC70" i="26" a="1"/>
  <c r="AC151" i="26" a="1"/>
  <c r="AC255" i="26" a="1"/>
  <c r="AC91" i="26" l="1"/>
  <c r="AC195" i="26"/>
  <c r="AC298" i="26"/>
  <c r="AC50" i="26"/>
  <c r="AC122" i="26"/>
  <c r="AC225" i="26"/>
  <c r="AC148" i="26"/>
  <c r="AC73" i="26"/>
  <c r="AC200" i="26"/>
  <c r="AC276" i="26"/>
  <c r="AC104" i="26"/>
  <c r="AC247" i="26"/>
  <c r="AC15" i="26"/>
  <c r="AC143" i="26"/>
  <c r="AC262" i="26"/>
  <c r="AC172" i="26"/>
  <c r="AC86" i="26"/>
  <c r="AC197" i="26"/>
  <c r="AC189" i="26"/>
  <c r="AC275" i="26"/>
  <c r="AC231" i="26"/>
  <c r="AC144" i="26"/>
  <c r="AC216" i="26"/>
  <c r="AC75" i="26"/>
  <c r="AC179" i="26"/>
  <c r="AC282" i="26"/>
  <c r="AC34" i="26"/>
  <c r="AC106" i="26"/>
  <c r="AC209" i="26"/>
  <c r="AC28" i="26"/>
  <c r="AC57" i="26"/>
  <c r="AC184" i="26"/>
  <c r="AC228" i="26"/>
  <c r="AC88" i="26"/>
  <c r="AC239" i="26"/>
  <c r="AC62" i="26"/>
  <c r="AC127" i="26"/>
  <c r="AC246" i="26"/>
  <c r="AC60" i="26"/>
  <c r="AC70" i="26"/>
  <c r="AC181" i="26"/>
  <c r="AC173" i="26"/>
  <c r="AC220" i="26"/>
  <c r="AC192" i="26"/>
  <c r="AC82" i="26"/>
  <c r="AC237" i="26"/>
  <c r="AC120" i="26"/>
  <c r="AC315" i="26"/>
  <c r="AC59" i="26"/>
  <c r="AC163" i="26"/>
  <c r="AC266" i="26"/>
  <c r="AC188" i="26"/>
  <c r="AC90" i="26"/>
  <c r="AC193" i="26"/>
  <c r="AC313" i="26"/>
  <c r="AC41" i="26"/>
  <c r="AC168" i="26"/>
  <c r="AC132" i="26"/>
  <c r="AC64" i="26"/>
  <c r="AC223" i="26"/>
  <c r="AC30" i="26"/>
  <c r="AC111" i="26"/>
  <c r="AC230" i="26"/>
  <c r="AC318" i="26"/>
  <c r="AC22" i="26"/>
  <c r="AC157" i="26"/>
  <c r="AC165" i="26"/>
  <c r="AC49" i="26"/>
  <c r="AC292" i="26"/>
  <c r="AC183" i="26"/>
  <c r="AC107" i="26"/>
  <c r="AC268" i="26"/>
  <c r="AC299" i="26"/>
  <c r="AC43" i="26"/>
  <c r="AC147" i="26"/>
  <c r="AC250" i="26"/>
  <c r="AC76" i="26"/>
  <c r="AC74" i="26"/>
  <c r="AC177" i="26"/>
  <c r="AC297" i="26"/>
  <c r="AC33" i="26"/>
  <c r="AC152" i="26"/>
  <c r="AC20" i="26"/>
  <c r="AC48" i="26"/>
  <c r="AC207" i="26"/>
  <c r="AC21" i="26"/>
  <c r="AC95" i="26"/>
  <c r="AC222" i="26"/>
  <c r="AC302" i="26"/>
  <c r="AC300" i="26"/>
  <c r="AC141" i="26"/>
  <c r="AC149" i="26"/>
  <c r="AC202" i="26"/>
  <c r="AC94" i="26"/>
  <c r="AC224" i="26"/>
  <c r="AC68" i="26"/>
  <c r="AC263" i="26"/>
  <c r="AC283" i="26"/>
  <c r="AC27" i="26"/>
  <c r="AC131" i="26"/>
  <c r="AC242" i="26"/>
  <c r="AC322" i="26"/>
  <c r="AC58" i="26"/>
  <c r="AC161" i="26"/>
  <c r="AC273" i="26"/>
  <c r="AC9" i="26"/>
  <c r="AC136" i="26"/>
  <c r="AC320" i="26"/>
  <c r="AC32" i="26"/>
  <c r="AC191" i="26"/>
  <c r="AC252" i="26"/>
  <c r="AC71" i="26"/>
  <c r="AC206" i="26"/>
  <c r="AC286" i="26"/>
  <c r="AC212" i="26"/>
  <c r="AC125" i="26"/>
  <c r="AC133" i="26"/>
  <c r="AC85" i="26"/>
  <c r="AC69" i="26"/>
  <c r="AC40" i="26"/>
  <c r="AC44" i="26"/>
  <c r="AC37" i="26"/>
  <c r="AC241" i="26"/>
  <c r="AC278" i="26"/>
  <c r="AC267" i="26"/>
  <c r="AC11" i="26"/>
  <c r="AC115" i="26"/>
  <c r="AC226" i="26"/>
  <c r="AC306" i="26"/>
  <c r="AC42" i="26"/>
  <c r="AC145" i="26"/>
  <c r="AC257" i="26"/>
  <c r="AC284" i="26"/>
  <c r="AC128" i="26"/>
  <c r="AC296" i="26"/>
  <c r="AC16" i="26"/>
  <c r="AC175" i="26"/>
  <c r="AC156" i="26"/>
  <c r="AC55" i="26"/>
  <c r="AC190" i="26"/>
  <c r="AC270" i="26"/>
  <c r="AC108" i="26"/>
  <c r="AC101" i="26"/>
  <c r="AC117" i="26"/>
  <c r="AC93" i="26"/>
  <c r="AC272" i="26"/>
  <c r="AC261" i="26"/>
  <c r="AC294" i="26"/>
  <c r="AC29" i="26"/>
  <c r="AC251" i="26"/>
  <c r="AC10" i="26"/>
  <c r="AC99" i="26"/>
  <c r="AC210" i="26"/>
  <c r="AC290" i="26"/>
  <c r="AC18" i="26"/>
  <c r="AC137" i="26"/>
  <c r="AC233" i="26"/>
  <c r="AC204" i="26"/>
  <c r="AC112" i="26"/>
  <c r="AC280" i="26"/>
  <c r="AC54" i="26"/>
  <c r="AC167" i="26"/>
  <c r="AC52" i="26"/>
  <c r="AC39" i="26"/>
  <c r="AC174" i="26"/>
  <c r="AC254" i="26"/>
  <c r="AC317" i="26"/>
  <c r="AC109" i="26"/>
  <c r="AC130" i="26"/>
  <c r="AC196" i="26"/>
  <c r="AC279" i="26"/>
  <c r="AC211" i="26"/>
  <c r="AC205" i="26"/>
  <c r="AC235" i="26"/>
  <c r="AC116" i="26"/>
  <c r="AC83" i="26"/>
  <c r="AC194" i="26"/>
  <c r="AC274" i="26"/>
  <c r="AC124" i="26"/>
  <c r="AC121" i="26"/>
  <c r="AC217" i="26"/>
  <c r="AC92" i="26"/>
  <c r="AC96" i="26"/>
  <c r="AC264" i="26"/>
  <c r="AC53" i="26"/>
  <c r="AC151" i="26"/>
  <c r="AC311" i="26"/>
  <c r="AC23" i="26"/>
  <c r="AC158" i="26"/>
  <c r="AC238" i="26"/>
  <c r="AC309" i="26"/>
  <c r="AC61" i="26"/>
  <c r="AC19" i="26"/>
  <c r="AC166" i="26"/>
  <c r="AC38" i="26"/>
  <c r="AC314" i="26"/>
  <c r="AC213" i="26"/>
  <c r="AC219" i="26"/>
  <c r="AC323" i="26"/>
  <c r="AC67" i="26"/>
  <c r="AC178" i="26"/>
  <c r="AC258" i="26"/>
  <c r="AC12" i="26"/>
  <c r="AC89" i="26"/>
  <c r="AC201" i="26"/>
  <c r="AC312" i="26"/>
  <c r="AC80" i="26"/>
  <c r="AC248" i="26"/>
  <c r="AC260" i="26"/>
  <c r="AC135" i="26"/>
  <c r="AC295" i="26"/>
  <c r="AC7" i="26"/>
  <c r="AC142" i="26"/>
  <c r="AC214" i="26"/>
  <c r="AC301" i="26"/>
  <c r="AC308" i="26"/>
  <c r="AC77" i="26"/>
  <c r="AC232" i="26"/>
  <c r="AC119" i="26"/>
  <c r="AC14" i="26"/>
  <c r="AC126" i="26"/>
  <c r="AC293" i="26"/>
  <c r="AC153" i="26"/>
  <c r="AC87" i="26"/>
  <c r="AC154" i="26"/>
  <c r="AC118" i="26"/>
  <c r="AC138" i="26"/>
  <c r="AC159" i="26"/>
  <c r="AC203" i="26"/>
  <c r="AC307" i="26"/>
  <c r="AC51" i="26"/>
  <c r="AC162" i="26"/>
  <c r="AC234" i="26"/>
  <c r="AC321" i="26"/>
  <c r="AC81" i="26"/>
  <c r="AC185" i="26"/>
  <c r="AC304" i="26"/>
  <c r="AC72" i="26"/>
  <c r="AC164" i="26"/>
  <c r="AC271" i="26"/>
  <c r="AC198" i="26"/>
  <c r="AC171" i="26"/>
  <c r="AC319" i="26"/>
  <c r="AC249" i="26"/>
  <c r="AC221" i="26"/>
  <c r="AC31" i="26"/>
  <c r="AC187" i="26"/>
  <c r="AC291" i="26"/>
  <c r="AC35" i="26"/>
  <c r="AC146" i="26"/>
  <c r="AC218" i="26"/>
  <c r="AC305" i="26"/>
  <c r="AC65" i="26"/>
  <c r="AC169" i="26"/>
  <c r="AC288" i="26"/>
  <c r="AC56" i="26"/>
  <c r="AC208" i="26"/>
  <c r="AC36" i="26"/>
  <c r="AC103" i="26"/>
  <c r="AC255" i="26"/>
  <c r="AC316" i="26"/>
  <c r="AC110" i="26"/>
  <c r="AC182" i="26"/>
  <c r="AC285" i="26"/>
  <c r="AC100" i="26"/>
  <c r="AC45" i="26"/>
  <c r="AC289" i="26"/>
  <c r="AC277" i="26"/>
  <c r="AC47" i="26"/>
  <c r="AC97" i="26"/>
  <c r="AC155" i="26"/>
  <c r="AC259" i="26"/>
  <c r="AC26" i="26"/>
  <c r="AC114" i="26"/>
  <c r="AC186" i="26"/>
  <c r="AC281" i="26"/>
  <c r="AC25" i="26"/>
  <c r="AC129" i="26"/>
  <c r="AC256" i="26"/>
  <c r="AC24" i="26"/>
  <c r="AC176" i="26"/>
  <c r="AC303" i="26"/>
  <c r="AC79" i="26"/>
  <c r="AC215" i="26"/>
  <c r="AC84" i="26"/>
  <c r="AC78" i="26"/>
  <c r="AC150" i="26"/>
  <c r="AC269" i="26"/>
  <c r="AC245" i="26"/>
  <c r="AC236" i="26"/>
  <c r="AC123" i="26"/>
  <c r="AC13" i="26"/>
  <c r="AC244" i="26"/>
  <c r="AC139" i="26"/>
  <c r="AC243" i="26"/>
  <c r="AC180" i="26"/>
  <c r="AC98" i="26"/>
  <c r="AC170" i="26"/>
  <c r="AC265" i="26"/>
  <c r="AC17" i="26"/>
  <c r="AC113" i="26"/>
  <c r="AC240" i="26"/>
  <c r="AC8" i="26"/>
  <c r="AC160" i="26"/>
  <c r="AC287" i="26"/>
  <c r="AC63" i="26"/>
  <c r="AC199" i="26"/>
  <c r="AC310" i="26"/>
  <c r="AC46" i="26"/>
  <c r="AC134" i="26"/>
  <c r="AC253" i="26"/>
  <c r="AC229" i="26"/>
  <c r="AC140" i="26"/>
  <c r="AC227" i="26"/>
  <c r="AC105" i="26"/>
  <c r="AC66" i="26"/>
  <c r="AC102" i="26"/>
  <c r="AD63" i="26"/>
  <c r="AD7" i="26"/>
  <c r="AD6" i="26"/>
  <c r="AD5" i="26"/>
  <c r="AD4" i="26"/>
  <c r="AC6" i="26"/>
  <c r="AC5" i="26"/>
  <c r="B339" i="27" l="1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A320" i="27"/>
  <c r="A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A299" i="27"/>
  <c r="A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A278" i="27"/>
  <c r="A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A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A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A215" i="27"/>
  <c r="A214" i="27"/>
  <c r="B213" i="27"/>
  <c r="B212" i="27"/>
  <c r="B211" i="27"/>
  <c r="B210" i="27"/>
  <c r="B209" i="27"/>
  <c r="B208" i="27"/>
  <c r="B207" i="27"/>
  <c r="B206" i="27"/>
  <c r="B205" i="27"/>
  <c r="B204" i="27"/>
  <c r="A194" i="27"/>
  <c r="A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A173" i="27"/>
  <c r="A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A152" i="27"/>
  <c r="A151" i="27"/>
  <c r="B150" i="27"/>
  <c r="B149" i="27"/>
  <c r="B148" i="27"/>
  <c r="B147" i="27"/>
  <c r="B146" i="27"/>
  <c r="B145" i="27"/>
  <c r="B144" i="27"/>
  <c r="B143" i="27"/>
  <c r="B142" i="27"/>
  <c r="B141" i="27"/>
  <c r="A131" i="27"/>
  <c r="A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A110" i="27"/>
  <c r="A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A89" i="27"/>
  <c r="A88" i="27"/>
  <c r="B87" i="27"/>
  <c r="B86" i="27"/>
  <c r="B85" i="27"/>
  <c r="B84" i="27"/>
  <c r="B83" i="27"/>
  <c r="B82" i="27"/>
  <c r="B81" i="27"/>
  <c r="B80" i="27"/>
  <c r="B79" i="27"/>
  <c r="B78" i="27"/>
  <c r="A68" i="27"/>
  <c r="A67" i="27"/>
  <c r="E66" i="27"/>
  <c r="B66" i="27"/>
  <c r="E65" i="27"/>
  <c r="B65" i="27"/>
  <c r="E64" i="27"/>
  <c r="B64" i="27"/>
  <c r="E63" i="27"/>
  <c r="B63" i="27"/>
  <c r="E62" i="27"/>
  <c r="B62" i="27"/>
  <c r="E61" i="27"/>
  <c r="B61" i="27"/>
  <c r="E60" i="27"/>
  <c r="B60" i="27"/>
  <c r="E59" i="27"/>
  <c r="B59" i="27"/>
  <c r="E58" i="27"/>
  <c r="B58" i="27"/>
  <c r="E57" i="27"/>
  <c r="B57" i="27"/>
  <c r="E56" i="27"/>
  <c r="B56" i="27"/>
  <c r="E55" i="27"/>
  <c r="B55" i="27"/>
  <c r="E54" i="27"/>
  <c r="B54" i="27"/>
  <c r="E53" i="27"/>
  <c r="B53" i="27"/>
  <c r="E52" i="27"/>
  <c r="B52" i="27"/>
  <c r="E51" i="27"/>
  <c r="B51" i="27"/>
  <c r="D47" i="27"/>
  <c r="A47" i="27"/>
  <c r="D46" i="27"/>
  <c r="A46" i="27"/>
  <c r="E45" i="27"/>
  <c r="B45" i="27"/>
  <c r="E44" i="27"/>
  <c r="B44" i="27"/>
  <c r="E43" i="27"/>
  <c r="B43" i="27"/>
  <c r="E42" i="27"/>
  <c r="B42" i="27"/>
  <c r="E41" i="27"/>
  <c r="B41" i="27"/>
  <c r="E40" i="27"/>
  <c r="B40" i="27"/>
  <c r="E39" i="27"/>
  <c r="B39" i="27"/>
  <c r="E38" i="27"/>
  <c r="E37" i="27"/>
  <c r="E36" i="27"/>
  <c r="E35" i="27"/>
  <c r="E34" i="27"/>
  <c r="E33" i="27"/>
  <c r="E32" i="27"/>
  <c r="E31" i="27"/>
  <c r="D26" i="27"/>
  <c r="A26" i="27"/>
  <c r="D25" i="27"/>
  <c r="A25" i="27"/>
  <c r="E24" i="27"/>
  <c r="B24" i="27"/>
  <c r="E23" i="27"/>
  <c r="B23" i="27"/>
  <c r="E22" i="27"/>
  <c r="B22" i="27"/>
  <c r="E21" i="27"/>
  <c r="B21" i="27"/>
  <c r="E20" i="27"/>
  <c r="B20" i="27"/>
  <c r="E19" i="27"/>
  <c r="B19" i="27"/>
  <c r="E18" i="27"/>
  <c r="B18" i="27"/>
  <c r="E17" i="27"/>
  <c r="B17" i="27"/>
  <c r="E16" i="27"/>
  <c r="B16" i="27"/>
  <c r="E15" i="27"/>
  <c r="B15" i="27"/>
  <c r="E14" i="27"/>
  <c r="B14" i="27"/>
  <c r="E13" i="27"/>
  <c r="B13" i="27"/>
  <c r="E12" i="27"/>
  <c r="E11" i="27"/>
  <c r="E10" i="27"/>
  <c r="D5" i="27"/>
  <c r="A5" i="27"/>
  <c r="D4" i="27"/>
  <c r="A4" i="27"/>
  <c r="P9" i="2" l="1"/>
  <c r="O9" i="2"/>
  <c r="N9" i="2"/>
  <c r="H148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05" i="2"/>
  <c r="H702" i="2"/>
  <c r="H701" i="2"/>
  <c r="H700" i="2"/>
  <c r="H699" i="2"/>
  <c r="H698" i="2"/>
  <c r="H697" i="2"/>
  <c r="H696" i="2"/>
  <c r="H695" i="2"/>
  <c r="H694" i="2"/>
  <c r="H692" i="2"/>
  <c r="H691" i="2"/>
  <c r="H689" i="2"/>
  <c r="H688" i="2"/>
  <c r="H687" i="2"/>
  <c r="H686" i="2"/>
  <c r="H685" i="2"/>
  <c r="H683" i="2"/>
  <c r="H682" i="2"/>
  <c r="H679" i="2"/>
  <c r="H677" i="2"/>
  <c r="H675" i="2"/>
  <c r="H671" i="2"/>
  <c r="H670" i="2"/>
  <c r="H669" i="2"/>
  <c r="H668" i="2"/>
  <c r="H667" i="2"/>
  <c r="H666" i="2"/>
  <c r="H665" i="2"/>
  <c r="H664" i="2"/>
  <c r="H663" i="2"/>
  <c r="H660" i="2"/>
  <c r="H654" i="2"/>
  <c r="H651" i="2"/>
  <c r="H650" i="2"/>
  <c r="H649" i="2"/>
  <c r="H648" i="2"/>
  <c r="H647" i="2"/>
  <c r="H644" i="2"/>
  <c r="H643" i="2"/>
  <c r="H642" i="2"/>
  <c r="H641" i="2"/>
  <c r="H639" i="2"/>
  <c r="H638" i="2"/>
  <c r="H636" i="2"/>
  <c r="H635" i="2"/>
  <c r="H631" i="2"/>
  <c r="H630" i="2"/>
  <c r="H628" i="2"/>
  <c r="H622" i="2"/>
  <c r="H621" i="2"/>
  <c r="H620" i="2"/>
  <c r="H619" i="2"/>
  <c r="H618" i="2"/>
  <c r="H617" i="2"/>
  <c r="H615" i="2"/>
  <c r="H613" i="2"/>
  <c r="H612" i="2"/>
  <c r="H610" i="2"/>
  <c r="H606" i="2"/>
  <c r="H605" i="2"/>
  <c r="H604" i="2"/>
  <c r="H603" i="2"/>
  <c r="H602" i="2"/>
  <c r="H600" i="2"/>
  <c r="H599" i="2"/>
  <c r="H598" i="2"/>
  <c r="H593" i="2"/>
  <c r="H592" i="2"/>
  <c r="H591" i="2"/>
  <c r="H588" i="2"/>
  <c r="H587" i="2"/>
  <c r="H586" i="2"/>
  <c r="H582" i="2"/>
  <c r="H581" i="2"/>
  <c r="H580" i="2"/>
  <c r="H578" i="2"/>
  <c r="H577" i="2"/>
  <c r="H576" i="2"/>
  <c r="H573" i="2"/>
  <c r="H572" i="2"/>
  <c r="H570" i="2"/>
  <c r="H568" i="2"/>
  <c r="H564" i="2"/>
  <c r="H563" i="2"/>
  <c r="H562" i="2"/>
  <c r="H558" i="2"/>
  <c r="H556" i="2"/>
  <c r="H555" i="2"/>
  <c r="H554" i="2"/>
  <c r="H553" i="2"/>
  <c r="H551" i="2"/>
  <c r="H550" i="2"/>
  <c r="H549" i="2"/>
  <c r="H548" i="2"/>
  <c r="H547" i="2"/>
  <c r="H546" i="2"/>
  <c r="H545" i="2"/>
  <c r="H544" i="2"/>
  <c r="H543" i="2"/>
  <c r="H542" i="2"/>
  <c r="H539" i="2"/>
  <c r="H536" i="2"/>
  <c r="H535" i="2"/>
  <c r="H534" i="2"/>
  <c r="H533" i="2"/>
  <c r="H531" i="2"/>
  <c r="H527" i="2"/>
  <c r="H524" i="2"/>
  <c r="H522" i="2"/>
  <c r="H521" i="2"/>
  <c r="H520" i="2"/>
  <c r="H519" i="2"/>
  <c r="H517" i="2"/>
  <c r="H516" i="2"/>
  <c r="H515" i="2"/>
  <c r="H513" i="2"/>
  <c r="H511" i="2"/>
  <c r="H508" i="2"/>
  <c r="H507" i="2"/>
  <c r="H504" i="2"/>
  <c r="H503" i="2"/>
  <c r="H502" i="2"/>
  <c r="H500" i="2"/>
  <c r="H497" i="2"/>
  <c r="H496" i="2"/>
  <c r="H495" i="2"/>
  <c r="H493" i="2"/>
  <c r="H490" i="2"/>
  <c r="H489" i="2"/>
  <c r="H486" i="2"/>
  <c r="H484" i="2"/>
  <c r="H482" i="2"/>
  <c r="H481" i="2"/>
  <c r="H477" i="2"/>
  <c r="H475" i="2"/>
  <c r="H474" i="2"/>
  <c r="H473" i="2"/>
  <c r="H468" i="2"/>
  <c r="H467" i="2"/>
  <c r="H465" i="2"/>
  <c r="H464" i="2"/>
  <c r="H463" i="2"/>
  <c r="H462" i="2"/>
  <c r="H460" i="2"/>
  <c r="H459" i="2"/>
  <c r="H457" i="2"/>
  <c r="H455" i="2"/>
  <c r="H453" i="2"/>
  <c r="H451" i="2"/>
  <c r="H450" i="2"/>
  <c r="H449" i="2"/>
  <c r="H448" i="2"/>
  <c r="H447" i="2"/>
  <c r="H446" i="2"/>
  <c r="H444" i="2"/>
  <c r="H442" i="2"/>
  <c r="H441" i="2"/>
  <c r="H440" i="2"/>
  <c r="H437" i="2"/>
  <c r="H435" i="2"/>
  <c r="H434" i="2"/>
  <c r="H433" i="2"/>
  <c r="H430" i="2"/>
  <c r="H429" i="2"/>
  <c r="H428" i="2"/>
  <c r="H425" i="2"/>
  <c r="H423" i="2"/>
  <c r="H422" i="2"/>
  <c r="H420" i="2"/>
  <c r="H419" i="2"/>
  <c r="H418" i="2"/>
  <c r="H417" i="2"/>
  <c r="H416" i="2"/>
  <c r="H415" i="2"/>
  <c r="H413" i="2"/>
  <c r="H412" i="2"/>
  <c r="H411" i="2"/>
  <c r="H410" i="2"/>
  <c r="H408" i="2"/>
  <c r="H407" i="2"/>
  <c r="H406" i="2"/>
  <c r="H405" i="2"/>
  <c r="H404" i="2"/>
  <c r="H401" i="2"/>
  <c r="H400" i="2"/>
  <c r="H399" i="2"/>
  <c r="H397" i="2"/>
  <c r="H396" i="2"/>
  <c r="H395" i="2"/>
  <c r="H394" i="2"/>
  <c r="H392" i="2"/>
  <c r="H391" i="2"/>
  <c r="H390" i="2"/>
  <c r="H389" i="2"/>
  <c r="H388" i="2"/>
  <c r="H387" i="2"/>
  <c r="H386" i="2"/>
  <c r="H385" i="2"/>
  <c r="H382" i="2"/>
  <c r="H379" i="2"/>
  <c r="H378" i="2"/>
  <c r="H377" i="2"/>
  <c r="H376" i="2"/>
  <c r="H375" i="2"/>
  <c r="H374" i="2"/>
  <c r="H372" i="2"/>
  <c r="H371" i="2"/>
  <c r="H370" i="2"/>
  <c r="H363" i="2"/>
  <c r="H362" i="2"/>
  <c r="H360" i="2"/>
  <c r="H359" i="2"/>
  <c r="H357" i="2"/>
  <c r="H350" i="2"/>
  <c r="H348" i="2"/>
  <c r="H346" i="2"/>
  <c r="H345" i="2"/>
  <c r="H344" i="2"/>
  <c r="H338" i="2"/>
  <c r="H337" i="2"/>
  <c r="H336" i="2"/>
  <c r="H335" i="2"/>
  <c r="H333" i="2"/>
  <c r="H331" i="2"/>
  <c r="H323" i="2"/>
  <c r="H320" i="2"/>
  <c r="H319" i="2"/>
  <c r="H317" i="2"/>
  <c r="H316" i="2"/>
  <c r="H315" i="2"/>
  <c r="H312" i="2"/>
  <c r="H311" i="2"/>
  <c r="H310" i="2"/>
  <c r="H309" i="2"/>
  <c r="H306" i="2"/>
  <c r="H305" i="2"/>
  <c r="H304" i="2"/>
  <c r="H303" i="2"/>
  <c r="H302" i="2"/>
  <c r="H301" i="2"/>
  <c r="H300" i="2"/>
  <c r="H297" i="2"/>
  <c r="H294" i="2"/>
  <c r="H293" i="2"/>
  <c r="H292" i="2"/>
  <c r="H291" i="2"/>
  <c r="H289" i="2"/>
  <c r="H288" i="2"/>
  <c r="H287" i="2"/>
  <c r="H286" i="2"/>
  <c r="H285" i="2"/>
  <c r="H284" i="2"/>
  <c r="H283" i="2"/>
  <c r="H282" i="2"/>
  <c r="H280" i="2"/>
  <c r="H279" i="2"/>
  <c r="H274" i="2"/>
  <c r="H273" i="2"/>
  <c r="H272" i="2"/>
  <c r="H271" i="2"/>
  <c r="H270" i="2"/>
  <c r="H269" i="2"/>
  <c r="H268" i="2"/>
  <c r="H267" i="2"/>
  <c r="H265" i="2"/>
  <c r="H262" i="2"/>
  <c r="H261" i="2"/>
  <c r="H257" i="2"/>
  <c r="H256" i="2"/>
  <c r="H255" i="2"/>
  <c r="H254" i="2"/>
  <c r="H252" i="2"/>
  <c r="H250" i="2"/>
  <c r="H249" i="2"/>
  <c r="H248" i="2"/>
  <c r="H247" i="2"/>
  <c r="H246" i="2"/>
  <c r="H241" i="2"/>
  <c r="H236" i="2"/>
  <c r="H233" i="2"/>
  <c r="H229" i="2"/>
  <c r="H227" i="2"/>
  <c r="H225" i="2"/>
  <c r="H224" i="2"/>
  <c r="H223" i="2"/>
  <c r="H222" i="2"/>
  <c r="H221" i="2"/>
  <c r="H220" i="2"/>
  <c r="H219" i="2"/>
  <c r="H217" i="2"/>
  <c r="H214" i="2"/>
  <c r="H213" i="2"/>
  <c r="H211" i="2"/>
  <c r="H210" i="2"/>
  <c r="H206" i="2"/>
  <c r="H205" i="2"/>
  <c r="H204" i="2"/>
  <c r="H202" i="2"/>
  <c r="H201" i="2"/>
  <c r="H200" i="2"/>
  <c r="H199" i="2"/>
  <c r="H198" i="2"/>
  <c r="H197" i="2"/>
  <c r="H196" i="2"/>
  <c r="H195" i="2"/>
  <c r="H194" i="2"/>
  <c r="H192" i="2"/>
  <c r="H190" i="2"/>
  <c r="H189" i="2"/>
  <c r="H187" i="2"/>
  <c r="H184" i="2"/>
  <c r="H183" i="2"/>
  <c r="H182" i="2"/>
  <c r="H181" i="2"/>
  <c r="H180" i="2"/>
  <c r="H179" i="2"/>
  <c r="H178" i="2"/>
  <c r="H177" i="2"/>
  <c r="H175" i="2"/>
  <c r="H174" i="2"/>
  <c r="H167" i="2"/>
  <c r="H163" i="2"/>
  <c r="H162" i="2"/>
  <c r="H161" i="2"/>
  <c r="H160" i="2"/>
  <c r="H159" i="2"/>
  <c r="H158" i="2"/>
  <c r="H157" i="2"/>
  <c r="H154" i="2"/>
  <c r="H153" i="2"/>
  <c r="H152" i="2"/>
  <c r="H151" i="2"/>
  <c r="H143" i="2"/>
  <c r="H133" i="2"/>
  <c r="H132" i="2"/>
  <c r="H131" i="2"/>
  <c r="H127" i="2"/>
  <c r="H125" i="2"/>
  <c r="H121" i="2"/>
  <c r="H120" i="2"/>
  <c r="H119" i="2"/>
  <c r="H118" i="2"/>
  <c r="H115" i="2"/>
  <c r="H114" i="2"/>
  <c r="H111" i="2"/>
  <c r="H109" i="2"/>
  <c r="H108" i="2"/>
  <c r="H105" i="2"/>
  <c r="H104" i="2"/>
  <c r="H103" i="2"/>
  <c r="H100" i="2"/>
  <c r="H98" i="2"/>
  <c r="H97" i="2"/>
  <c r="H93" i="2"/>
  <c r="H92" i="2"/>
  <c r="H91" i="2"/>
  <c r="H90" i="2"/>
  <c r="H87" i="2"/>
  <c r="H86" i="2"/>
  <c r="H85" i="2"/>
  <c r="H81" i="2"/>
  <c r="H79" i="2"/>
  <c r="H72" i="2"/>
  <c r="H71" i="2"/>
  <c r="H67" i="2"/>
  <c r="H63" i="2"/>
  <c r="H62" i="2"/>
  <c r="H61" i="2"/>
  <c r="H60" i="2"/>
  <c r="H59" i="2"/>
  <c r="H58" i="2"/>
  <c r="H57" i="2"/>
  <c r="H55" i="2"/>
  <c r="H52" i="2"/>
  <c r="H50" i="2"/>
  <c r="H49" i="2"/>
  <c r="H48" i="2"/>
  <c r="H47" i="2"/>
  <c r="H44" i="2"/>
  <c r="H42" i="2"/>
  <c r="H41" i="2"/>
  <c r="H38" i="2"/>
  <c r="H37" i="2"/>
  <c r="H36" i="2"/>
  <c r="H34" i="2"/>
  <c r="H33" i="2"/>
  <c r="H32" i="2"/>
  <c r="H30" i="2"/>
  <c r="H29" i="2"/>
  <c r="H28" i="2"/>
  <c r="H27" i="2"/>
  <c r="H23" i="2"/>
  <c r="H22" i="2"/>
  <c r="H21" i="2"/>
  <c r="H20" i="2"/>
  <c r="H19" i="2"/>
  <c r="H18" i="2"/>
  <c r="H17" i="2"/>
  <c r="H15" i="2"/>
  <c r="H14" i="2"/>
  <c r="H12" i="2"/>
  <c r="H11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05" i="2"/>
  <c r="G702" i="2"/>
  <c r="G701" i="2"/>
  <c r="G700" i="2"/>
  <c r="G699" i="2"/>
  <c r="G698" i="2"/>
  <c r="G697" i="2"/>
  <c r="G696" i="2"/>
  <c r="G695" i="2"/>
  <c r="G694" i="2"/>
  <c r="G692" i="2"/>
  <c r="G691" i="2"/>
  <c r="G689" i="2"/>
  <c r="G688" i="2"/>
  <c r="G687" i="2"/>
  <c r="G686" i="2"/>
  <c r="G685" i="2"/>
  <c r="G683" i="2"/>
  <c r="G682" i="2"/>
  <c r="G679" i="2"/>
  <c r="G677" i="2"/>
  <c r="G675" i="2"/>
  <c r="G671" i="2"/>
  <c r="G670" i="2"/>
  <c r="G669" i="2"/>
  <c r="G668" i="2"/>
  <c r="G667" i="2"/>
  <c r="G666" i="2"/>
  <c r="G665" i="2"/>
  <c r="G664" i="2"/>
  <c r="G663" i="2"/>
  <c r="G660" i="2"/>
  <c r="G654" i="2"/>
  <c r="G651" i="2"/>
  <c r="G650" i="2"/>
  <c r="G649" i="2"/>
  <c r="G648" i="2"/>
  <c r="G647" i="2"/>
  <c r="G644" i="2"/>
  <c r="G643" i="2"/>
  <c r="G642" i="2"/>
  <c r="G641" i="2"/>
  <c r="G639" i="2"/>
  <c r="G638" i="2"/>
  <c r="G636" i="2"/>
  <c r="G635" i="2"/>
  <c r="G631" i="2"/>
  <c r="G630" i="2"/>
  <c r="G628" i="2"/>
  <c r="G622" i="2"/>
  <c r="G621" i="2"/>
  <c r="G620" i="2"/>
  <c r="G619" i="2"/>
  <c r="G618" i="2"/>
  <c r="G617" i="2"/>
  <c r="G615" i="2"/>
  <c r="G613" i="2"/>
  <c r="G612" i="2"/>
  <c r="G610" i="2"/>
  <c r="G606" i="2"/>
  <c r="G605" i="2"/>
  <c r="G604" i="2"/>
  <c r="G603" i="2"/>
  <c r="G602" i="2"/>
  <c r="G600" i="2"/>
  <c r="G599" i="2"/>
  <c r="G598" i="2"/>
  <c r="G593" i="2"/>
  <c r="G592" i="2"/>
  <c r="G591" i="2"/>
  <c r="G588" i="2"/>
  <c r="G587" i="2"/>
  <c r="G586" i="2"/>
  <c r="G582" i="2"/>
  <c r="G581" i="2"/>
  <c r="G580" i="2"/>
  <c r="G578" i="2"/>
  <c r="G577" i="2"/>
  <c r="G576" i="2"/>
  <c r="G573" i="2"/>
  <c r="G572" i="2"/>
  <c r="G570" i="2"/>
  <c r="G568" i="2"/>
  <c r="G564" i="2"/>
  <c r="G563" i="2"/>
  <c r="G562" i="2"/>
  <c r="G558" i="2"/>
  <c r="G556" i="2"/>
  <c r="G555" i="2"/>
  <c r="G554" i="2"/>
  <c r="G553" i="2"/>
  <c r="G551" i="2"/>
  <c r="G550" i="2"/>
  <c r="G549" i="2"/>
  <c r="G548" i="2"/>
  <c r="G547" i="2"/>
  <c r="G546" i="2"/>
  <c r="G545" i="2"/>
  <c r="G544" i="2"/>
  <c r="G543" i="2"/>
  <c r="G542" i="2"/>
  <c r="G539" i="2"/>
  <c r="G536" i="2"/>
  <c r="G535" i="2"/>
  <c r="G534" i="2"/>
  <c r="G533" i="2"/>
  <c r="G531" i="2"/>
  <c r="G527" i="2"/>
  <c r="G524" i="2"/>
  <c r="G522" i="2"/>
  <c r="G521" i="2"/>
  <c r="G520" i="2"/>
  <c r="G519" i="2"/>
  <c r="G517" i="2"/>
  <c r="G516" i="2"/>
  <c r="G515" i="2"/>
  <c r="G513" i="2"/>
  <c r="G511" i="2"/>
  <c r="G508" i="2"/>
  <c r="G507" i="2"/>
  <c r="G504" i="2"/>
  <c r="G503" i="2"/>
  <c r="G502" i="2"/>
  <c r="G500" i="2"/>
  <c r="G497" i="2"/>
  <c r="G496" i="2"/>
  <c r="G495" i="2"/>
  <c r="G493" i="2"/>
  <c r="G490" i="2"/>
  <c r="G489" i="2"/>
  <c r="G486" i="2"/>
  <c r="G484" i="2"/>
  <c r="G482" i="2"/>
  <c r="G481" i="2"/>
  <c r="G477" i="2"/>
  <c r="G475" i="2"/>
  <c r="G474" i="2"/>
  <c r="G473" i="2"/>
  <c r="G468" i="2"/>
  <c r="G467" i="2"/>
  <c r="G465" i="2"/>
  <c r="G464" i="2"/>
  <c r="G463" i="2"/>
  <c r="G462" i="2"/>
  <c r="G460" i="2"/>
  <c r="G459" i="2"/>
  <c r="G457" i="2"/>
  <c r="G455" i="2"/>
  <c r="G453" i="2"/>
  <c r="G451" i="2"/>
  <c r="G450" i="2"/>
  <c r="G449" i="2"/>
  <c r="G448" i="2"/>
  <c r="G447" i="2"/>
  <c r="G446" i="2"/>
  <c r="G444" i="2"/>
  <c r="G442" i="2"/>
  <c r="G441" i="2"/>
  <c r="G440" i="2"/>
  <c r="G437" i="2"/>
  <c r="G435" i="2"/>
  <c r="G434" i="2"/>
  <c r="G433" i="2"/>
  <c r="G430" i="2"/>
  <c r="G429" i="2"/>
  <c r="G428" i="2"/>
  <c r="G425" i="2"/>
  <c r="G423" i="2"/>
  <c r="G422" i="2"/>
  <c r="G420" i="2"/>
  <c r="G419" i="2"/>
  <c r="G418" i="2"/>
  <c r="G417" i="2"/>
  <c r="G416" i="2"/>
  <c r="G415" i="2"/>
  <c r="G413" i="2"/>
  <c r="G412" i="2"/>
  <c r="G411" i="2"/>
  <c r="G410" i="2"/>
  <c r="G408" i="2"/>
  <c r="G407" i="2"/>
  <c r="G406" i="2"/>
  <c r="G405" i="2"/>
  <c r="G404" i="2"/>
  <c r="G401" i="2"/>
  <c r="G400" i="2"/>
  <c r="G399" i="2"/>
  <c r="G397" i="2"/>
  <c r="G396" i="2"/>
  <c r="G395" i="2"/>
  <c r="G394" i="2"/>
  <c r="G392" i="2"/>
  <c r="G391" i="2"/>
  <c r="G390" i="2"/>
  <c r="G389" i="2"/>
  <c r="G388" i="2"/>
  <c r="G387" i="2"/>
  <c r="G386" i="2"/>
  <c r="G385" i="2"/>
  <c r="G382" i="2"/>
  <c r="G379" i="2"/>
  <c r="G378" i="2"/>
  <c r="G377" i="2"/>
  <c r="G376" i="2"/>
  <c r="G375" i="2"/>
  <c r="G374" i="2"/>
  <c r="G372" i="2"/>
  <c r="G371" i="2"/>
  <c r="G370" i="2"/>
  <c r="G363" i="2"/>
  <c r="G362" i="2"/>
  <c r="G360" i="2"/>
  <c r="G359" i="2"/>
  <c r="G357" i="2"/>
  <c r="G350" i="2"/>
  <c r="G348" i="2"/>
  <c r="G346" i="2"/>
  <c r="G345" i="2"/>
  <c r="G344" i="2"/>
  <c r="G338" i="2"/>
  <c r="G337" i="2"/>
  <c r="G336" i="2"/>
  <c r="G335" i="2"/>
  <c r="G333" i="2"/>
  <c r="G331" i="2"/>
  <c r="G323" i="2"/>
  <c r="G320" i="2"/>
  <c r="G319" i="2"/>
  <c r="G317" i="2"/>
  <c r="G316" i="2"/>
  <c r="G315" i="2"/>
  <c r="G312" i="2"/>
  <c r="G311" i="2"/>
  <c r="G310" i="2"/>
  <c r="G309" i="2"/>
  <c r="G306" i="2"/>
  <c r="G305" i="2"/>
  <c r="G304" i="2"/>
  <c r="G303" i="2"/>
  <c r="G302" i="2"/>
  <c r="G301" i="2"/>
  <c r="G300" i="2"/>
  <c r="G297" i="2"/>
  <c r="G294" i="2"/>
  <c r="G293" i="2"/>
  <c r="G292" i="2"/>
  <c r="G291" i="2"/>
  <c r="G289" i="2"/>
  <c r="G288" i="2"/>
  <c r="G287" i="2"/>
  <c r="G286" i="2"/>
  <c r="G285" i="2"/>
  <c r="G284" i="2"/>
  <c r="G283" i="2"/>
  <c r="G282" i="2"/>
  <c r="G280" i="2"/>
  <c r="G279" i="2"/>
  <c r="G274" i="2"/>
  <c r="G273" i="2"/>
  <c r="G272" i="2"/>
  <c r="G271" i="2"/>
  <c r="G270" i="2"/>
  <c r="G269" i="2"/>
  <c r="G268" i="2"/>
  <c r="G267" i="2"/>
  <c r="G265" i="2"/>
  <c r="G262" i="2"/>
  <c r="G261" i="2"/>
  <c r="G257" i="2"/>
  <c r="G256" i="2"/>
  <c r="G255" i="2"/>
  <c r="G254" i="2"/>
  <c r="G252" i="2"/>
  <c r="G250" i="2"/>
  <c r="G249" i="2"/>
  <c r="G248" i="2"/>
  <c r="G247" i="2"/>
  <c r="G246" i="2"/>
  <c r="G241" i="2"/>
  <c r="G236" i="2"/>
  <c r="G233" i="2"/>
  <c r="G229" i="2"/>
  <c r="G227" i="2"/>
  <c r="G225" i="2"/>
  <c r="G224" i="2"/>
  <c r="G223" i="2"/>
  <c r="G222" i="2"/>
  <c r="G221" i="2"/>
  <c r="G220" i="2"/>
  <c r="G219" i="2"/>
  <c r="G217" i="2"/>
  <c r="G214" i="2"/>
  <c r="G213" i="2"/>
  <c r="G211" i="2"/>
  <c r="G210" i="2"/>
  <c r="G206" i="2"/>
  <c r="G205" i="2"/>
  <c r="G204" i="2"/>
  <c r="G202" i="2"/>
  <c r="G201" i="2"/>
  <c r="G200" i="2"/>
  <c r="G199" i="2"/>
  <c r="G198" i="2"/>
  <c r="G197" i="2"/>
  <c r="G196" i="2"/>
  <c r="G195" i="2"/>
  <c r="G194" i="2"/>
  <c r="G192" i="2"/>
  <c r="G190" i="2"/>
  <c r="G189" i="2"/>
  <c r="G187" i="2"/>
  <c r="G184" i="2"/>
  <c r="G183" i="2"/>
  <c r="G182" i="2"/>
  <c r="G181" i="2"/>
  <c r="G180" i="2"/>
  <c r="G179" i="2"/>
  <c r="G178" i="2"/>
  <c r="G177" i="2"/>
  <c r="G175" i="2"/>
  <c r="G174" i="2"/>
  <c r="G167" i="2"/>
  <c r="G163" i="2"/>
  <c r="G162" i="2"/>
  <c r="G161" i="2"/>
  <c r="G160" i="2"/>
  <c r="G159" i="2"/>
  <c r="G158" i="2"/>
  <c r="G157" i="2"/>
  <c r="G154" i="2"/>
  <c r="G153" i="2"/>
  <c r="G152" i="2"/>
  <c r="G151" i="2"/>
  <c r="G143" i="2"/>
  <c r="G133" i="2"/>
  <c r="G132" i="2"/>
  <c r="G131" i="2"/>
  <c r="G127" i="2"/>
  <c r="G125" i="2"/>
  <c r="G121" i="2"/>
  <c r="G120" i="2"/>
  <c r="G119" i="2"/>
  <c r="G118" i="2"/>
  <c r="G115" i="2"/>
  <c r="G114" i="2"/>
  <c r="G111" i="2"/>
  <c r="G109" i="2"/>
  <c r="G108" i="2"/>
  <c r="G105" i="2"/>
  <c r="G104" i="2"/>
  <c r="G103" i="2"/>
  <c r="G100" i="2"/>
  <c r="G98" i="2"/>
  <c r="G97" i="2"/>
  <c r="G93" i="2"/>
  <c r="G92" i="2"/>
  <c r="G91" i="2"/>
  <c r="G90" i="2"/>
  <c r="G87" i="2"/>
  <c r="G86" i="2"/>
  <c r="G85" i="2"/>
  <c r="G81" i="2"/>
  <c r="G79" i="2"/>
  <c r="G72" i="2"/>
  <c r="G71" i="2"/>
  <c r="G67" i="2"/>
  <c r="G63" i="2"/>
  <c r="G62" i="2"/>
  <c r="G61" i="2"/>
  <c r="G60" i="2"/>
  <c r="G59" i="2"/>
  <c r="G58" i="2"/>
  <c r="G57" i="2"/>
  <c r="G55" i="2"/>
  <c r="G52" i="2"/>
  <c r="G50" i="2"/>
  <c r="G49" i="2"/>
  <c r="G48" i="2"/>
  <c r="G47" i="2"/>
  <c r="G44" i="2"/>
  <c r="G42" i="2"/>
  <c r="G41" i="2"/>
  <c r="G38" i="2"/>
  <c r="G37" i="2"/>
  <c r="G36" i="2"/>
  <c r="G34" i="2"/>
  <c r="G33" i="2"/>
  <c r="G32" i="2"/>
  <c r="G30" i="2"/>
  <c r="G29" i="2"/>
  <c r="G28" i="2"/>
  <c r="G27" i="2"/>
  <c r="G23" i="2"/>
  <c r="G22" i="2"/>
  <c r="G21" i="2"/>
  <c r="G20" i="2"/>
  <c r="G19" i="2"/>
  <c r="G18" i="2"/>
  <c r="G17" i="2"/>
  <c r="G15" i="2"/>
  <c r="G14" i="2"/>
  <c r="G12" i="2"/>
  <c r="E1499" i="2"/>
  <c r="B140" i="27" l="1"/>
  <c r="E9" i="27"/>
  <c r="CY90" i="25" s="1"/>
  <c r="E8" i="27"/>
  <c r="CY94" i="25" s="1"/>
  <c r="E7" i="27"/>
  <c r="CY93" i="25" s="1"/>
  <c r="B179" i="27"/>
  <c r="B178" i="27"/>
  <c r="B177" i="27"/>
  <c r="B94" i="27"/>
  <c r="B279" i="27"/>
  <c r="B95" i="27"/>
  <c r="B262" i="27"/>
  <c r="B261" i="27"/>
  <c r="B136" i="27"/>
  <c r="B260" i="27"/>
  <c r="B135" i="27"/>
  <c r="B139" i="27"/>
  <c r="B176" i="27"/>
  <c r="B137" i="27"/>
  <c r="B138" i="27"/>
  <c r="E50" i="27"/>
  <c r="B302" i="27"/>
  <c r="B218" i="27"/>
  <c r="B201" i="27"/>
  <c r="B134" i="27"/>
  <c r="B50" i="27"/>
  <c r="CY15" i="25" s="1"/>
  <c r="B33" i="27"/>
  <c r="B237" i="27"/>
  <c r="E49" i="27"/>
  <c r="B301" i="27"/>
  <c r="B217" i="27"/>
  <c r="B200" i="27"/>
  <c r="B133" i="27"/>
  <c r="B116" i="27"/>
  <c r="B49" i="27"/>
  <c r="CY17" i="25" s="1"/>
  <c r="B32" i="27"/>
  <c r="B220" i="27"/>
  <c r="B202" i="27"/>
  <c r="E48" i="27"/>
  <c r="B300" i="27"/>
  <c r="B216" i="27"/>
  <c r="B199" i="27"/>
  <c r="B132" i="27"/>
  <c r="B115" i="27"/>
  <c r="B48" i="27"/>
  <c r="CY16" i="25" s="1"/>
  <c r="B31" i="27"/>
  <c r="B35" i="27"/>
  <c r="E47" i="27"/>
  <c r="E30" i="27"/>
  <c r="B299" i="27"/>
  <c r="B215" i="27"/>
  <c r="B198" i="27"/>
  <c r="B131" i="27"/>
  <c r="B114" i="27"/>
  <c r="B47" i="27"/>
  <c r="B30" i="27"/>
  <c r="B36" i="27"/>
  <c r="E29" i="27"/>
  <c r="B197" i="27"/>
  <c r="B113" i="27"/>
  <c r="B29" i="27"/>
  <c r="B10" i="27"/>
  <c r="B70" i="27"/>
  <c r="B320" i="27"/>
  <c r="CY60" i="25" s="1"/>
  <c r="E28" i="27"/>
  <c r="B196" i="27"/>
  <c r="B112" i="27"/>
  <c r="CY20" i="25" s="1"/>
  <c r="B28" i="27"/>
  <c r="CY74" i="25" s="1"/>
  <c r="B9" i="27"/>
  <c r="CY50" i="25" s="1"/>
  <c r="B7" i="27"/>
  <c r="B238" i="27"/>
  <c r="B153" i="27"/>
  <c r="B236" i="27"/>
  <c r="CY32" i="25" s="1"/>
  <c r="E27" i="27"/>
  <c r="B195" i="27"/>
  <c r="B111" i="27"/>
  <c r="B77" i="27"/>
  <c r="B27" i="27"/>
  <c r="B8" i="27"/>
  <c r="E26" i="27"/>
  <c r="B278" i="27"/>
  <c r="CY57" i="25" s="1"/>
  <c r="B194" i="27"/>
  <c r="B110" i="27"/>
  <c r="B93" i="27"/>
  <c r="B76" i="27"/>
  <c r="B26" i="27"/>
  <c r="B322" i="27"/>
  <c r="B69" i="27"/>
  <c r="B34" i="27"/>
  <c r="B92" i="27"/>
  <c r="B75" i="27"/>
  <c r="B6" i="27"/>
  <c r="B203" i="27"/>
  <c r="B152" i="27"/>
  <c r="B259" i="27"/>
  <c r="B175" i="27"/>
  <c r="B91" i="27"/>
  <c r="B74" i="27"/>
  <c r="B5" i="27"/>
  <c r="B38" i="27"/>
  <c r="B321" i="27"/>
  <c r="E6" i="27"/>
  <c r="CY92" i="25" s="1"/>
  <c r="B258" i="27"/>
  <c r="B174" i="27"/>
  <c r="B157" i="27"/>
  <c r="B90" i="27"/>
  <c r="B73" i="27"/>
  <c r="B68" i="27"/>
  <c r="E5" i="27"/>
  <c r="CY91" i="25" s="1"/>
  <c r="B257" i="27"/>
  <c r="B240" i="27"/>
  <c r="B173" i="27"/>
  <c r="B156" i="27"/>
  <c r="B89" i="27"/>
  <c r="B72" i="27"/>
  <c r="CY85" i="25" s="1"/>
  <c r="B154" i="27"/>
  <c r="B219" i="27"/>
  <c r="B323" i="27"/>
  <c r="B239" i="27"/>
  <c r="B155" i="27"/>
  <c r="B71" i="27"/>
  <c r="CY36" i="25" s="1"/>
  <c r="B37" i="27"/>
  <c r="B12" i="27"/>
  <c r="B11" i="27"/>
  <c r="CY86" i="25" l="1"/>
  <c r="CY101" i="25"/>
  <c r="CY21" i="25"/>
  <c r="CY79" i="25"/>
  <c r="CY61" i="25"/>
  <c r="CY31" i="25"/>
  <c r="CY28" i="25"/>
  <c r="CY89" i="25"/>
  <c r="CY76" i="25"/>
  <c r="CY12" i="25"/>
  <c r="CY13" i="25"/>
  <c r="CY9" i="25"/>
  <c r="CY59" i="25"/>
  <c r="CY44" i="25"/>
  <c r="CY55" i="25"/>
  <c r="CY10" i="25"/>
  <c r="CY83" i="25"/>
  <c r="CY65" i="25"/>
  <c r="CY58" i="25"/>
  <c r="CY43" i="25"/>
  <c r="CY71" i="25"/>
  <c r="CY30" i="25"/>
  <c r="CY99" i="25"/>
  <c r="CY40" i="25"/>
  <c r="CY46" i="25"/>
  <c r="CY102" i="25"/>
  <c r="CY95" i="25"/>
  <c r="CY35" i="25"/>
  <c r="CY80" i="25"/>
  <c r="CY67" i="25"/>
  <c r="CY41" i="25"/>
  <c r="CY103" i="25"/>
  <c r="CY47" i="25"/>
  <c r="CY66" i="25"/>
  <c r="CY68" i="25"/>
  <c r="CY87" i="25"/>
  <c r="CY23" i="25"/>
  <c r="CY34" i="25"/>
  <c r="CY24" i="25"/>
  <c r="CY97" i="25"/>
  <c r="CY62" i="25"/>
  <c r="CY98" i="25"/>
  <c r="CY56" i="25"/>
  <c r="CY77" i="25"/>
  <c r="CY78" i="25"/>
  <c r="CY53" i="25"/>
  <c r="CY37" i="25"/>
  <c r="CY84" i="25"/>
  <c r="CY70" i="25"/>
  <c r="CY72" i="25"/>
  <c r="CY73" i="25"/>
  <c r="CY49" i="25"/>
  <c r="CY48" i="25"/>
  <c r="CY33" i="25"/>
  <c r="CY54" i="25"/>
  <c r="CY14" i="25"/>
  <c r="CY29" i="25"/>
  <c r="CY42" i="25"/>
  <c r="CY5" i="25"/>
  <c r="CY7" i="25"/>
  <c r="CY81" i="25"/>
  <c r="CY6" i="25"/>
  <c r="CY69" i="25"/>
  <c r="CY75" i="25"/>
  <c r="CY38" i="25"/>
  <c r="CY51" i="25"/>
  <c r="CY19" i="25"/>
  <c r="B88" i="27"/>
  <c r="CY39" i="25"/>
  <c r="B214" i="27"/>
  <c r="CY63" i="25"/>
  <c r="B277" i="27"/>
  <c r="CY4" i="25"/>
  <c r="B25" i="27"/>
  <c r="E4" i="27"/>
  <c r="CY27" i="25"/>
  <c r="B151" i="27"/>
  <c r="CY26" i="25"/>
  <c r="B109" i="27"/>
  <c r="CY96" i="25"/>
  <c r="E46" i="27"/>
  <c r="CY100" i="25"/>
  <c r="E25" i="27"/>
  <c r="CY82" i="25"/>
  <c r="B130" i="27"/>
  <c r="CY22" i="25"/>
  <c r="B4" i="27"/>
  <c r="CY25" i="25"/>
  <c r="B172" i="27"/>
  <c r="CY45" i="25"/>
  <c r="B235" i="27"/>
  <c r="CY18" i="25"/>
  <c r="B193" i="27"/>
  <c r="CY88" i="25"/>
  <c r="B319" i="27"/>
  <c r="CY52" i="25"/>
  <c r="B256" i="27"/>
  <c r="CY64" i="25"/>
  <c r="B298" i="27"/>
  <c r="CY11" i="25"/>
  <c r="B67" i="27"/>
  <c r="CY8" i="25"/>
  <c r="B46" i="27"/>
  <c r="AM16" i="2"/>
  <c r="AN16" i="2" s="1"/>
  <c r="B2" i="27" l="1"/>
  <c r="B3" i="2" s="1"/>
  <c r="E2" i="27"/>
  <c r="AM13" i="2"/>
  <c r="H2" i="27" l="1"/>
  <c r="B4" i="2"/>
  <c r="AL13" i="2"/>
  <c r="AM7" i="2" l="1"/>
  <c r="AH3" i="2"/>
  <c r="AM9" i="2" l="1"/>
  <c r="AN9" i="2" s="1"/>
  <c r="P139" i="2" l="1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AM14" i="2" l="1"/>
  <c r="AM19" i="2" l="1"/>
  <c r="AM15" i="2"/>
  <c r="AN15" i="2" s="1"/>
  <c r="AP21" i="2" l="1"/>
  <c r="AM21" i="2" l="1"/>
  <c r="AN21" i="2" l="1"/>
  <c r="AM10" i="2" l="1"/>
  <c r="AN10" i="2" s="1"/>
  <c r="AN7" i="2" l="1"/>
  <c r="AN19" i="2"/>
  <c r="AM6" i="2"/>
  <c r="AN6" i="2" s="1"/>
  <c r="AI3" i="2" l="1"/>
  <c r="AF3" i="2"/>
  <c r="AM23" i="2" l="1"/>
  <c r="AM22" i="2" l="1"/>
  <c r="AN22" i="2" s="1"/>
  <c r="AN23" i="2"/>
  <c r="AM11" i="2" l="1"/>
  <c r="AN11" i="2" s="1"/>
  <c r="AN14" i="2"/>
  <c r="AN13" i="2"/>
  <c r="AM8" i="2"/>
  <c r="AN8" i="2" s="1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P10" i="2" l="1"/>
  <c r="CX59" i="25"/>
  <c r="CX58" i="25"/>
  <c r="CX46" i="25"/>
  <c r="CX45" i="25"/>
  <c r="CX35" i="25"/>
  <c r="CX34" i="25"/>
  <c r="CX13" i="25"/>
  <c r="CX12" i="25"/>
  <c r="CZ1" i="25" l="1"/>
  <c r="CY1" i="25"/>
  <c r="CX1" i="25"/>
  <c r="F1499" i="2" l="1"/>
  <c r="N1499" i="2" s="1"/>
  <c r="F1498" i="2"/>
  <c r="N1498" i="2" s="1"/>
  <c r="F1497" i="2"/>
  <c r="N1497" i="2" s="1"/>
  <c r="F1496" i="2"/>
  <c r="N1496" i="2" s="1"/>
  <c r="F1495" i="2"/>
  <c r="N1495" i="2" s="1"/>
  <c r="F1494" i="2"/>
  <c r="N1494" i="2" s="1"/>
  <c r="F1493" i="2"/>
  <c r="N1493" i="2" s="1"/>
  <c r="F1492" i="2"/>
  <c r="N1492" i="2" s="1"/>
  <c r="F1491" i="2"/>
  <c r="N1491" i="2" s="1"/>
  <c r="F1490" i="2"/>
  <c r="N1490" i="2" s="1"/>
  <c r="F1489" i="2"/>
  <c r="N1489" i="2" s="1"/>
  <c r="F1488" i="2"/>
  <c r="N1488" i="2" s="1"/>
  <c r="F1487" i="2"/>
  <c r="N1487" i="2" s="1"/>
  <c r="F1486" i="2"/>
  <c r="N1486" i="2" s="1"/>
  <c r="F1485" i="2"/>
  <c r="N1485" i="2" s="1"/>
  <c r="F1484" i="2"/>
  <c r="N1484" i="2" s="1"/>
  <c r="F1483" i="2"/>
  <c r="N1483" i="2" s="1"/>
  <c r="F1482" i="2"/>
  <c r="N1482" i="2" s="1"/>
  <c r="F1481" i="2"/>
  <c r="N1481" i="2" s="1"/>
  <c r="F1480" i="2"/>
  <c r="N1480" i="2" s="1"/>
  <c r="F1479" i="2"/>
  <c r="N1479" i="2" s="1"/>
  <c r="F1478" i="2"/>
  <c r="N1478" i="2" s="1"/>
  <c r="F1477" i="2"/>
  <c r="N1477" i="2" s="1"/>
  <c r="F1476" i="2"/>
  <c r="N1476" i="2" s="1"/>
  <c r="F1475" i="2"/>
  <c r="N1475" i="2" s="1"/>
  <c r="F1474" i="2"/>
  <c r="N1474" i="2" s="1"/>
  <c r="F1473" i="2"/>
  <c r="N1473" i="2" s="1"/>
  <c r="F1472" i="2"/>
  <c r="N1472" i="2" s="1"/>
  <c r="F1471" i="2"/>
  <c r="N1471" i="2" s="1"/>
  <c r="F1470" i="2"/>
  <c r="N1470" i="2" s="1"/>
  <c r="F1469" i="2"/>
  <c r="N1469" i="2" s="1"/>
  <c r="F1468" i="2"/>
  <c r="N1468" i="2" s="1"/>
  <c r="F1467" i="2"/>
  <c r="N1467" i="2" s="1"/>
  <c r="F1466" i="2"/>
  <c r="N1466" i="2" s="1"/>
  <c r="F1465" i="2"/>
  <c r="N1465" i="2" s="1"/>
  <c r="F1464" i="2"/>
  <c r="N1464" i="2" s="1"/>
  <c r="F1463" i="2"/>
  <c r="N1463" i="2" s="1"/>
  <c r="F1462" i="2"/>
  <c r="N1462" i="2" s="1"/>
  <c r="F1461" i="2"/>
  <c r="N1461" i="2" s="1"/>
  <c r="F1460" i="2"/>
  <c r="N1460" i="2" s="1"/>
  <c r="F1459" i="2"/>
  <c r="N1459" i="2" s="1"/>
  <c r="F1458" i="2"/>
  <c r="N1458" i="2" s="1"/>
  <c r="F1457" i="2"/>
  <c r="N1457" i="2" s="1"/>
  <c r="F1456" i="2"/>
  <c r="N1456" i="2" s="1"/>
  <c r="F1455" i="2"/>
  <c r="N1455" i="2" s="1"/>
  <c r="F1454" i="2"/>
  <c r="N1454" i="2" s="1"/>
  <c r="F1453" i="2"/>
  <c r="N1453" i="2" s="1"/>
  <c r="F1452" i="2"/>
  <c r="N1452" i="2" s="1"/>
  <c r="F1451" i="2"/>
  <c r="N1451" i="2" s="1"/>
  <c r="F1450" i="2"/>
  <c r="N1450" i="2" s="1"/>
  <c r="F1449" i="2"/>
  <c r="N1449" i="2" s="1"/>
  <c r="F1448" i="2"/>
  <c r="N1448" i="2" s="1"/>
  <c r="F1447" i="2"/>
  <c r="N1447" i="2" s="1"/>
  <c r="F1446" i="2"/>
  <c r="N1446" i="2" s="1"/>
  <c r="F1445" i="2"/>
  <c r="N1445" i="2" s="1"/>
  <c r="F1444" i="2"/>
  <c r="N1444" i="2" s="1"/>
  <c r="F1443" i="2"/>
  <c r="N1443" i="2" s="1"/>
  <c r="F1442" i="2"/>
  <c r="N1442" i="2" s="1"/>
  <c r="F1441" i="2"/>
  <c r="N1441" i="2" s="1"/>
  <c r="F1440" i="2"/>
  <c r="N1440" i="2" s="1"/>
  <c r="F1439" i="2"/>
  <c r="N1439" i="2" s="1"/>
  <c r="F1438" i="2"/>
  <c r="N1438" i="2" s="1"/>
  <c r="F1437" i="2"/>
  <c r="N1437" i="2" s="1"/>
  <c r="F1436" i="2"/>
  <c r="N1436" i="2" s="1"/>
  <c r="F1435" i="2"/>
  <c r="N1435" i="2" s="1"/>
  <c r="F1434" i="2"/>
  <c r="N1434" i="2" s="1"/>
  <c r="F1433" i="2"/>
  <c r="N1433" i="2" s="1"/>
  <c r="F1432" i="2"/>
  <c r="N1432" i="2" s="1"/>
  <c r="F1431" i="2"/>
  <c r="N1431" i="2" s="1"/>
  <c r="F1430" i="2"/>
  <c r="N1430" i="2" s="1"/>
  <c r="F1429" i="2"/>
  <c r="N1429" i="2" s="1"/>
  <c r="F1428" i="2"/>
  <c r="N1428" i="2" s="1"/>
  <c r="F1427" i="2"/>
  <c r="N1427" i="2" s="1"/>
  <c r="F1426" i="2"/>
  <c r="N1426" i="2" s="1"/>
  <c r="F1425" i="2"/>
  <c r="N1425" i="2" s="1"/>
  <c r="F1424" i="2"/>
  <c r="N1424" i="2" s="1"/>
  <c r="F1423" i="2"/>
  <c r="N1423" i="2" s="1"/>
  <c r="F1422" i="2"/>
  <c r="N1422" i="2" s="1"/>
  <c r="F1421" i="2"/>
  <c r="N1421" i="2" s="1"/>
  <c r="F1420" i="2"/>
  <c r="N1420" i="2" s="1"/>
  <c r="F1419" i="2"/>
  <c r="N1419" i="2" s="1"/>
  <c r="F1418" i="2"/>
  <c r="N1418" i="2" s="1"/>
  <c r="F1417" i="2"/>
  <c r="N1417" i="2" s="1"/>
  <c r="F1416" i="2"/>
  <c r="N1416" i="2" s="1"/>
  <c r="F1415" i="2"/>
  <c r="N1415" i="2" s="1"/>
  <c r="F1414" i="2"/>
  <c r="N1414" i="2" s="1"/>
  <c r="F1413" i="2"/>
  <c r="N1413" i="2" s="1"/>
  <c r="F1412" i="2"/>
  <c r="N1412" i="2" s="1"/>
  <c r="F1411" i="2"/>
  <c r="N1411" i="2" s="1"/>
  <c r="F1410" i="2"/>
  <c r="N1410" i="2" s="1"/>
  <c r="F1409" i="2"/>
  <c r="N1409" i="2" s="1"/>
  <c r="F1408" i="2"/>
  <c r="N1408" i="2" s="1"/>
  <c r="F1407" i="2"/>
  <c r="N1407" i="2" s="1"/>
  <c r="F1406" i="2"/>
  <c r="N1406" i="2" s="1"/>
  <c r="F1405" i="2"/>
  <c r="N1405" i="2" s="1"/>
  <c r="F1404" i="2"/>
  <c r="N1404" i="2" s="1"/>
  <c r="F1403" i="2"/>
  <c r="N1403" i="2" s="1"/>
  <c r="F1402" i="2"/>
  <c r="N1402" i="2" s="1"/>
  <c r="F1401" i="2"/>
  <c r="N1401" i="2" s="1"/>
  <c r="F1400" i="2"/>
  <c r="N1400" i="2" s="1"/>
  <c r="F1399" i="2"/>
  <c r="N1399" i="2" s="1"/>
  <c r="F1398" i="2"/>
  <c r="N1398" i="2" s="1"/>
  <c r="F1397" i="2"/>
  <c r="N1397" i="2" s="1"/>
  <c r="F1396" i="2"/>
  <c r="N1396" i="2" s="1"/>
  <c r="F1395" i="2"/>
  <c r="N1395" i="2" s="1"/>
  <c r="F1394" i="2"/>
  <c r="N1394" i="2" s="1"/>
  <c r="F1393" i="2"/>
  <c r="N1393" i="2" s="1"/>
  <c r="F1392" i="2"/>
  <c r="N1392" i="2" s="1"/>
  <c r="F1391" i="2"/>
  <c r="N1391" i="2" s="1"/>
  <c r="F1390" i="2"/>
  <c r="N1390" i="2" s="1"/>
  <c r="F1389" i="2"/>
  <c r="N1389" i="2" s="1"/>
  <c r="F1388" i="2"/>
  <c r="N1388" i="2" s="1"/>
  <c r="F1387" i="2"/>
  <c r="N1387" i="2" s="1"/>
  <c r="F1386" i="2"/>
  <c r="N1386" i="2" s="1"/>
  <c r="F1385" i="2"/>
  <c r="N1385" i="2" s="1"/>
  <c r="F1384" i="2"/>
  <c r="N1384" i="2" s="1"/>
  <c r="F1383" i="2"/>
  <c r="N1383" i="2" s="1"/>
  <c r="F1382" i="2"/>
  <c r="N1382" i="2" s="1"/>
  <c r="F1381" i="2"/>
  <c r="N1381" i="2" s="1"/>
  <c r="F1380" i="2"/>
  <c r="N1380" i="2" s="1"/>
  <c r="F1379" i="2"/>
  <c r="N1379" i="2" s="1"/>
  <c r="F1378" i="2"/>
  <c r="N1378" i="2" s="1"/>
  <c r="F1377" i="2"/>
  <c r="N1377" i="2" s="1"/>
  <c r="F1376" i="2"/>
  <c r="N1376" i="2" s="1"/>
  <c r="F1375" i="2"/>
  <c r="N1375" i="2" s="1"/>
  <c r="F1374" i="2"/>
  <c r="N1374" i="2" s="1"/>
  <c r="F1373" i="2"/>
  <c r="N1373" i="2" s="1"/>
  <c r="F1372" i="2"/>
  <c r="N1372" i="2" s="1"/>
  <c r="F1371" i="2"/>
  <c r="N1371" i="2" s="1"/>
  <c r="F1370" i="2"/>
  <c r="N1370" i="2" s="1"/>
  <c r="F1369" i="2"/>
  <c r="N1369" i="2" s="1"/>
  <c r="F1368" i="2"/>
  <c r="N1368" i="2" s="1"/>
  <c r="F1367" i="2"/>
  <c r="N1367" i="2" s="1"/>
  <c r="F1366" i="2"/>
  <c r="N1366" i="2" s="1"/>
  <c r="F1365" i="2"/>
  <c r="N1365" i="2" s="1"/>
  <c r="F1364" i="2"/>
  <c r="N1364" i="2" s="1"/>
  <c r="F1363" i="2"/>
  <c r="N1363" i="2" s="1"/>
  <c r="F1362" i="2"/>
  <c r="N1362" i="2" s="1"/>
  <c r="F1361" i="2"/>
  <c r="N1361" i="2" s="1"/>
  <c r="F1360" i="2"/>
  <c r="N1360" i="2" s="1"/>
  <c r="F1359" i="2"/>
  <c r="N1359" i="2" s="1"/>
  <c r="F1358" i="2"/>
  <c r="N1358" i="2" s="1"/>
  <c r="F1357" i="2"/>
  <c r="N1357" i="2" s="1"/>
  <c r="F1356" i="2"/>
  <c r="N1356" i="2" s="1"/>
  <c r="F1355" i="2"/>
  <c r="N1355" i="2" s="1"/>
  <c r="F1354" i="2"/>
  <c r="N1354" i="2" s="1"/>
  <c r="F1353" i="2"/>
  <c r="N1353" i="2" s="1"/>
  <c r="F1352" i="2"/>
  <c r="N1352" i="2" s="1"/>
  <c r="F1351" i="2"/>
  <c r="N1351" i="2" s="1"/>
  <c r="F1350" i="2"/>
  <c r="N1350" i="2" s="1"/>
  <c r="F1349" i="2"/>
  <c r="N1349" i="2" s="1"/>
  <c r="F1348" i="2"/>
  <c r="N1348" i="2" s="1"/>
  <c r="F1347" i="2"/>
  <c r="N1347" i="2" s="1"/>
  <c r="F1346" i="2"/>
  <c r="N1346" i="2" s="1"/>
  <c r="F1345" i="2"/>
  <c r="N1345" i="2" s="1"/>
  <c r="F1344" i="2"/>
  <c r="N1344" i="2" s="1"/>
  <c r="F1343" i="2"/>
  <c r="N1343" i="2" s="1"/>
  <c r="F1342" i="2"/>
  <c r="N1342" i="2" s="1"/>
  <c r="F1341" i="2"/>
  <c r="N1341" i="2" s="1"/>
  <c r="F1340" i="2"/>
  <c r="N1340" i="2" s="1"/>
  <c r="F1339" i="2"/>
  <c r="N1339" i="2" s="1"/>
  <c r="F1338" i="2"/>
  <c r="N1338" i="2" s="1"/>
  <c r="F1337" i="2"/>
  <c r="N1337" i="2" s="1"/>
  <c r="F1336" i="2"/>
  <c r="N1336" i="2" s="1"/>
  <c r="F1335" i="2"/>
  <c r="N1335" i="2" s="1"/>
  <c r="F1334" i="2"/>
  <c r="N1334" i="2" s="1"/>
  <c r="F1333" i="2"/>
  <c r="N1333" i="2" s="1"/>
  <c r="F1332" i="2"/>
  <c r="N1332" i="2" s="1"/>
  <c r="F1331" i="2"/>
  <c r="N1331" i="2" s="1"/>
  <c r="F1330" i="2"/>
  <c r="N1330" i="2" s="1"/>
  <c r="F1329" i="2"/>
  <c r="N1329" i="2" s="1"/>
  <c r="F1328" i="2"/>
  <c r="N1328" i="2" s="1"/>
  <c r="F1327" i="2"/>
  <c r="N1327" i="2" s="1"/>
  <c r="F1326" i="2"/>
  <c r="N1326" i="2" s="1"/>
  <c r="F1325" i="2"/>
  <c r="N1325" i="2" s="1"/>
  <c r="F1324" i="2"/>
  <c r="N1324" i="2" s="1"/>
  <c r="F1323" i="2"/>
  <c r="N1323" i="2" s="1"/>
  <c r="F1322" i="2"/>
  <c r="N1322" i="2" s="1"/>
  <c r="F1321" i="2"/>
  <c r="N1321" i="2" s="1"/>
  <c r="F1320" i="2"/>
  <c r="N1320" i="2" s="1"/>
  <c r="F1319" i="2"/>
  <c r="N1319" i="2" s="1"/>
  <c r="F1318" i="2"/>
  <c r="N1318" i="2" s="1"/>
  <c r="F1317" i="2"/>
  <c r="N1317" i="2" s="1"/>
  <c r="F1316" i="2"/>
  <c r="N1316" i="2" s="1"/>
  <c r="F1315" i="2"/>
  <c r="N1315" i="2" s="1"/>
  <c r="F1314" i="2"/>
  <c r="N1314" i="2" s="1"/>
  <c r="F1313" i="2"/>
  <c r="N1313" i="2" s="1"/>
  <c r="F1312" i="2"/>
  <c r="N1312" i="2" s="1"/>
  <c r="F1311" i="2"/>
  <c r="N1311" i="2" s="1"/>
  <c r="F1310" i="2"/>
  <c r="N1310" i="2" s="1"/>
  <c r="F1309" i="2"/>
  <c r="N1309" i="2" s="1"/>
  <c r="F1308" i="2"/>
  <c r="N1308" i="2" s="1"/>
  <c r="F1307" i="2"/>
  <c r="N1307" i="2" s="1"/>
  <c r="F1306" i="2"/>
  <c r="N1306" i="2" s="1"/>
  <c r="F1305" i="2"/>
  <c r="N1305" i="2" s="1"/>
  <c r="F1304" i="2"/>
  <c r="N1304" i="2" s="1"/>
  <c r="F1303" i="2"/>
  <c r="N1303" i="2" s="1"/>
  <c r="F1302" i="2"/>
  <c r="N1302" i="2" s="1"/>
  <c r="F1301" i="2"/>
  <c r="N1301" i="2" s="1"/>
  <c r="F1300" i="2"/>
  <c r="N1300" i="2" s="1"/>
  <c r="F1299" i="2"/>
  <c r="N1299" i="2" s="1"/>
  <c r="F1298" i="2"/>
  <c r="N1298" i="2" s="1"/>
  <c r="F1297" i="2"/>
  <c r="N1297" i="2" s="1"/>
  <c r="F1296" i="2"/>
  <c r="N1296" i="2" s="1"/>
  <c r="F1295" i="2"/>
  <c r="N1295" i="2" s="1"/>
  <c r="F1294" i="2"/>
  <c r="N1294" i="2" s="1"/>
  <c r="F1293" i="2"/>
  <c r="N1293" i="2" s="1"/>
  <c r="F1292" i="2"/>
  <c r="N1292" i="2" s="1"/>
  <c r="F1291" i="2"/>
  <c r="N1291" i="2" s="1"/>
  <c r="F1290" i="2"/>
  <c r="N1290" i="2" s="1"/>
  <c r="F1289" i="2"/>
  <c r="N1289" i="2" s="1"/>
  <c r="F1288" i="2"/>
  <c r="N1288" i="2" s="1"/>
  <c r="F1287" i="2"/>
  <c r="N1287" i="2" s="1"/>
  <c r="F1286" i="2"/>
  <c r="N1286" i="2" s="1"/>
  <c r="F1285" i="2"/>
  <c r="N1285" i="2" s="1"/>
  <c r="F1284" i="2"/>
  <c r="N1284" i="2" s="1"/>
  <c r="F1283" i="2"/>
  <c r="N1283" i="2" s="1"/>
  <c r="F1282" i="2"/>
  <c r="N1282" i="2" s="1"/>
  <c r="F1281" i="2"/>
  <c r="N1281" i="2" s="1"/>
  <c r="F1280" i="2"/>
  <c r="N1280" i="2" s="1"/>
  <c r="F1279" i="2"/>
  <c r="N1279" i="2" s="1"/>
  <c r="F1278" i="2"/>
  <c r="N1278" i="2" s="1"/>
  <c r="F1277" i="2"/>
  <c r="N1277" i="2" s="1"/>
  <c r="F1276" i="2"/>
  <c r="N1276" i="2" s="1"/>
  <c r="F1275" i="2"/>
  <c r="N1275" i="2" s="1"/>
  <c r="F1274" i="2"/>
  <c r="N1274" i="2" s="1"/>
  <c r="F1273" i="2"/>
  <c r="N1273" i="2" s="1"/>
  <c r="F1272" i="2"/>
  <c r="N1272" i="2" s="1"/>
  <c r="F1271" i="2"/>
  <c r="N1271" i="2" s="1"/>
  <c r="F1270" i="2"/>
  <c r="N1270" i="2" s="1"/>
  <c r="F1269" i="2"/>
  <c r="N1269" i="2" s="1"/>
  <c r="F1268" i="2"/>
  <c r="N1268" i="2" s="1"/>
  <c r="F1267" i="2"/>
  <c r="N1267" i="2" s="1"/>
  <c r="F1266" i="2"/>
  <c r="N1266" i="2" s="1"/>
  <c r="F1265" i="2"/>
  <c r="N1265" i="2" s="1"/>
  <c r="F1264" i="2"/>
  <c r="N1264" i="2" s="1"/>
  <c r="F1263" i="2"/>
  <c r="N1263" i="2" s="1"/>
  <c r="F1262" i="2"/>
  <c r="N1262" i="2" s="1"/>
  <c r="F1261" i="2"/>
  <c r="N1261" i="2" s="1"/>
  <c r="F1260" i="2"/>
  <c r="N1260" i="2" s="1"/>
  <c r="F1259" i="2"/>
  <c r="N1259" i="2" s="1"/>
  <c r="F1258" i="2"/>
  <c r="N1258" i="2" s="1"/>
  <c r="F1257" i="2"/>
  <c r="N1257" i="2" s="1"/>
  <c r="F1256" i="2"/>
  <c r="N1256" i="2" s="1"/>
  <c r="F1255" i="2"/>
  <c r="N1255" i="2" s="1"/>
  <c r="F1254" i="2"/>
  <c r="N1254" i="2" s="1"/>
  <c r="F1253" i="2"/>
  <c r="N1253" i="2" s="1"/>
  <c r="F1252" i="2"/>
  <c r="N1252" i="2" s="1"/>
  <c r="F1251" i="2"/>
  <c r="N1251" i="2" s="1"/>
  <c r="F1250" i="2"/>
  <c r="N1250" i="2" s="1"/>
  <c r="F1249" i="2"/>
  <c r="N1249" i="2" s="1"/>
  <c r="F1248" i="2"/>
  <c r="N1248" i="2" s="1"/>
  <c r="F1247" i="2"/>
  <c r="N1247" i="2" s="1"/>
  <c r="F1246" i="2"/>
  <c r="N1246" i="2" s="1"/>
  <c r="F1245" i="2"/>
  <c r="N1245" i="2" s="1"/>
  <c r="F1244" i="2"/>
  <c r="N1244" i="2" s="1"/>
  <c r="F1243" i="2"/>
  <c r="N1243" i="2" s="1"/>
  <c r="F1242" i="2"/>
  <c r="N1242" i="2" s="1"/>
  <c r="F1241" i="2"/>
  <c r="N1241" i="2" s="1"/>
  <c r="F1240" i="2"/>
  <c r="N1240" i="2" s="1"/>
  <c r="F1239" i="2"/>
  <c r="N1239" i="2" s="1"/>
  <c r="F1238" i="2"/>
  <c r="N1238" i="2" s="1"/>
  <c r="F1237" i="2"/>
  <c r="N1237" i="2" s="1"/>
  <c r="F1236" i="2"/>
  <c r="N1236" i="2" s="1"/>
  <c r="F1235" i="2"/>
  <c r="N1235" i="2" s="1"/>
  <c r="F1234" i="2"/>
  <c r="N1234" i="2" s="1"/>
  <c r="F1233" i="2"/>
  <c r="N1233" i="2" s="1"/>
  <c r="F1232" i="2"/>
  <c r="N1232" i="2" s="1"/>
  <c r="F1231" i="2"/>
  <c r="N1231" i="2" s="1"/>
  <c r="F1230" i="2"/>
  <c r="N1230" i="2" s="1"/>
  <c r="F1229" i="2"/>
  <c r="N1229" i="2" s="1"/>
  <c r="F1228" i="2"/>
  <c r="N1228" i="2" s="1"/>
  <c r="F1227" i="2"/>
  <c r="N1227" i="2" s="1"/>
  <c r="F1226" i="2"/>
  <c r="N1226" i="2" s="1"/>
  <c r="F1225" i="2"/>
  <c r="N1225" i="2" s="1"/>
  <c r="F1224" i="2"/>
  <c r="N1224" i="2" s="1"/>
  <c r="F1223" i="2"/>
  <c r="N1223" i="2" s="1"/>
  <c r="F1222" i="2"/>
  <c r="N1222" i="2" s="1"/>
  <c r="F1221" i="2"/>
  <c r="N1221" i="2" s="1"/>
  <c r="F1220" i="2"/>
  <c r="N1220" i="2" s="1"/>
  <c r="F1219" i="2"/>
  <c r="N1219" i="2" s="1"/>
  <c r="F1218" i="2"/>
  <c r="N1218" i="2" s="1"/>
  <c r="F1217" i="2"/>
  <c r="N1217" i="2" s="1"/>
  <c r="F1216" i="2"/>
  <c r="N1216" i="2" s="1"/>
  <c r="F1215" i="2"/>
  <c r="N1215" i="2" s="1"/>
  <c r="F1214" i="2"/>
  <c r="N1214" i="2" s="1"/>
  <c r="F1213" i="2"/>
  <c r="N1213" i="2" s="1"/>
  <c r="F1212" i="2"/>
  <c r="N1212" i="2" s="1"/>
  <c r="F1211" i="2"/>
  <c r="N1211" i="2" s="1"/>
  <c r="F1210" i="2"/>
  <c r="N1210" i="2" s="1"/>
  <c r="F1209" i="2"/>
  <c r="N1209" i="2" s="1"/>
  <c r="F1208" i="2"/>
  <c r="N1208" i="2" s="1"/>
  <c r="F1207" i="2"/>
  <c r="N1207" i="2" s="1"/>
  <c r="F1206" i="2"/>
  <c r="N1206" i="2" s="1"/>
  <c r="F1205" i="2"/>
  <c r="N1205" i="2" s="1"/>
  <c r="F1204" i="2"/>
  <c r="N1204" i="2" s="1"/>
  <c r="F1203" i="2"/>
  <c r="N1203" i="2" s="1"/>
  <c r="F1202" i="2"/>
  <c r="N1202" i="2" s="1"/>
  <c r="F1201" i="2"/>
  <c r="N1201" i="2" s="1"/>
  <c r="F1200" i="2"/>
  <c r="N1200" i="2" s="1"/>
  <c r="F1199" i="2"/>
  <c r="N1199" i="2" s="1"/>
  <c r="F1198" i="2"/>
  <c r="N1198" i="2" s="1"/>
  <c r="F1197" i="2"/>
  <c r="N1197" i="2" s="1"/>
  <c r="F1196" i="2"/>
  <c r="N1196" i="2" s="1"/>
  <c r="F1195" i="2"/>
  <c r="N1195" i="2" s="1"/>
  <c r="F1194" i="2"/>
  <c r="N1194" i="2" s="1"/>
  <c r="F1193" i="2"/>
  <c r="N1193" i="2" s="1"/>
  <c r="F1192" i="2"/>
  <c r="N1192" i="2" s="1"/>
  <c r="F1191" i="2"/>
  <c r="N1191" i="2" s="1"/>
  <c r="F1190" i="2"/>
  <c r="N1190" i="2" s="1"/>
  <c r="F1189" i="2"/>
  <c r="N1189" i="2" s="1"/>
  <c r="F1188" i="2"/>
  <c r="N1188" i="2" s="1"/>
  <c r="F1187" i="2"/>
  <c r="N1187" i="2" s="1"/>
  <c r="F1186" i="2"/>
  <c r="N1186" i="2" s="1"/>
  <c r="F1185" i="2"/>
  <c r="N1185" i="2" s="1"/>
  <c r="F1184" i="2"/>
  <c r="N1184" i="2" s="1"/>
  <c r="F1183" i="2"/>
  <c r="N1183" i="2" s="1"/>
  <c r="F1182" i="2"/>
  <c r="N1182" i="2" s="1"/>
  <c r="F1181" i="2"/>
  <c r="N1181" i="2" s="1"/>
  <c r="F1180" i="2"/>
  <c r="N1180" i="2" s="1"/>
  <c r="F1179" i="2"/>
  <c r="N1179" i="2" s="1"/>
  <c r="F1178" i="2"/>
  <c r="N1178" i="2" s="1"/>
  <c r="F1177" i="2"/>
  <c r="N1177" i="2" s="1"/>
  <c r="F1176" i="2"/>
  <c r="N1176" i="2" s="1"/>
  <c r="F1175" i="2"/>
  <c r="N1175" i="2" s="1"/>
  <c r="F1174" i="2"/>
  <c r="N1174" i="2" s="1"/>
  <c r="F1173" i="2"/>
  <c r="N1173" i="2" s="1"/>
  <c r="F1172" i="2"/>
  <c r="N1172" i="2" s="1"/>
  <c r="F1171" i="2"/>
  <c r="N1171" i="2" s="1"/>
  <c r="F1170" i="2"/>
  <c r="N1170" i="2" s="1"/>
  <c r="F1169" i="2"/>
  <c r="N1169" i="2" s="1"/>
  <c r="F1168" i="2"/>
  <c r="N1168" i="2" s="1"/>
  <c r="F1167" i="2"/>
  <c r="N1167" i="2" s="1"/>
  <c r="F1166" i="2"/>
  <c r="N1166" i="2" s="1"/>
  <c r="F1165" i="2"/>
  <c r="N1165" i="2" s="1"/>
  <c r="F1164" i="2"/>
  <c r="N1164" i="2" s="1"/>
  <c r="F1163" i="2"/>
  <c r="N1163" i="2" s="1"/>
  <c r="F1162" i="2"/>
  <c r="N1162" i="2" s="1"/>
  <c r="F1161" i="2"/>
  <c r="N1161" i="2" s="1"/>
  <c r="F1160" i="2"/>
  <c r="N1160" i="2" s="1"/>
  <c r="F1159" i="2"/>
  <c r="N1159" i="2" s="1"/>
  <c r="F1158" i="2"/>
  <c r="N1158" i="2" s="1"/>
  <c r="F1157" i="2"/>
  <c r="N1157" i="2" s="1"/>
  <c r="F1156" i="2"/>
  <c r="N1156" i="2" s="1"/>
  <c r="F1155" i="2"/>
  <c r="N1155" i="2" s="1"/>
  <c r="F1154" i="2"/>
  <c r="N1154" i="2" s="1"/>
  <c r="F1153" i="2"/>
  <c r="N1153" i="2" s="1"/>
  <c r="F1152" i="2"/>
  <c r="N1152" i="2" s="1"/>
  <c r="F1151" i="2"/>
  <c r="N1151" i="2" s="1"/>
  <c r="F1150" i="2"/>
  <c r="N1150" i="2" s="1"/>
  <c r="F1149" i="2"/>
  <c r="N1149" i="2" s="1"/>
  <c r="F1148" i="2"/>
  <c r="N1148" i="2" s="1"/>
  <c r="F1147" i="2"/>
  <c r="N1147" i="2" s="1"/>
  <c r="F1146" i="2"/>
  <c r="N1146" i="2" s="1"/>
  <c r="F1145" i="2"/>
  <c r="N1145" i="2" s="1"/>
  <c r="F1144" i="2"/>
  <c r="N1144" i="2" s="1"/>
  <c r="F1143" i="2"/>
  <c r="N1143" i="2" s="1"/>
  <c r="F1142" i="2"/>
  <c r="N1142" i="2" s="1"/>
  <c r="F1141" i="2"/>
  <c r="N1141" i="2" s="1"/>
  <c r="F1140" i="2"/>
  <c r="N1140" i="2" s="1"/>
  <c r="F1139" i="2"/>
  <c r="N1139" i="2" s="1"/>
  <c r="F1138" i="2"/>
  <c r="N1138" i="2" s="1"/>
  <c r="F1137" i="2"/>
  <c r="N1137" i="2" s="1"/>
  <c r="F1136" i="2"/>
  <c r="N1136" i="2" s="1"/>
  <c r="F1135" i="2"/>
  <c r="N1135" i="2" s="1"/>
  <c r="F1134" i="2"/>
  <c r="N1134" i="2" s="1"/>
  <c r="F1133" i="2"/>
  <c r="N1133" i="2" s="1"/>
  <c r="F1132" i="2"/>
  <c r="N1132" i="2" s="1"/>
  <c r="F1131" i="2"/>
  <c r="N1131" i="2" s="1"/>
  <c r="F1130" i="2"/>
  <c r="N1130" i="2" s="1"/>
  <c r="F1129" i="2"/>
  <c r="N1129" i="2" s="1"/>
  <c r="F1128" i="2"/>
  <c r="N1128" i="2" s="1"/>
  <c r="F1127" i="2"/>
  <c r="N1127" i="2" s="1"/>
  <c r="F1126" i="2"/>
  <c r="N1126" i="2" s="1"/>
  <c r="F1125" i="2"/>
  <c r="N1125" i="2" s="1"/>
  <c r="F1124" i="2"/>
  <c r="N1124" i="2" s="1"/>
  <c r="F1123" i="2"/>
  <c r="N1123" i="2" s="1"/>
  <c r="F1122" i="2"/>
  <c r="N1122" i="2" s="1"/>
  <c r="F1121" i="2"/>
  <c r="N1121" i="2" s="1"/>
  <c r="F1120" i="2"/>
  <c r="N1120" i="2" s="1"/>
  <c r="F1119" i="2"/>
  <c r="N1119" i="2" s="1"/>
  <c r="F1118" i="2"/>
  <c r="N1118" i="2" s="1"/>
  <c r="F1117" i="2"/>
  <c r="N1117" i="2" s="1"/>
  <c r="F1116" i="2"/>
  <c r="N1116" i="2" s="1"/>
  <c r="F1115" i="2"/>
  <c r="N1115" i="2" s="1"/>
  <c r="F1114" i="2"/>
  <c r="N1114" i="2" s="1"/>
  <c r="F1113" i="2"/>
  <c r="N1113" i="2" s="1"/>
  <c r="F1112" i="2"/>
  <c r="N1112" i="2" s="1"/>
  <c r="F1111" i="2"/>
  <c r="N1111" i="2" s="1"/>
  <c r="F1110" i="2"/>
  <c r="N1110" i="2" s="1"/>
  <c r="F1109" i="2"/>
  <c r="N1109" i="2" s="1"/>
  <c r="F1108" i="2"/>
  <c r="N1108" i="2" s="1"/>
  <c r="F1107" i="2"/>
  <c r="N1107" i="2" s="1"/>
  <c r="F1106" i="2"/>
  <c r="N1106" i="2" s="1"/>
  <c r="F1105" i="2"/>
  <c r="N1105" i="2" s="1"/>
  <c r="F1104" i="2"/>
  <c r="N1104" i="2" s="1"/>
  <c r="F1103" i="2"/>
  <c r="N1103" i="2" s="1"/>
  <c r="F1102" i="2"/>
  <c r="N1102" i="2" s="1"/>
  <c r="F1101" i="2"/>
  <c r="N1101" i="2" s="1"/>
  <c r="F1100" i="2"/>
  <c r="N1100" i="2" s="1"/>
  <c r="F1099" i="2"/>
  <c r="N1099" i="2" s="1"/>
  <c r="F1098" i="2"/>
  <c r="N1098" i="2" s="1"/>
  <c r="F1097" i="2"/>
  <c r="N1097" i="2" s="1"/>
  <c r="F1096" i="2"/>
  <c r="N1096" i="2" s="1"/>
  <c r="F1095" i="2"/>
  <c r="N1095" i="2" s="1"/>
  <c r="F1094" i="2"/>
  <c r="N1094" i="2" s="1"/>
  <c r="F1093" i="2"/>
  <c r="N1093" i="2" s="1"/>
  <c r="F1092" i="2"/>
  <c r="N1092" i="2" s="1"/>
  <c r="F1091" i="2"/>
  <c r="N1091" i="2" s="1"/>
  <c r="F1090" i="2"/>
  <c r="N1090" i="2" s="1"/>
  <c r="F1089" i="2"/>
  <c r="N1089" i="2" s="1"/>
  <c r="F1088" i="2"/>
  <c r="N1088" i="2" s="1"/>
  <c r="F1087" i="2"/>
  <c r="N1087" i="2" s="1"/>
  <c r="F1086" i="2"/>
  <c r="N1086" i="2" s="1"/>
  <c r="F1085" i="2"/>
  <c r="N1085" i="2" s="1"/>
  <c r="F1084" i="2"/>
  <c r="N1084" i="2" s="1"/>
  <c r="F1083" i="2"/>
  <c r="N1083" i="2" s="1"/>
  <c r="F1082" i="2"/>
  <c r="N1082" i="2" s="1"/>
  <c r="F1081" i="2"/>
  <c r="N1081" i="2" s="1"/>
  <c r="F1080" i="2"/>
  <c r="N1080" i="2" s="1"/>
  <c r="F1079" i="2"/>
  <c r="N1079" i="2" s="1"/>
  <c r="F1078" i="2"/>
  <c r="N1078" i="2" s="1"/>
  <c r="F1077" i="2"/>
  <c r="N1077" i="2" s="1"/>
  <c r="F1076" i="2"/>
  <c r="N1076" i="2" s="1"/>
  <c r="F1075" i="2"/>
  <c r="N1075" i="2" s="1"/>
  <c r="F1074" i="2"/>
  <c r="N1074" i="2" s="1"/>
  <c r="F1073" i="2"/>
  <c r="N1073" i="2" s="1"/>
  <c r="F1072" i="2"/>
  <c r="N1072" i="2" s="1"/>
  <c r="F1071" i="2"/>
  <c r="N1071" i="2" s="1"/>
  <c r="F1070" i="2"/>
  <c r="N1070" i="2" s="1"/>
  <c r="F1069" i="2"/>
  <c r="N1069" i="2" s="1"/>
  <c r="F1068" i="2"/>
  <c r="N1068" i="2" s="1"/>
  <c r="F1067" i="2"/>
  <c r="N1067" i="2" s="1"/>
  <c r="F1066" i="2"/>
  <c r="N1066" i="2" s="1"/>
  <c r="F1065" i="2"/>
  <c r="N1065" i="2" s="1"/>
  <c r="F1064" i="2"/>
  <c r="N1064" i="2" s="1"/>
  <c r="F1063" i="2"/>
  <c r="N1063" i="2" s="1"/>
  <c r="F1062" i="2"/>
  <c r="N1062" i="2" s="1"/>
  <c r="F1061" i="2"/>
  <c r="N1061" i="2" s="1"/>
  <c r="F1060" i="2"/>
  <c r="N1060" i="2" s="1"/>
  <c r="F1059" i="2"/>
  <c r="N1059" i="2" s="1"/>
  <c r="F1058" i="2"/>
  <c r="N1058" i="2" s="1"/>
  <c r="F1057" i="2"/>
  <c r="N1057" i="2" s="1"/>
  <c r="F1056" i="2"/>
  <c r="N1056" i="2" s="1"/>
  <c r="F1055" i="2"/>
  <c r="N1055" i="2" s="1"/>
  <c r="F1054" i="2"/>
  <c r="N1054" i="2" s="1"/>
  <c r="F1053" i="2"/>
  <c r="N1053" i="2" s="1"/>
  <c r="F1052" i="2"/>
  <c r="N1052" i="2" s="1"/>
  <c r="F1051" i="2"/>
  <c r="N1051" i="2" s="1"/>
  <c r="F1050" i="2"/>
  <c r="N1050" i="2" s="1"/>
  <c r="F1049" i="2"/>
  <c r="N1049" i="2" s="1"/>
  <c r="F1048" i="2"/>
  <c r="N1048" i="2" s="1"/>
  <c r="F1047" i="2"/>
  <c r="N1047" i="2" s="1"/>
  <c r="F1046" i="2"/>
  <c r="N1046" i="2" s="1"/>
  <c r="F1045" i="2"/>
  <c r="N1045" i="2" s="1"/>
  <c r="F1044" i="2"/>
  <c r="N1044" i="2" s="1"/>
  <c r="F1043" i="2"/>
  <c r="N1043" i="2" s="1"/>
  <c r="F1042" i="2"/>
  <c r="N1042" i="2" s="1"/>
  <c r="F1041" i="2"/>
  <c r="N1041" i="2" s="1"/>
  <c r="F1040" i="2"/>
  <c r="N1040" i="2" s="1"/>
  <c r="F1039" i="2"/>
  <c r="N1039" i="2" s="1"/>
  <c r="F1038" i="2"/>
  <c r="N1038" i="2" s="1"/>
  <c r="F1037" i="2"/>
  <c r="N1037" i="2" s="1"/>
  <c r="F1036" i="2"/>
  <c r="N1036" i="2" s="1"/>
  <c r="F1035" i="2"/>
  <c r="N1035" i="2" s="1"/>
  <c r="F1034" i="2"/>
  <c r="N1034" i="2" s="1"/>
  <c r="F1033" i="2"/>
  <c r="N1033" i="2" s="1"/>
  <c r="F1032" i="2"/>
  <c r="N1032" i="2" s="1"/>
  <c r="F1031" i="2"/>
  <c r="N1031" i="2" s="1"/>
  <c r="F1030" i="2"/>
  <c r="N1030" i="2" s="1"/>
  <c r="F1029" i="2"/>
  <c r="N1029" i="2" s="1"/>
  <c r="F1028" i="2"/>
  <c r="N1028" i="2" s="1"/>
  <c r="F1027" i="2"/>
  <c r="N1027" i="2" s="1"/>
  <c r="F1026" i="2"/>
  <c r="N1026" i="2" s="1"/>
  <c r="F1025" i="2"/>
  <c r="N1025" i="2" s="1"/>
  <c r="F1024" i="2"/>
  <c r="N1024" i="2" s="1"/>
  <c r="F1023" i="2"/>
  <c r="N1023" i="2" s="1"/>
  <c r="F1022" i="2"/>
  <c r="N1022" i="2" s="1"/>
  <c r="F1021" i="2"/>
  <c r="N1021" i="2" s="1"/>
  <c r="F1020" i="2"/>
  <c r="N1020" i="2" s="1"/>
  <c r="F1019" i="2"/>
  <c r="N1019" i="2" s="1"/>
  <c r="F1018" i="2"/>
  <c r="N1018" i="2" s="1"/>
  <c r="F1017" i="2"/>
  <c r="N1017" i="2" s="1"/>
  <c r="F1016" i="2"/>
  <c r="N1016" i="2" s="1"/>
  <c r="F1015" i="2"/>
  <c r="N1015" i="2" s="1"/>
  <c r="F1014" i="2"/>
  <c r="N1014" i="2" s="1"/>
  <c r="F1013" i="2"/>
  <c r="N1013" i="2" s="1"/>
  <c r="F1012" i="2"/>
  <c r="N1012" i="2" s="1"/>
  <c r="F1011" i="2"/>
  <c r="N1011" i="2" s="1"/>
  <c r="F1010" i="2"/>
  <c r="N1010" i="2" s="1"/>
  <c r="F1009" i="2"/>
  <c r="N1009" i="2" s="1"/>
  <c r="F1008" i="2"/>
  <c r="N1008" i="2" s="1"/>
  <c r="F1007" i="2"/>
  <c r="N1007" i="2" s="1"/>
  <c r="F1006" i="2"/>
  <c r="N1006" i="2" s="1"/>
  <c r="F1005" i="2"/>
  <c r="N1005" i="2" s="1"/>
  <c r="F1004" i="2"/>
  <c r="N1004" i="2" s="1"/>
  <c r="F1003" i="2"/>
  <c r="N1003" i="2" s="1"/>
  <c r="F1002" i="2"/>
  <c r="N1002" i="2" s="1"/>
  <c r="F1001" i="2"/>
  <c r="N1001" i="2" s="1"/>
  <c r="F1000" i="2"/>
  <c r="N1000" i="2" s="1"/>
  <c r="F999" i="2"/>
  <c r="N999" i="2" s="1"/>
  <c r="F998" i="2"/>
  <c r="N998" i="2" s="1"/>
  <c r="F997" i="2"/>
  <c r="N997" i="2" s="1"/>
  <c r="F996" i="2"/>
  <c r="N996" i="2" s="1"/>
  <c r="F995" i="2"/>
  <c r="N995" i="2" s="1"/>
  <c r="F994" i="2"/>
  <c r="N994" i="2" s="1"/>
  <c r="F993" i="2"/>
  <c r="N993" i="2" s="1"/>
  <c r="F992" i="2"/>
  <c r="N992" i="2" s="1"/>
  <c r="F991" i="2"/>
  <c r="N991" i="2" s="1"/>
  <c r="F990" i="2"/>
  <c r="N990" i="2" s="1"/>
  <c r="F989" i="2"/>
  <c r="N989" i="2" s="1"/>
  <c r="F988" i="2"/>
  <c r="N988" i="2" s="1"/>
  <c r="F987" i="2"/>
  <c r="N987" i="2" s="1"/>
  <c r="F986" i="2"/>
  <c r="N986" i="2" s="1"/>
  <c r="F985" i="2"/>
  <c r="N985" i="2" s="1"/>
  <c r="F984" i="2"/>
  <c r="N984" i="2" s="1"/>
  <c r="F983" i="2"/>
  <c r="N983" i="2" s="1"/>
  <c r="F982" i="2"/>
  <c r="N982" i="2" s="1"/>
  <c r="F981" i="2"/>
  <c r="N981" i="2" s="1"/>
  <c r="F980" i="2"/>
  <c r="N980" i="2" s="1"/>
  <c r="F979" i="2"/>
  <c r="N979" i="2" s="1"/>
  <c r="F978" i="2"/>
  <c r="N978" i="2" s="1"/>
  <c r="F977" i="2"/>
  <c r="N977" i="2" s="1"/>
  <c r="F976" i="2"/>
  <c r="N976" i="2" s="1"/>
  <c r="F975" i="2"/>
  <c r="N975" i="2" s="1"/>
  <c r="F974" i="2"/>
  <c r="N974" i="2" s="1"/>
  <c r="F973" i="2"/>
  <c r="N973" i="2" s="1"/>
  <c r="F972" i="2"/>
  <c r="N972" i="2" s="1"/>
  <c r="F971" i="2"/>
  <c r="N971" i="2" s="1"/>
  <c r="F970" i="2"/>
  <c r="N970" i="2" s="1"/>
  <c r="F969" i="2"/>
  <c r="N969" i="2" s="1"/>
  <c r="F968" i="2"/>
  <c r="N968" i="2" s="1"/>
  <c r="F967" i="2"/>
  <c r="N967" i="2" s="1"/>
  <c r="F966" i="2"/>
  <c r="N966" i="2" s="1"/>
  <c r="F965" i="2"/>
  <c r="N965" i="2" s="1"/>
  <c r="F964" i="2"/>
  <c r="N964" i="2" s="1"/>
  <c r="F963" i="2"/>
  <c r="N963" i="2" s="1"/>
  <c r="F962" i="2"/>
  <c r="N962" i="2" s="1"/>
  <c r="F961" i="2"/>
  <c r="N961" i="2" s="1"/>
  <c r="F960" i="2"/>
  <c r="N960" i="2" s="1"/>
  <c r="F959" i="2"/>
  <c r="N959" i="2" s="1"/>
  <c r="F958" i="2"/>
  <c r="N958" i="2" s="1"/>
  <c r="F957" i="2"/>
  <c r="N957" i="2" s="1"/>
  <c r="F956" i="2"/>
  <c r="N956" i="2" s="1"/>
  <c r="F955" i="2"/>
  <c r="N955" i="2" s="1"/>
  <c r="F954" i="2"/>
  <c r="N954" i="2" s="1"/>
  <c r="F953" i="2"/>
  <c r="N953" i="2" s="1"/>
  <c r="F952" i="2"/>
  <c r="N952" i="2" s="1"/>
  <c r="F951" i="2"/>
  <c r="N951" i="2" s="1"/>
  <c r="F950" i="2"/>
  <c r="N950" i="2" s="1"/>
  <c r="F949" i="2"/>
  <c r="N949" i="2" s="1"/>
  <c r="F948" i="2"/>
  <c r="N948" i="2" s="1"/>
  <c r="F947" i="2"/>
  <c r="N947" i="2" s="1"/>
  <c r="F946" i="2"/>
  <c r="N946" i="2" s="1"/>
  <c r="F945" i="2"/>
  <c r="N945" i="2" s="1"/>
  <c r="F944" i="2"/>
  <c r="N944" i="2" s="1"/>
  <c r="F943" i="2"/>
  <c r="N943" i="2" s="1"/>
  <c r="F942" i="2"/>
  <c r="N942" i="2" s="1"/>
  <c r="F941" i="2"/>
  <c r="N941" i="2" s="1"/>
  <c r="F940" i="2"/>
  <c r="N940" i="2" s="1"/>
  <c r="F939" i="2"/>
  <c r="N939" i="2" s="1"/>
  <c r="F938" i="2"/>
  <c r="N938" i="2" s="1"/>
  <c r="F937" i="2"/>
  <c r="N937" i="2" s="1"/>
  <c r="F936" i="2"/>
  <c r="N936" i="2" s="1"/>
  <c r="F935" i="2"/>
  <c r="N935" i="2" s="1"/>
  <c r="F934" i="2"/>
  <c r="N934" i="2" s="1"/>
  <c r="F933" i="2"/>
  <c r="N933" i="2" s="1"/>
  <c r="F932" i="2"/>
  <c r="N932" i="2" s="1"/>
  <c r="F931" i="2"/>
  <c r="N931" i="2" s="1"/>
  <c r="F930" i="2"/>
  <c r="N930" i="2" s="1"/>
  <c r="F929" i="2"/>
  <c r="N929" i="2" s="1"/>
  <c r="F928" i="2"/>
  <c r="N928" i="2" s="1"/>
  <c r="F927" i="2"/>
  <c r="N927" i="2" s="1"/>
  <c r="F926" i="2"/>
  <c r="N926" i="2" s="1"/>
  <c r="F925" i="2"/>
  <c r="N925" i="2" s="1"/>
  <c r="F924" i="2"/>
  <c r="N924" i="2" s="1"/>
  <c r="F923" i="2"/>
  <c r="N923" i="2" s="1"/>
  <c r="F922" i="2"/>
  <c r="N922" i="2" s="1"/>
  <c r="F921" i="2"/>
  <c r="N921" i="2" s="1"/>
  <c r="F920" i="2"/>
  <c r="N920" i="2" s="1"/>
  <c r="F919" i="2"/>
  <c r="N919" i="2" s="1"/>
  <c r="F918" i="2"/>
  <c r="N918" i="2" s="1"/>
  <c r="F917" i="2"/>
  <c r="N917" i="2" s="1"/>
  <c r="F916" i="2"/>
  <c r="N916" i="2" s="1"/>
  <c r="F915" i="2"/>
  <c r="N915" i="2" s="1"/>
  <c r="F914" i="2"/>
  <c r="N914" i="2" s="1"/>
  <c r="F913" i="2"/>
  <c r="N913" i="2" s="1"/>
  <c r="F912" i="2"/>
  <c r="N912" i="2" s="1"/>
  <c r="F911" i="2"/>
  <c r="N911" i="2" s="1"/>
  <c r="F910" i="2"/>
  <c r="N910" i="2" s="1"/>
  <c r="F909" i="2"/>
  <c r="N909" i="2" s="1"/>
  <c r="F908" i="2"/>
  <c r="N908" i="2" s="1"/>
  <c r="F907" i="2"/>
  <c r="N907" i="2" s="1"/>
  <c r="F906" i="2"/>
  <c r="N906" i="2" s="1"/>
  <c r="F905" i="2"/>
  <c r="N905" i="2" s="1"/>
  <c r="F904" i="2"/>
  <c r="N904" i="2" s="1"/>
  <c r="F903" i="2"/>
  <c r="N903" i="2" s="1"/>
  <c r="F902" i="2"/>
  <c r="N902" i="2" s="1"/>
  <c r="F901" i="2"/>
  <c r="N901" i="2" s="1"/>
  <c r="F900" i="2"/>
  <c r="N900" i="2" s="1"/>
  <c r="F899" i="2"/>
  <c r="N899" i="2" s="1"/>
  <c r="F898" i="2"/>
  <c r="N898" i="2" s="1"/>
  <c r="F897" i="2"/>
  <c r="N897" i="2" s="1"/>
  <c r="F896" i="2"/>
  <c r="N896" i="2" s="1"/>
  <c r="F895" i="2"/>
  <c r="N895" i="2" s="1"/>
  <c r="F894" i="2"/>
  <c r="N894" i="2" s="1"/>
  <c r="F893" i="2"/>
  <c r="N893" i="2" s="1"/>
  <c r="F892" i="2"/>
  <c r="N892" i="2" s="1"/>
  <c r="F891" i="2"/>
  <c r="N891" i="2" s="1"/>
  <c r="F890" i="2"/>
  <c r="N890" i="2" s="1"/>
  <c r="F889" i="2"/>
  <c r="N889" i="2" s="1"/>
  <c r="F888" i="2"/>
  <c r="N888" i="2" s="1"/>
  <c r="F887" i="2"/>
  <c r="N887" i="2" s="1"/>
  <c r="F886" i="2"/>
  <c r="N886" i="2" s="1"/>
  <c r="F885" i="2"/>
  <c r="N885" i="2" s="1"/>
  <c r="F884" i="2"/>
  <c r="N884" i="2" s="1"/>
  <c r="F883" i="2"/>
  <c r="N883" i="2" s="1"/>
  <c r="F882" i="2"/>
  <c r="N882" i="2" s="1"/>
  <c r="F881" i="2"/>
  <c r="N881" i="2" s="1"/>
  <c r="F880" i="2"/>
  <c r="N880" i="2" s="1"/>
  <c r="F879" i="2"/>
  <c r="N879" i="2" s="1"/>
  <c r="F878" i="2"/>
  <c r="N878" i="2" s="1"/>
  <c r="F877" i="2"/>
  <c r="N877" i="2" s="1"/>
  <c r="F876" i="2"/>
  <c r="N876" i="2" s="1"/>
  <c r="F875" i="2"/>
  <c r="N875" i="2" s="1"/>
  <c r="F874" i="2"/>
  <c r="N874" i="2" s="1"/>
  <c r="F873" i="2"/>
  <c r="N873" i="2" s="1"/>
  <c r="F872" i="2"/>
  <c r="N872" i="2" s="1"/>
  <c r="F871" i="2"/>
  <c r="N871" i="2" s="1"/>
  <c r="F870" i="2"/>
  <c r="N870" i="2" s="1"/>
  <c r="F869" i="2"/>
  <c r="N869" i="2" s="1"/>
  <c r="F868" i="2"/>
  <c r="N868" i="2" s="1"/>
  <c r="F867" i="2"/>
  <c r="N867" i="2" s="1"/>
  <c r="F866" i="2"/>
  <c r="N866" i="2" s="1"/>
  <c r="F865" i="2"/>
  <c r="N865" i="2" s="1"/>
  <c r="F864" i="2"/>
  <c r="N864" i="2" s="1"/>
  <c r="F863" i="2"/>
  <c r="N863" i="2" s="1"/>
  <c r="F862" i="2"/>
  <c r="N862" i="2" s="1"/>
  <c r="F861" i="2"/>
  <c r="N861" i="2" s="1"/>
  <c r="F860" i="2"/>
  <c r="N860" i="2" s="1"/>
  <c r="F859" i="2"/>
  <c r="N859" i="2" s="1"/>
  <c r="F858" i="2"/>
  <c r="N858" i="2" s="1"/>
  <c r="F857" i="2"/>
  <c r="N857" i="2" s="1"/>
  <c r="F856" i="2"/>
  <c r="N856" i="2" s="1"/>
  <c r="F855" i="2"/>
  <c r="N855" i="2" s="1"/>
  <c r="F854" i="2"/>
  <c r="N854" i="2" s="1"/>
  <c r="F853" i="2"/>
  <c r="N853" i="2" s="1"/>
  <c r="F852" i="2"/>
  <c r="N852" i="2" s="1"/>
  <c r="F851" i="2"/>
  <c r="N851" i="2" s="1"/>
  <c r="F850" i="2"/>
  <c r="N850" i="2" s="1"/>
  <c r="F849" i="2"/>
  <c r="N849" i="2" s="1"/>
  <c r="F848" i="2"/>
  <c r="N848" i="2" s="1"/>
  <c r="F847" i="2"/>
  <c r="N847" i="2" s="1"/>
  <c r="F846" i="2"/>
  <c r="N846" i="2" s="1"/>
  <c r="F845" i="2"/>
  <c r="N845" i="2" s="1"/>
  <c r="F844" i="2"/>
  <c r="N844" i="2" s="1"/>
  <c r="F843" i="2"/>
  <c r="N843" i="2" s="1"/>
  <c r="F842" i="2"/>
  <c r="N842" i="2" s="1"/>
  <c r="F841" i="2"/>
  <c r="N841" i="2" s="1"/>
  <c r="F840" i="2"/>
  <c r="N840" i="2" s="1"/>
  <c r="F839" i="2"/>
  <c r="N839" i="2" s="1"/>
  <c r="F838" i="2"/>
  <c r="N838" i="2" s="1"/>
  <c r="F837" i="2"/>
  <c r="N837" i="2" s="1"/>
  <c r="F836" i="2"/>
  <c r="N836" i="2" s="1"/>
  <c r="F835" i="2"/>
  <c r="N835" i="2" s="1"/>
  <c r="F834" i="2"/>
  <c r="N834" i="2" s="1"/>
  <c r="F833" i="2"/>
  <c r="N833" i="2" s="1"/>
  <c r="F832" i="2"/>
  <c r="N832" i="2" s="1"/>
  <c r="F831" i="2"/>
  <c r="N831" i="2" s="1"/>
  <c r="F830" i="2"/>
  <c r="N830" i="2" s="1"/>
  <c r="F829" i="2"/>
  <c r="N829" i="2" s="1"/>
  <c r="F828" i="2"/>
  <c r="N828" i="2" s="1"/>
  <c r="F827" i="2"/>
  <c r="N827" i="2" s="1"/>
  <c r="F826" i="2"/>
  <c r="N826" i="2" s="1"/>
  <c r="F825" i="2"/>
  <c r="N825" i="2" s="1"/>
  <c r="F824" i="2"/>
  <c r="N824" i="2" s="1"/>
  <c r="F823" i="2"/>
  <c r="N823" i="2" s="1"/>
  <c r="F822" i="2"/>
  <c r="N822" i="2" s="1"/>
  <c r="F821" i="2"/>
  <c r="N821" i="2" s="1"/>
  <c r="F820" i="2"/>
  <c r="N820" i="2" s="1"/>
  <c r="F819" i="2"/>
  <c r="N819" i="2" s="1"/>
  <c r="F818" i="2"/>
  <c r="N818" i="2" s="1"/>
  <c r="F817" i="2"/>
  <c r="N817" i="2" s="1"/>
  <c r="F816" i="2"/>
  <c r="N816" i="2" s="1"/>
  <c r="F815" i="2"/>
  <c r="N815" i="2" s="1"/>
  <c r="F814" i="2"/>
  <c r="N814" i="2" s="1"/>
  <c r="F813" i="2"/>
  <c r="N813" i="2" s="1"/>
  <c r="F812" i="2"/>
  <c r="N812" i="2" s="1"/>
  <c r="F811" i="2"/>
  <c r="N811" i="2" s="1"/>
  <c r="F810" i="2"/>
  <c r="N810" i="2" s="1"/>
  <c r="F809" i="2"/>
  <c r="N809" i="2" s="1"/>
  <c r="F808" i="2"/>
  <c r="N808" i="2" s="1"/>
  <c r="F807" i="2"/>
  <c r="N807" i="2" s="1"/>
  <c r="F806" i="2"/>
  <c r="N806" i="2" s="1"/>
  <c r="F805" i="2"/>
  <c r="N805" i="2" s="1"/>
  <c r="F804" i="2"/>
  <c r="N804" i="2" s="1"/>
  <c r="F803" i="2"/>
  <c r="N803" i="2" s="1"/>
  <c r="F802" i="2"/>
  <c r="N802" i="2" s="1"/>
  <c r="F801" i="2"/>
  <c r="N801" i="2" s="1"/>
  <c r="F800" i="2"/>
  <c r="N800" i="2" s="1"/>
  <c r="F799" i="2"/>
  <c r="N799" i="2" s="1"/>
  <c r="F798" i="2"/>
  <c r="N798" i="2" s="1"/>
  <c r="F797" i="2"/>
  <c r="N797" i="2" s="1"/>
  <c r="F796" i="2"/>
  <c r="N796" i="2" s="1"/>
  <c r="F795" i="2"/>
  <c r="N795" i="2" s="1"/>
  <c r="F794" i="2"/>
  <c r="N794" i="2" s="1"/>
  <c r="F793" i="2"/>
  <c r="N793" i="2" s="1"/>
  <c r="F792" i="2"/>
  <c r="N792" i="2" s="1"/>
  <c r="F791" i="2"/>
  <c r="N791" i="2" s="1"/>
  <c r="F790" i="2"/>
  <c r="N790" i="2" s="1"/>
  <c r="F789" i="2"/>
  <c r="N789" i="2" s="1"/>
  <c r="F788" i="2"/>
  <c r="N788" i="2" s="1"/>
  <c r="F787" i="2"/>
  <c r="N787" i="2" s="1"/>
  <c r="F786" i="2"/>
  <c r="N786" i="2" s="1"/>
  <c r="F785" i="2"/>
  <c r="N785" i="2" s="1"/>
  <c r="F784" i="2"/>
  <c r="N784" i="2" s="1"/>
  <c r="F783" i="2"/>
  <c r="N783" i="2" s="1"/>
  <c r="F782" i="2"/>
  <c r="N782" i="2" s="1"/>
  <c r="F781" i="2"/>
  <c r="N781" i="2" s="1"/>
  <c r="F780" i="2"/>
  <c r="N780" i="2" s="1"/>
  <c r="F779" i="2"/>
  <c r="N779" i="2" s="1"/>
  <c r="F778" i="2"/>
  <c r="N778" i="2" s="1"/>
  <c r="F777" i="2"/>
  <c r="N777" i="2" s="1"/>
  <c r="F776" i="2"/>
  <c r="N776" i="2" s="1"/>
  <c r="F775" i="2"/>
  <c r="N775" i="2" s="1"/>
  <c r="F774" i="2"/>
  <c r="N774" i="2" s="1"/>
  <c r="F773" i="2"/>
  <c r="N773" i="2" s="1"/>
  <c r="F772" i="2"/>
  <c r="N772" i="2" s="1"/>
  <c r="F771" i="2"/>
  <c r="N771" i="2" s="1"/>
  <c r="F770" i="2"/>
  <c r="N770" i="2" s="1"/>
  <c r="F769" i="2"/>
  <c r="N769" i="2" s="1"/>
  <c r="F768" i="2"/>
  <c r="N768" i="2" s="1"/>
  <c r="F767" i="2"/>
  <c r="N767" i="2" s="1"/>
  <c r="F766" i="2"/>
  <c r="N766" i="2" s="1"/>
  <c r="F765" i="2"/>
  <c r="N765" i="2" s="1"/>
  <c r="F764" i="2"/>
  <c r="N764" i="2" s="1"/>
  <c r="F763" i="2"/>
  <c r="N763" i="2" s="1"/>
  <c r="F762" i="2"/>
  <c r="N762" i="2" s="1"/>
  <c r="F761" i="2"/>
  <c r="N761" i="2" s="1"/>
  <c r="F760" i="2"/>
  <c r="N760" i="2" s="1"/>
  <c r="F759" i="2"/>
  <c r="N759" i="2" s="1"/>
  <c r="F758" i="2"/>
  <c r="N758" i="2" s="1"/>
  <c r="F757" i="2"/>
  <c r="N757" i="2" s="1"/>
  <c r="F756" i="2"/>
  <c r="N756" i="2" s="1"/>
  <c r="F755" i="2"/>
  <c r="N755" i="2" s="1"/>
  <c r="F754" i="2"/>
  <c r="N754" i="2" s="1"/>
  <c r="F753" i="2"/>
  <c r="N753" i="2" s="1"/>
  <c r="F752" i="2"/>
  <c r="N752" i="2" s="1"/>
  <c r="F751" i="2"/>
  <c r="N751" i="2" s="1"/>
  <c r="F750" i="2"/>
  <c r="N750" i="2" s="1"/>
  <c r="F749" i="2"/>
  <c r="N749" i="2" s="1"/>
  <c r="F748" i="2"/>
  <c r="N748" i="2" s="1"/>
  <c r="F747" i="2"/>
  <c r="N747" i="2" s="1"/>
  <c r="F746" i="2"/>
  <c r="N746" i="2" s="1"/>
  <c r="F745" i="2"/>
  <c r="N745" i="2" s="1"/>
  <c r="F744" i="2"/>
  <c r="N744" i="2" s="1"/>
  <c r="F743" i="2"/>
  <c r="N743" i="2" s="1"/>
  <c r="F742" i="2"/>
  <c r="N742" i="2" s="1"/>
  <c r="F741" i="2"/>
  <c r="N741" i="2" s="1"/>
  <c r="F740" i="2"/>
  <c r="N740" i="2" s="1"/>
  <c r="F739" i="2"/>
  <c r="N739" i="2" s="1"/>
  <c r="F738" i="2"/>
  <c r="N738" i="2" s="1"/>
  <c r="F737" i="2"/>
  <c r="N737" i="2" s="1"/>
  <c r="F736" i="2"/>
  <c r="N736" i="2" s="1"/>
  <c r="F735" i="2"/>
  <c r="N735" i="2" s="1"/>
  <c r="F734" i="2"/>
  <c r="N734" i="2" s="1"/>
  <c r="F733" i="2"/>
  <c r="N733" i="2" s="1"/>
  <c r="F732" i="2"/>
  <c r="N732" i="2" s="1"/>
  <c r="F731" i="2"/>
  <c r="N731" i="2" s="1"/>
  <c r="F730" i="2"/>
  <c r="N730" i="2" s="1"/>
  <c r="F729" i="2"/>
  <c r="N729" i="2" s="1"/>
  <c r="F728" i="2"/>
  <c r="N728" i="2" s="1"/>
  <c r="F727" i="2"/>
  <c r="N727" i="2" s="1"/>
  <c r="F726" i="2"/>
  <c r="N726" i="2" s="1"/>
  <c r="F725" i="2"/>
  <c r="N725" i="2" s="1"/>
  <c r="F724" i="2"/>
  <c r="N724" i="2" s="1"/>
  <c r="F723" i="2"/>
  <c r="N723" i="2" s="1"/>
  <c r="F722" i="2"/>
  <c r="N722" i="2" s="1"/>
  <c r="F721" i="2"/>
  <c r="N721" i="2" s="1"/>
  <c r="F720" i="2"/>
  <c r="N720" i="2" s="1"/>
  <c r="F719" i="2"/>
  <c r="N719" i="2" s="1"/>
  <c r="F718" i="2"/>
  <c r="N718" i="2" s="1"/>
  <c r="F717" i="2"/>
  <c r="N717" i="2" s="1"/>
  <c r="F716" i="2"/>
  <c r="N716" i="2" s="1"/>
  <c r="F715" i="2"/>
  <c r="N715" i="2" s="1"/>
  <c r="F714" i="2"/>
  <c r="N714" i="2" s="1"/>
  <c r="F713" i="2"/>
  <c r="N713" i="2" s="1"/>
  <c r="F712" i="2"/>
  <c r="N712" i="2" s="1"/>
  <c r="F711" i="2"/>
  <c r="N711" i="2" s="1"/>
  <c r="F710" i="2"/>
  <c r="N710" i="2" s="1"/>
  <c r="F709" i="2"/>
  <c r="N709" i="2" s="1"/>
  <c r="F708" i="2"/>
  <c r="N708" i="2" s="1"/>
  <c r="F707" i="2"/>
  <c r="N707" i="2" s="1"/>
  <c r="F706" i="2"/>
  <c r="N706" i="2" s="1"/>
  <c r="F705" i="2"/>
  <c r="N705" i="2" s="1"/>
  <c r="F704" i="2"/>
  <c r="N704" i="2" s="1"/>
  <c r="F703" i="2"/>
  <c r="N703" i="2" s="1"/>
  <c r="F702" i="2"/>
  <c r="N702" i="2" s="1"/>
  <c r="F701" i="2"/>
  <c r="N701" i="2" s="1"/>
  <c r="F700" i="2"/>
  <c r="N700" i="2" s="1"/>
  <c r="F699" i="2"/>
  <c r="N699" i="2" s="1"/>
  <c r="F698" i="2"/>
  <c r="N698" i="2" s="1"/>
  <c r="F697" i="2"/>
  <c r="N697" i="2" s="1"/>
  <c r="F696" i="2"/>
  <c r="N696" i="2" s="1"/>
  <c r="F695" i="2"/>
  <c r="N695" i="2" s="1"/>
  <c r="F694" i="2"/>
  <c r="N694" i="2" s="1"/>
  <c r="F693" i="2"/>
  <c r="N693" i="2" s="1"/>
  <c r="F692" i="2"/>
  <c r="N692" i="2" s="1"/>
  <c r="F691" i="2"/>
  <c r="N691" i="2" s="1"/>
  <c r="F690" i="2"/>
  <c r="N690" i="2" s="1"/>
  <c r="F689" i="2"/>
  <c r="N689" i="2" s="1"/>
  <c r="F688" i="2"/>
  <c r="N688" i="2" s="1"/>
  <c r="F687" i="2"/>
  <c r="N687" i="2" s="1"/>
  <c r="F686" i="2"/>
  <c r="N686" i="2" s="1"/>
  <c r="F685" i="2"/>
  <c r="N685" i="2" s="1"/>
  <c r="F684" i="2"/>
  <c r="N684" i="2" s="1"/>
  <c r="F683" i="2"/>
  <c r="N683" i="2" s="1"/>
  <c r="F682" i="2"/>
  <c r="N682" i="2" s="1"/>
  <c r="F681" i="2"/>
  <c r="N681" i="2" s="1"/>
  <c r="F680" i="2"/>
  <c r="N680" i="2" s="1"/>
  <c r="F679" i="2"/>
  <c r="N679" i="2" s="1"/>
  <c r="F678" i="2"/>
  <c r="N678" i="2" s="1"/>
  <c r="F677" i="2"/>
  <c r="N677" i="2" s="1"/>
  <c r="F676" i="2"/>
  <c r="N676" i="2" s="1"/>
  <c r="F675" i="2"/>
  <c r="N675" i="2" s="1"/>
  <c r="F674" i="2"/>
  <c r="N674" i="2" s="1"/>
  <c r="F673" i="2"/>
  <c r="N673" i="2" s="1"/>
  <c r="F672" i="2"/>
  <c r="N672" i="2" s="1"/>
  <c r="F671" i="2"/>
  <c r="N671" i="2" s="1"/>
  <c r="F670" i="2"/>
  <c r="N670" i="2" s="1"/>
  <c r="F669" i="2"/>
  <c r="N669" i="2" s="1"/>
  <c r="F668" i="2"/>
  <c r="N668" i="2" s="1"/>
  <c r="F667" i="2"/>
  <c r="N667" i="2" s="1"/>
  <c r="F666" i="2"/>
  <c r="N666" i="2" s="1"/>
  <c r="F665" i="2"/>
  <c r="N665" i="2" s="1"/>
  <c r="F664" i="2"/>
  <c r="N664" i="2" s="1"/>
  <c r="F663" i="2"/>
  <c r="N663" i="2" s="1"/>
  <c r="F662" i="2"/>
  <c r="N662" i="2" s="1"/>
  <c r="F661" i="2"/>
  <c r="N661" i="2" s="1"/>
  <c r="F660" i="2"/>
  <c r="N660" i="2" s="1"/>
  <c r="F659" i="2"/>
  <c r="N659" i="2" s="1"/>
  <c r="F658" i="2"/>
  <c r="N658" i="2" s="1"/>
  <c r="F657" i="2"/>
  <c r="N657" i="2" s="1"/>
  <c r="F656" i="2"/>
  <c r="N656" i="2" s="1"/>
  <c r="F655" i="2"/>
  <c r="N655" i="2" s="1"/>
  <c r="F654" i="2"/>
  <c r="N654" i="2" s="1"/>
  <c r="F653" i="2"/>
  <c r="N653" i="2" s="1"/>
  <c r="F652" i="2"/>
  <c r="N652" i="2" s="1"/>
  <c r="F651" i="2"/>
  <c r="N651" i="2" s="1"/>
  <c r="F650" i="2"/>
  <c r="N650" i="2" s="1"/>
  <c r="F649" i="2"/>
  <c r="N649" i="2" s="1"/>
  <c r="F648" i="2"/>
  <c r="N648" i="2" s="1"/>
  <c r="F647" i="2"/>
  <c r="N647" i="2" s="1"/>
  <c r="F646" i="2"/>
  <c r="N646" i="2" s="1"/>
  <c r="F645" i="2"/>
  <c r="N645" i="2" s="1"/>
  <c r="F644" i="2"/>
  <c r="N644" i="2" s="1"/>
  <c r="F643" i="2"/>
  <c r="N643" i="2" s="1"/>
  <c r="F642" i="2"/>
  <c r="N642" i="2" s="1"/>
  <c r="F641" i="2"/>
  <c r="N641" i="2" s="1"/>
  <c r="F640" i="2"/>
  <c r="N640" i="2" s="1"/>
  <c r="F639" i="2"/>
  <c r="N639" i="2" s="1"/>
  <c r="F638" i="2"/>
  <c r="N638" i="2" s="1"/>
  <c r="F637" i="2"/>
  <c r="N637" i="2" s="1"/>
  <c r="F636" i="2"/>
  <c r="N636" i="2" s="1"/>
  <c r="F635" i="2"/>
  <c r="N635" i="2" s="1"/>
  <c r="F634" i="2"/>
  <c r="N634" i="2" s="1"/>
  <c r="F633" i="2"/>
  <c r="N633" i="2" s="1"/>
  <c r="F632" i="2"/>
  <c r="N632" i="2" s="1"/>
  <c r="F631" i="2"/>
  <c r="N631" i="2" s="1"/>
  <c r="F630" i="2"/>
  <c r="N630" i="2" s="1"/>
  <c r="F629" i="2"/>
  <c r="N629" i="2" s="1"/>
  <c r="F628" i="2"/>
  <c r="N628" i="2" s="1"/>
  <c r="F627" i="2"/>
  <c r="N627" i="2" s="1"/>
  <c r="F626" i="2"/>
  <c r="N626" i="2" s="1"/>
  <c r="F625" i="2"/>
  <c r="N625" i="2" s="1"/>
  <c r="F624" i="2"/>
  <c r="N624" i="2" s="1"/>
  <c r="F623" i="2"/>
  <c r="N623" i="2" s="1"/>
  <c r="F622" i="2"/>
  <c r="N622" i="2" s="1"/>
  <c r="F621" i="2"/>
  <c r="N621" i="2" s="1"/>
  <c r="F620" i="2"/>
  <c r="N620" i="2" s="1"/>
  <c r="F619" i="2"/>
  <c r="N619" i="2" s="1"/>
  <c r="F618" i="2"/>
  <c r="N618" i="2" s="1"/>
  <c r="F617" i="2"/>
  <c r="N617" i="2" s="1"/>
  <c r="F616" i="2"/>
  <c r="N616" i="2" s="1"/>
  <c r="F615" i="2"/>
  <c r="N615" i="2" s="1"/>
  <c r="F614" i="2"/>
  <c r="N614" i="2" s="1"/>
  <c r="F613" i="2"/>
  <c r="N613" i="2" s="1"/>
  <c r="F612" i="2"/>
  <c r="N612" i="2" s="1"/>
  <c r="F611" i="2"/>
  <c r="N611" i="2" s="1"/>
  <c r="F610" i="2"/>
  <c r="N610" i="2" s="1"/>
  <c r="F609" i="2"/>
  <c r="N609" i="2" s="1"/>
  <c r="F608" i="2"/>
  <c r="N608" i="2" s="1"/>
  <c r="F607" i="2"/>
  <c r="N607" i="2" s="1"/>
  <c r="F606" i="2"/>
  <c r="N606" i="2" s="1"/>
  <c r="F605" i="2"/>
  <c r="N605" i="2" s="1"/>
  <c r="F604" i="2"/>
  <c r="N604" i="2" s="1"/>
  <c r="F603" i="2"/>
  <c r="N603" i="2" s="1"/>
  <c r="F602" i="2"/>
  <c r="N602" i="2" s="1"/>
  <c r="F601" i="2"/>
  <c r="N601" i="2" s="1"/>
  <c r="F600" i="2"/>
  <c r="N600" i="2" s="1"/>
  <c r="F599" i="2"/>
  <c r="N599" i="2" s="1"/>
  <c r="F598" i="2"/>
  <c r="N598" i="2" s="1"/>
  <c r="F597" i="2"/>
  <c r="N597" i="2" s="1"/>
  <c r="F596" i="2"/>
  <c r="N596" i="2" s="1"/>
  <c r="F595" i="2"/>
  <c r="N595" i="2" s="1"/>
  <c r="F594" i="2"/>
  <c r="N594" i="2" s="1"/>
  <c r="F593" i="2"/>
  <c r="N593" i="2" s="1"/>
  <c r="F592" i="2"/>
  <c r="N592" i="2" s="1"/>
  <c r="F591" i="2"/>
  <c r="N591" i="2" s="1"/>
  <c r="F590" i="2"/>
  <c r="N590" i="2" s="1"/>
  <c r="F589" i="2"/>
  <c r="N589" i="2" s="1"/>
  <c r="F588" i="2"/>
  <c r="N588" i="2" s="1"/>
  <c r="F587" i="2"/>
  <c r="N587" i="2" s="1"/>
  <c r="F586" i="2"/>
  <c r="N586" i="2" s="1"/>
  <c r="F585" i="2"/>
  <c r="N585" i="2" s="1"/>
  <c r="F584" i="2"/>
  <c r="N584" i="2" s="1"/>
  <c r="F583" i="2"/>
  <c r="N583" i="2" s="1"/>
  <c r="F582" i="2"/>
  <c r="N582" i="2" s="1"/>
  <c r="F581" i="2"/>
  <c r="N581" i="2" s="1"/>
  <c r="F580" i="2"/>
  <c r="N580" i="2" s="1"/>
  <c r="F579" i="2"/>
  <c r="N579" i="2" s="1"/>
  <c r="F578" i="2"/>
  <c r="N578" i="2" s="1"/>
  <c r="F577" i="2"/>
  <c r="N577" i="2" s="1"/>
  <c r="F576" i="2"/>
  <c r="N576" i="2" s="1"/>
  <c r="F575" i="2"/>
  <c r="N575" i="2" s="1"/>
  <c r="F574" i="2"/>
  <c r="N574" i="2" s="1"/>
  <c r="F573" i="2"/>
  <c r="N573" i="2" s="1"/>
  <c r="F572" i="2"/>
  <c r="N572" i="2" s="1"/>
  <c r="F571" i="2"/>
  <c r="N571" i="2" s="1"/>
  <c r="F570" i="2"/>
  <c r="N570" i="2" s="1"/>
  <c r="F569" i="2"/>
  <c r="N569" i="2" s="1"/>
  <c r="F568" i="2"/>
  <c r="N568" i="2" s="1"/>
  <c r="F567" i="2"/>
  <c r="N567" i="2" s="1"/>
  <c r="F566" i="2"/>
  <c r="N566" i="2" s="1"/>
  <c r="F565" i="2"/>
  <c r="N565" i="2" s="1"/>
  <c r="F564" i="2"/>
  <c r="N564" i="2" s="1"/>
  <c r="F563" i="2"/>
  <c r="N563" i="2" s="1"/>
  <c r="F562" i="2"/>
  <c r="N562" i="2" s="1"/>
  <c r="F561" i="2"/>
  <c r="N561" i="2" s="1"/>
  <c r="F560" i="2"/>
  <c r="N560" i="2" s="1"/>
  <c r="F559" i="2"/>
  <c r="N559" i="2" s="1"/>
  <c r="F558" i="2"/>
  <c r="N558" i="2" s="1"/>
  <c r="F557" i="2"/>
  <c r="N557" i="2" s="1"/>
  <c r="F556" i="2"/>
  <c r="N556" i="2" s="1"/>
  <c r="F555" i="2"/>
  <c r="N555" i="2" s="1"/>
  <c r="F554" i="2"/>
  <c r="N554" i="2" s="1"/>
  <c r="F553" i="2"/>
  <c r="N553" i="2" s="1"/>
  <c r="F552" i="2"/>
  <c r="N552" i="2" s="1"/>
  <c r="F551" i="2"/>
  <c r="N551" i="2" s="1"/>
  <c r="F550" i="2"/>
  <c r="N550" i="2" s="1"/>
  <c r="F549" i="2"/>
  <c r="N549" i="2" s="1"/>
  <c r="F548" i="2"/>
  <c r="N548" i="2" s="1"/>
  <c r="F547" i="2"/>
  <c r="N547" i="2" s="1"/>
  <c r="F546" i="2"/>
  <c r="N546" i="2" s="1"/>
  <c r="F545" i="2"/>
  <c r="N545" i="2" s="1"/>
  <c r="F544" i="2"/>
  <c r="N544" i="2" s="1"/>
  <c r="F543" i="2"/>
  <c r="N543" i="2" s="1"/>
  <c r="F542" i="2"/>
  <c r="N542" i="2" s="1"/>
  <c r="F541" i="2"/>
  <c r="N541" i="2" s="1"/>
  <c r="F540" i="2"/>
  <c r="N540" i="2" s="1"/>
  <c r="F539" i="2"/>
  <c r="N539" i="2" s="1"/>
  <c r="F538" i="2"/>
  <c r="N538" i="2" s="1"/>
  <c r="F537" i="2"/>
  <c r="N537" i="2" s="1"/>
  <c r="F536" i="2"/>
  <c r="N536" i="2" s="1"/>
  <c r="F535" i="2"/>
  <c r="N535" i="2" s="1"/>
  <c r="F534" i="2"/>
  <c r="N534" i="2" s="1"/>
  <c r="F533" i="2"/>
  <c r="N533" i="2" s="1"/>
  <c r="F532" i="2"/>
  <c r="N532" i="2" s="1"/>
  <c r="F531" i="2"/>
  <c r="N531" i="2" s="1"/>
  <c r="F530" i="2"/>
  <c r="N530" i="2" s="1"/>
  <c r="F529" i="2"/>
  <c r="N529" i="2" s="1"/>
  <c r="F528" i="2"/>
  <c r="N528" i="2" s="1"/>
  <c r="F527" i="2"/>
  <c r="N527" i="2" s="1"/>
  <c r="F526" i="2"/>
  <c r="N526" i="2" s="1"/>
  <c r="F525" i="2"/>
  <c r="N525" i="2" s="1"/>
  <c r="F524" i="2"/>
  <c r="N524" i="2" s="1"/>
  <c r="F523" i="2"/>
  <c r="N523" i="2" s="1"/>
  <c r="F522" i="2"/>
  <c r="N522" i="2" s="1"/>
  <c r="F521" i="2"/>
  <c r="N521" i="2" s="1"/>
  <c r="F520" i="2"/>
  <c r="N520" i="2" s="1"/>
  <c r="F519" i="2"/>
  <c r="N519" i="2" s="1"/>
  <c r="F518" i="2"/>
  <c r="N518" i="2" s="1"/>
  <c r="F517" i="2"/>
  <c r="N517" i="2" s="1"/>
  <c r="F516" i="2"/>
  <c r="N516" i="2" s="1"/>
  <c r="F515" i="2"/>
  <c r="N515" i="2" s="1"/>
  <c r="F514" i="2"/>
  <c r="N514" i="2" s="1"/>
  <c r="F513" i="2"/>
  <c r="N513" i="2" s="1"/>
  <c r="F512" i="2"/>
  <c r="N512" i="2" s="1"/>
  <c r="F511" i="2"/>
  <c r="N511" i="2" s="1"/>
  <c r="F510" i="2"/>
  <c r="N510" i="2" s="1"/>
  <c r="F509" i="2"/>
  <c r="N509" i="2" s="1"/>
  <c r="F508" i="2"/>
  <c r="N508" i="2" s="1"/>
  <c r="F507" i="2"/>
  <c r="N507" i="2" s="1"/>
  <c r="F506" i="2"/>
  <c r="N506" i="2" s="1"/>
  <c r="F505" i="2"/>
  <c r="N505" i="2" s="1"/>
  <c r="F504" i="2"/>
  <c r="N504" i="2" s="1"/>
  <c r="F503" i="2"/>
  <c r="N503" i="2" s="1"/>
  <c r="F502" i="2"/>
  <c r="N502" i="2" s="1"/>
  <c r="F501" i="2"/>
  <c r="N501" i="2" s="1"/>
  <c r="F500" i="2"/>
  <c r="N500" i="2" s="1"/>
  <c r="F499" i="2"/>
  <c r="N499" i="2" s="1"/>
  <c r="F498" i="2"/>
  <c r="N498" i="2" s="1"/>
  <c r="F497" i="2"/>
  <c r="N497" i="2" s="1"/>
  <c r="F496" i="2"/>
  <c r="N496" i="2" s="1"/>
  <c r="F495" i="2"/>
  <c r="N495" i="2" s="1"/>
  <c r="F494" i="2"/>
  <c r="N494" i="2" s="1"/>
  <c r="F493" i="2"/>
  <c r="N493" i="2" s="1"/>
  <c r="F492" i="2"/>
  <c r="N492" i="2" s="1"/>
  <c r="F491" i="2"/>
  <c r="N491" i="2" s="1"/>
  <c r="F490" i="2"/>
  <c r="N490" i="2" s="1"/>
  <c r="F489" i="2"/>
  <c r="N489" i="2" s="1"/>
  <c r="F488" i="2"/>
  <c r="N488" i="2" s="1"/>
  <c r="F487" i="2"/>
  <c r="N487" i="2" s="1"/>
  <c r="F486" i="2"/>
  <c r="N486" i="2" s="1"/>
  <c r="F485" i="2"/>
  <c r="N485" i="2" s="1"/>
  <c r="F484" i="2"/>
  <c r="N484" i="2" s="1"/>
  <c r="F483" i="2"/>
  <c r="N483" i="2" s="1"/>
  <c r="F482" i="2"/>
  <c r="N482" i="2" s="1"/>
  <c r="F481" i="2"/>
  <c r="N481" i="2" s="1"/>
  <c r="F480" i="2"/>
  <c r="N480" i="2" s="1"/>
  <c r="F479" i="2"/>
  <c r="N479" i="2" s="1"/>
  <c r="F478" i="2"/>
  <c r="N478" i="2" s="1"/>
  <c r="F477" i="2"/>
  <c r="N477" i="2" s="1"/>
  <c r="F476" i="2"/>
  <c r="N476" i="2" s="1"/>
  <c r="F475" i="2"/>
  <c r="N475" i="2" s="1"/>
  <c r="F474" i="2"/>
  <c r="N474" i="2" s="1"/>
  <c r="F473" i="2"/>
  <c r="N473" i="2" s="1"/>
  <c r="F472" i="2"/>
  <c r="N472" i="2" s="1"/>
  <c r="F471" i="2"/>
  <c r="N471" i="2" s="1"/>
  <c r="F470" i="2"/>
  <c r="N470" i="2" s="1"/>
  <c r="F469" i="2"/>
  <c r="N469" i="2" s="1"/>
  <c r="F468" i="2"/>
  <c r="N468" i="2" s="1"/>
  <c r="F467" i="2"/>
  <c r="N467" i="2" s="1"/>
  <c r="F466" i="2"/>
  <c r="N466" i="2" s="1"/>
  <c r="F465" i="2"/>
  <c r="N465" i="2" s="1"/>
  <c r="F464" i="2"/>
  <c r="N464" i="2" s="1"/>
  <c r="F463" i="2"/>
  <c r="N463" i="2" s="1"/>
  <c r="F462" i="2"/>
  <c r="N462" i="2" s="1"/>
  <c r="F461" i="2"/>
  <c r="N461" i="2" s="1"/>
  <c r="F460" i="2"/>
  <c r="N460" i="2" s="1"/>
  <c r="F459" i="2"/>
  <c r="N459" i="2" s="1"/>
  <c r="F458" i="2"/>
  <c r="N458" i="2" s="1"/>
  <c r="F457" i="2"/>
  <c r="N457" i="2" s="1"/>
  <c r="F456" i="2"/>
  <c r="N456" i="2" s="1"/>
  <c r="F455" i="2"/>
  <c r="N455" i="2" s="1"/>
  <c r="F454" i="2"/>
  <c r="N454" i="2" s="1"/>
  <c r="F453" i="2"/>
  <c r="N453" i="2" s="1"/>
  <c r="F452" i="2"/>
  <c r="N452" i="2" s="1"/>
  <c r="F451" i="2"/>
  <c r="N451" i="2" s="1"/>
  <c r="F450" i="2"/>
  <c r="N450" i="2" s="1"/>
  <c r="F449" i="2"/>
  <c r="N449" i="2" s="1"/>
  <c r="F448" i="2"/>
  <c r="N448" i="2" s="1"/>
  <c r="F447" i="2"/>
  <c r="N447" i="2" s="1"/>
  <c r="F446" i="2"/>
  <c r="N446" i="2" s="1"/>
  <c r="F445" i="2"/>
  <c r="N445" i="2" s="1"/>
  <c r="F444" i="2"/>
  <c r="N444" i="2" s="1"/>
  <c r="F443" i="2"/>
  <c r="N443" i="2" s="1"/>
  <c r="F442" i="2"/>
  <c r="N442" i="2" s="1"/>
  <c r="F441" i="2"/>
  <c r="N441" i="2" s="1"/>
  <c r="F440" i="2"/>
  <c r="N440" i="2" s="1"/>
  <c r="F439" i="2"/>
  <c r="N439" i="2" s="1"/>
  <c r="F438" i="2"/>
  <c r="N438" i="2" s="1"/>
  <c r="F437" i="2"/>
  <c r="N437" i="2" s="1"/>
  <c r="F436" i="2"/>
  <c r="N436" i="2" s="1"/>
  <c r="F435" i="2"/>
  <c r="N435" i="2" s="1"/>
  <c r="F434" i="2"/>
  <c r="N434" i="2" s="1"/>
  <c r="F433" i="2"/>
  <c r="N433" i="2" s="1"/>
  <c r="F432" i="2"/>
  <c r="N432" i="2" s="1"/>
  <c r="F431" i="2"/>
  <c r="N431" i="2" s="1"/>
  <c r="F430" i="2"/>
  <c r="N430" i="2" s="1"/>
  <c r="F429" i="2"/>
  <c r="N429" i="2" s="1"/>
  <c r="F428" i="2"/>
  <c r="N428" i="2" s="1"/>
  <c r="F427" i="2"/>
  <c r="N427" i="2" s="1"/>
  <c r="F426" i="2"/>
  <c r="N426" i="2" s="1"/>
  <c r="F425" i="2"/>
  <c r="N425" i="2" s="1"/>
  <c r="F424" i="2"/>
  <c r="N424" i="2" s="1"/>
  <c r="F423" i="2"/>
  <c r="N423" i="2" s="1"/>
  <c r="F422" i="2"/>
  <c r="N422" i="2" s="1"/>
  <c r="F421" i="2"/>
  <c r="N421" i="2" s="1"/>
  <c r="F420" i="2"/>
  <c r="N420" i="2" s="1"/>
  <c r="F419" i="2"/>
  <c r="N419" i="2" s="1"/>
  <c r="F418" i="2"/>
  <c r="N418" i="2" s="1"/>
  <c r="F417" i="2"/>
  <c r="N417" i="2" s="1"/>
  <c r="F416" i="2"/>
  <c r="N416" i="2" s="1"/>
  <c r="F415" i="2"/>
  <c r="N415" i="2" s="1"/>
  <c r="F414" i="2"/>
  <c r="N414" i="2" s="1"/>
  <c r="F413" i="2"/>
  <c r="N413" i="2" s="1"/>
  <c r="F412" i="2"/>
  <c r="N412" i="2" s="1"/>
  <c r="F411" i="2"/>
  <c r="N411" i="2" s="1"/>
  <c r="F410" i="2"/>
  <c r="N410" i="2" s="1"/>
  <c r="F409" i="2"/>
  <c r="N409" i="2" s="1"/>
  <c r="F408" i="2"/>
  <c r="N408" i="2" s="1"/>
  <c r="F407" i="2"/>
  <c r="N407" i="2" s="1"/>
  <c r="F406" i="2"/>
  <c r="N406" i="2" s="1"/>
  <c r="F405" i="2"/>
  <c r="N405" i="2" s="1"/>
  <c r="F404" i="2"/>
  <c r="N404" i="2" s="1"/>
  <c r="F403" i="2"/>
  <c r="N403" i="2" s="1"/>
  <c r="F402" i="2"/>
  <c r="N402" i="2" s="1"/>
  <c r="F401" i="2"/>
  <c r="N401" i="2" s="1"/>
  <c r="F400" i="2"/>
  <c r="N400" i="2" s="1"/>
  <c r="F399" i="2"/>
  <c r="N399" i="2" s="1"/>
  <c r="F398" i="2"/>
  <c r="N398" i="2" s="1"/>
  <c r="F397" i="2"/>
  <c r="N397" i="2" s="1"/>
  <c r="F396" i="2"/>
  <c r="N396" i="2" s="1"/>
  <c r="F395" i="2"/>
  <c r="N395" i="2" s="1"/>
  <c r="F394" i="2"/>
  <c r="N394" i="2" s="1"/>
  <c r="F393" i="2"/>
  <c r="N393" i="2" s="1"/>
  <c r="F392" i="2"/>
  <c r="N392" i="2" s="1"/>
  <c r="F391" i="2"/>
  <c r="N391" i="2" s="1"/>
  <c r="F390" i="2"/>
  <c r="N390" i="2" s="1"/>
  <c r="F389" i="2"/>
  <c r="N389" i="2" s="1"/>
  <c r="F388" i="2"/>
  <c r="N388" i="2" s="1"/>
  <c r="F387" i="2"/>
  <c r="N387" i="2" s="1"/>
  <c r="F386" i="2"/>
  <c r="N386" i="2" s="1"/>
  <c r="F385" i="2"/>
  <c r="N385" i="2" s="1"/>
  <c r="F384" i="2"/>
  <c r="N384" i="2" s="1"/>
  <c r="F383" i="2"/>
  <c r="N383" i="2" s="1"/>
  <c r="F382" i="2"/>
  <c r="N382" i="2" s="1"/>
  <c r="F381" i="2"/>
  <c r="N381" i="2" s="1"/>
  <c r="F380" i="2"/>
  <c r="N380" i="2" s="1"/>
  <c r="F379" i="2"/>
  <c r="N379" i="2" s="1"/>
  <c r="F378" i="2"/>
  <c r="N378" i="2" s="1"/>
  <c r="F377" i="2"/>
  <c r="N377" i="2" s="1"/>
  <c r="F376" i="2"/>
  <c r="N376" i="2" s="1"/>
  <c r="F375" i="2"/>
  <c r="N375" i="2" s="1"/>
  <c r="F374" i="2"/>
  <c r="N374" i="2" s="1"/>
  <c r="F373" i="2"/>
  <c r="N373" i="2" s="1"/>
  <c r="F372" i="2"/>
  <c r="N372" i="2" s="1"/>
  <c r="F371" i="2"/>
  <c r="N371" i="2" s="1"/>
  <c r="F370" i="2"/>
  <c r="N370" i="2" s="1"/>
  <c r="F369" i="2"/>
  <c r="N369" i="2" s="1"/>
  <c r="F368" i="2"/>
  <c r="N368" i="2" s="1"/>
  <c r="F367" i="2"/>
  <c r="N367" i="2" s="1"/>
  <c r="F366" i="2"/>
  <c r="N366" i="2" s="1"/>
  <c r="F365" i="2"/>
  <c r="N365" i="2" s="1"/>
  <c r="F364" i="2"/>
  <c r="N364" i="2" s="1"/>
  <c r="F363" i="2"/>
  <c r="N363" i="2" s="1"/>
  <c r="F362" i="2"/>
  <c r="N362" i="2" s="1"/>
  <c r="F361" i="2"/>
  <c r="N361" i="2" s="1"/>
  <c r="F360" i="2"/>
  <c r="N360" i="2" s="1"/>
  <c r="F359" i="2"/>
  <c r="N359" i="2" s="1"/>
  <c r="F358" i="2"/>
  <c r="N358" i="2" s="1"/>
  <c r="F357" i="2"/>
  <c r="N357" i="2" s="1"/>
  <c r="F356" i="2"/>
  <c r="N356" i="2" s="1"/>
  <c r="F355" i="2"/>
  <c r="N355" i="2" s="1"/>
  <c r="F354" i="2"/>
  <c r="N354" i="2" s="1"/>
  <c r="F353" i="2"/>
  <c r="N353" i="2" s="1"/>
  <c r="F352" i="2"/>
  <c r="N352" i="2" s="1"/>
  <c r="F351" i="2"/>
  <c r="N351" i="2" s="1"/>
  <c r="F350" i="2"/>
  <c r="N350" i="2" s="1"/>
  <c r="F349" i="2"/>
  <c r="N349" i="2" s="1"/>
  <c r="F348" i="2"/>
  <c r="N348" i="2" s="1"/>
  <c r="F347" i="2"/>
  <c r="N347" i="2" s="1"/>
  <c r="F346" i="2"/>
  <c r="N346" i="2" s="1"/>
  <c r="F345" i="2"/>
  <c r="N345" i="2" s="1"/>
  <c r="F344" i="2"/>
  <c r="N344" i="2" s="1"/>
  <c r="F343" i="2"/>
  <c r="N343" i="2" s="1"/>
  <c r="F342" i="2"/>
  <c r="N342" i="2" s="1"/>
  <c r="F341" i="2"/>
  <c r="N341" i="2" s="1"/>
  <c r="F340" i="2"/>
  <c r="N340" i="2" s="1"/>
  <c r="F339" i="2"/>
  <c r="N339" i="2" s="1"/>
  <c r="F338" i="2"/>
  <c r="N338" i="2" s="1"/>
  <c r="F337" i="2"/>
  <c r="N337" i="2" s="1"/>
  <c r="F336" i="2"/>
  <c r="N336" i="2" s="1"/>
  <c r="F335" i="2"/>
  <c r="N335" i="2" s="1"/>
  <c r="F334" i="2"/>
  <c r="N334" i="2" s="1"/>
  <c r="F333" i="2"/>
  <c r="N333" i="2" s="1"/>
  <c r="F332" i="2"/>
  <c r="N332" i="2" s="1"/>
  <c r="F331" i="2"/>
  <c r="N331" i="2" s="1"/>
  <c r="F330" i="2"/>
  <c r="N330" i="2" s="1"/>
  <c r="F329" i="2"/>
  <c r="N329" i="2" s="1"/>
  <c r="F328" i="2"/>
  <c r="N328" i="2" s="1"/>
  <c r="F327" i="2"/>
  <c r="N327" i="2" s="1"/>
  <c r="F326" i="2"/>
  <c r="N326" i="2" s="1"/>
  <c r="F325" i="2"/>
  <c r="N325" i="2" s="1"/>
  <c r="F324" i="2"/>
  <c r="N324" i="2" s="1"/>
  <c r="F323" i="2"/>
  <c r="N323" i="2" s="1"/>
  <c r="F322" i="2"/>
  <c r="N322" i="2" s="1"/>
  <c r="F321" i="2"/>
  <c r="N321" i="2" s="1"/>
  <c r="F320" i="2"/>
  <c r="N320" i="2" s="1"/>
  <c r="F319" i="2"/>
  <c r="N319" i="2" s="1"/>
  <c r="F318" i="2"/>
  <c r="N318" i="2" s="1"/>
  <c r="F317" i="2"/>
  <c r="N317" i="2" s="1"/>
  <c r="F316" i="2"/>
  <c r="N316" i="2" s="1"/>
  <c r="F315" i="2"/>
  <c r="N315" i="2" s="1"/>
  <c r="F314" i="2"/>
  <c r="N314" i="2" s="1"/>
  <c r="F313" i="2"/>
  <c r="N313" i="2" s="1"/>
  <c r="F312" i="2"/>
  <c r="N312" i="2" s="1"/>
  <c r="F311" i="2"/>
  <c r="N311" i="2" s="1"/>
  <c r="F310" i="2"/>
  <c r="N310" i="2" s="1"/>
  <c r="F309" i="2"/>
  <c r="N309" i="2" s="1"/>
  <c r="F308" i="2"/>
  <c r="N308" i="2" s="1"/>
  <c r="F307" i="2"/>
  <c r="N307" i="2" s="1"/>
  <c r="F306" i="2"/>
  <c r="N306" i="2" s="1"/>
  <c r="F305" i="2"/>
  <c r="N305" i="2" s="1"/>
  <c r="F304" i="2"/>
  <c r="N304" i="2" s="1"/>
  <c r="F303" i="2"/>
  <c r="N303" i="2" s="1"/>
  <c r="F302" i="2"/>
  <c r="N302" i="2" s="1"/>
  <c r="F301" i="2"/>
  <c r="N301" i="2" s="1"/>
  <c r="F300" i="2"/>
  <c r="N300" i="2" s="1"/>
  <c r="F299" i="2"/>
  <c r="N299" i="2" s="1"/>
  <c r="F298" i="2"/>
  <c r="N298" i="2" s="1"/>
  <c r="F297" i="2"/>
  <c r="N297" i="2" s="1"/>
  <c r="F296" i="2"/>
  <c r="N296" i="2" s="1"/>
  <c r="F295" i="2"/>
  <c r="N295" i="2" s="1"/>
  <c r="F294" i="2"/>
  <c r="N294" i="2" s="1"/>
  <c r="F293" i="2"/>
  <c r="N293" i="2" s="1"/>
  <c r="F292" i="2"/>
  <c r="N292" i="2" s="1"/>
  <c r="F291" i="2"/>
  <c r="N291" i="2" s="1"/>
  <c r="F290" i="2"/>
  <c r="N290" i="2" s="1"/>
  <c r="F289" i="2"/>
  <c r="N289" i="2" s="1"/>
  <c r="F288" i="2"/>
  <c r="N288" i="2" s="1"/>
  <c r="F287" i="2"/>
  <c r="N287" i="2" s="1"/>
  <c r="F286" i="2"/>
  <c r="N286" i="2" s="1"/>
  <c r="F285" i="2"/>
  <c r="N285" i="2" s="1"/>
  <c r="F284" i="2"/>
  <c r="N284" i="2" s="1"/>
  <c r="F283" i="2"/>
  <c r="N283" i="2" s="1"/>
  <c r="F282" i="2"/>
  <c r="N282" i="2" s="1"/>
  <c r="F281" i="2"/>
  <c r="N281" i="2" s="1"/>
  <c r="F280" i="2"/>
  <c r="N280" i="2" s="1"/>
  <c r="F279" i="2"/>
  <c r="N279" i="2" s="1"/>
  <c r="F278" i="2"/>
  <c r="N278" i="2" s="1"/>
  <c r="F277" i="2"/>
  <c r="N277" i="2" s="1"/>
  <c r="F276" i="2"/>
  <c r="N276" i="2" s="1"/>
  <c r="F275" i="2"/>
  <c r="N275" i="2" s="1"/>
  <c r="F274" i="2"/>
  <c r="N274" i="2" s="1"/>
  <c r="F273" i="2"/>
  <c r="N273" i="2" s="1"/>
  <c r="F272" i="2"/>
  <c r="N272" i="2" s="1"/>
  <c r="F271" i="2"/>
  <c r="N271" i="2" s="1"/>
  <c r="F270" i="2"/>
  <c r="N270" i="2" s="1"/>
  <c r="F269" i="2"/>
  <c r="N269" i="2" s="1"/>
  <c r="F268" i="2"/>
  <c r="N268" i="2" s="1"/>
  <c r="F267" i="2"/>
  <c r="N267" i="2" s="1"/>
  <c r="F266" i="2"/>
  <c r="N266" i="2" s="1"/>
  <c r="F265" i="2"/>
  <c r="N265" i="2" s="1"/>
  <c r="F264" i="2"/>
  <c r="N264" i="2" s="1"/>
  <c r="F263" i="2"/>
  <c r="N263" i="2" s="1"/>
  <c r="F262" i="2"/>
  <c r="N262" i="2" s="1"/>
  <c r="F261" i="2"/>
  <c r="N261" i="2" s="1"/>
  <c r="F260" i="2"/>
  <c r="N260" i="2" s="1"/>
  <c r="F259" i="2"/>
  <c r="N259" i="2" s="1"/>
  <c r="F258" i="2"/>
  <c r="N258" i="2" s="1"/>
  <c r="F257" i="2"/>
  <c r="N257" i="2" s="1"/>
  <c r="F256" i="2"/>
  <c r="N256" i="2" s="1"/>
  <c r="F255" i="2"/>
  <c r="N255" i="2" s="1"/>
  <c r="F254" i="2"/>
  <c r="N254" i="2" s="1"/>
  <c r="F253" i="2"/>
  <c r="N253" i="2" s="1"/>
  <c r="F252" i="2"/>
  <c r="N252" i="2" s="1"/>
  <c r="F251" i="2"/>
  <c r="N251" i="2" s="1"/>
  <c r="F250" i="2"/>
  <c r="N250" i="2" s="1"/>
  <c r="F249" i="2"/>
  <c r="N249" i="2" s="1"/>
  <c r="F248" i="2"/>
  <c r="N248" i="2" s="1"/>
  <c r="F247" i="2"/>
  <c r="N247" i="2" s="1"/>
  <c r="F246" i="2"/>
  <c r="N246" i="2" s="1"/>
  <c r="F245" i="2"/>
  <c r="N245" i="2" s="1"/>
  <c r="F244" i="2"/>
  <c r="N244" i="2" s="1"/>
  <c r="F243" i="2"/>
  <c r="N243" i="2" s="1"/>
  <c r="F242" i="2"/>
  <c r="N242" i="2" s="1"/>
  <c r="F241" i="2"/>
  <c r="N241" i="2" s="1"/>
  <c r="F240" i="2"/>
  <c r="N240" i="2" s="1"/>
  <c r="F239" i="2"/>
  <c r="N239" i="2" s="1"/>
  <c r="F238" i="2"/>
  <c r="N238" i="2" s="1"/>
  <c r="F237" i="2"/>
  <c r="N237" i="2" s="1"/>
  <c r="F236" i="2"/>
  <c r="N236" i="2" s="1"/>
  <c r="F235" i="2"/>
  <c r="N235" i="2" s="1"/>
  <c r="F234" i="2"/>
  <c r="N234" i="2" s="1"/>
  <c r="F233" i="2"/>
  <c r="N233" i="2" s="1"/>
  <c r="F232" i="2"/>
  <c r="N232" i="2" s="1"/>
  <c r="F231" i="2"/>
  <c r="N231" i="2" s="1"/>
  <c r="F230" i="2"/>
  <c r="N230" i="2" s="1"/>
  <c r="F229" i="2"/>
  <c r="N229" i="2" s="1"/>
  <c r="F228" i="2"/>
  <c r="N228" i="2" s="1"/>
  <c r="F227" i="2"/>
  <c r="N227" i="2" s="1"/>
  <c r="F226" i="2"/>
  <c r="N226" i="2" s="1"/>
  <c r="F225" i="2"/>
  <c r="N225" i="2" s="1"/>
  <c r="F224" i="2"/>
  <c r="N224" i="2" s="1"/>
  <c r="F223" i="2"/>
  <c r="N223" i="2" s="1"/>
  <c r="F222" i="2"/>
  <c r="N222" i="2" s="1"/>
  <c r="F221" i="2"/>
  <c r="N221" i="2" s="1"/>
  <c r="F220" i="2"/>
  <c r="N220" i="2" s="1"/>
  <c r="F219" i="2"/>
  <c r="N219" i="2" s="1"/>
  <c r="F218" i="2"/>
  <c r="N218" i="2" s="1"/>
  <c r="F217" i="2"/>
  <c r="N217" i="2" s="1"/>
  <c r="F216" i="2"/>
  <c r="N216" i="2" s="1"/>
  <c r="F215" i="2"/>
  <c r="N215" i="2" s="1"/>
  <c r="F214" i="2"/>
  <c r="N214" i="2" s="1"/>
  <c r="F213" i="2"/>
  <c r="N213" i="2" s="1"/>
  <c r="F212" i="2"/>
  <c r="N212" i="2" s="1"/>
  <c r="F211" i="2"/>
  <c r="N211" i="2" s="1"/>
  <c r="F210" i="2"/>
  <c r="N210" i="2" s="1"/>
  <c r="F209" i="2"/>
  <c r="N209" i="2" s="1"/>
  <c r="F208" i="2"/>
  <c r="N208" i="2" s="1"/>
  <c r="F207" i="2"/>
  <c r="N207" i="2" s="1"/>
  <c r="F206" i="2"/>
  <c r="N206" i="2" s="1"/>
  <c r="F205" i="2"/>
  <c r="N205" i="2" s="1"/>
  <c r="F204" i="2"/>
  <c r="N204" i="2" s="1"/>
  <c r="F203" i="2"/>
  <c r="N203" i="2" s="1"/>
  <c r="F202" i="2"/>
  <c r="N202" i="2" s="1"/>
  <c r="F201" i="2"/>
  <c r="N201" i="2" s="1"/>
  <c r="F200" i="2"/>
  <c r="N200" i="2" s="1"/>
  <c r="F199" i="2"/>
  <c r="N199" i="2" s="1"/>
  <c r="F198" i="2"/>
  <c r="N198" i="2" s="1"/>
  <c r="F197" i="2"/>
  <c r="N197" i="2" s="1"/>
  <c r="F196" i="2"/>
  <c r="N196" i="2" s="1"/>
  <c r="F195" i="2"/>
  <c r="N195" i="2" s="1"/>
  <c r="F194" i="2"/>
  <c r="N194" i="2" s="1"/>
  <c r="F193" i="2"/>
  <c r="N193" i="2" s="1"/>
  <c r="F192" i="2"/>
  <c r="N192" i="2" s="1"/>
  <c r="F191" i="2"/>
  <c r="N191" i="2" s="1"/>
  <c r="F190" i="2"/>
  <c r="N190" i="2" s="1"/>
  <c r="F189" i="2"/>
  <c r="N189" i="2" s="1"/>
  <c r="F188" i="2"/>
  <c r="N188" i="2" s="1"/>
  <c r="F187" i="2"/>
  <c r="N187" i="2" s="1"/>
  <c r="F186" i="2"/>
  <c r="N186" i="2" s="1"/>
  <c r="F185" i="2"/>
  <c r="N185" i="2" s="1"/>
  <c r="F184" i="2"/>
  <c r="N184" i="2" s="1"/>
  <c r="F183" i="2"/>
  <c r="N183" i="2" s="1"/>
  <c r="F182" i="2"/>
  <c r="N182" i="2" s="1"/>
  <c r="F181" i="2"/>
  <c r="N181" i="2" s="1"/>
  <c r="F180" i="2"/>
  <c r="N180" i="2" s="1"/>
  <c r="F179" i="2"/>
  <c r="N179" i="2" s="1"/>
  <c r="F178" i="2"/>
  <c r="N178" i="2" s="1"/>
  <c r="F177" i="2"/>
  <c r="N177" i="2" s="1"/>
  <c r="F176" i="2"/>
  <c r="N176" i="2" s="1"/>
  <c r="F175" i="2"/>
  <c r="N175" i="2" s="1"/>
  <c r="F174" i="2"/>
  <c r="N174" i="2" s="1"/>
  <c r="F173" i="2"/>
  <c r="N173" i="2" s="1"/>
  <c r="F172" i="2"/>
  <c r="N172" i="2" s="1"/>
  <c r="F171" i="2"/>
  <c r="N171" i="2" s="1"/>
  <c r="F170" i="2"/>
  <c r="N170" i="2" s="1"/>
  <c r="F169" i="2"/>
  <c r="N169" i="2" s="1"/>
  <c r="F168" i="2"/>
  <c r="N168" i="2" s="1"/>
  <c r="F167" i="2"/>
  <c r="N167" i="2" s="1"/>
  <c r="F166" i="2"/>
  <c r="N166" i="2" s="1"/>
  <c r="F165" i="2"/>
  <c r="N165" i="2" s="1"/>
  <c r="F164" i="2"/>
  <c r="N164" i="2" s="1"/>
  <c r="F163" i="2"/>
  <c r="N163" i="2" s="1"/>
  <c r="F162" i="2"/>
  <c r="N162" i="2" s="1"/>
  <c r="F161" i="2"/>
  <c r="N161" i="2" s="1"/>
  <c r="F160" i="2"/>
  <c r="N160" i="2" s="1"/>
  <c r="F159" i="2"/>
  <c r="N159" i="2" s="1"/>
  <c r="F158" i="2"/>
  <c r="N158" i="2" s="1"/>
  <c r="F157" i="2"/>
  <c r="N157" i="2" s="1"/>
  <c r="F156" i="2"/>
  <c r="N156" i="2" s="1"/>
  <c r="F155" i="2"/>
  <c r="N155" i="2" s="1"/>
  <c r="F154" i="2"/>
  <c r="N154" i="2" s="1"/>
  <c r="F153" i="2"/>
  <c r="N153" i="2" s="1"/>
  <c r="F152" i="2"/>
  <c r="N152" i="2" s="1"/>
  <c r="F151" i="2"/>
  <c r="N151" i="2" s="1"/>
  <c r="F150" i="2"/>
  <c r="N150" i="2" s="1"/>
  <c r="F149" i="2"/>
  <c r="N149" i="2" s="1"/>
  <c r="F148" i="2"/>
  <c r="N148" i="2" s="1"/>
  <c r="F147" i="2"/>
  <c r="N147" i="2" s="1"/>
  <c r="F146" i="2"/>
  <c r="N146" i="2" s="1"/>
  <c r="F145" i="2"/>
  <c r="N145" i="2" s="1"/>
  <c r="F144" i="2"/>
  <c r="N144" i="2" s="1"/>
  <c r="F143" i="2"/>
  <c r="N143" i="2" s="1"/>
  <c r="F142" i="2"/>
  <c r="N142" i="2" s="1"/>
  <c r="F141" i="2"/>
  <c r="N141" i="2" s="1"/>
  <c r="F140" i="2"/>
  <c r="N140" i="2" s="1"/>
  <c r="F139" i="2"/>
  <c r="N139" i="2" s="1"/>
  <c r="F138" i="2"/>
  <c r="N138" i="2" s="1"/>
  <c r="F137" i="2"/>
  <c r="N137" i="2" s="1"/>
  <c r="F136" i="2"/>
  <c r="N136" i="2" s="1"/>
  <c r="F135" i="2"/>
  <c r="N135" i="2" s="1"/>
  <c r="F134" i="2"/>
  <c r="N134" i="2" s="1"/>
  <c r="F133" i="2"/>
  <c r="N133" i="2" s="1"/>
  <c r="F132" i="2"/>
  <c r="N132" i="2" s="1"/>
  <c r="F131" i="2"/>
  <c r="N131" i="2" s="1"/>
  <c r="F130" i="2"/>
  <c r="N130" i="2" s="1"/>
  <c r="F129" i="2"/>
  <c r="N129" i="2" s="1"/>
  <c r="F128" i="2"/>
  <c r="N128" i="2" s="1"/>
  <c r="F127" i="2"/>
  <c r="N127" i="2" s="1"/>
  <c r="F126" i="2"/>
  <c r="N126" i="2" s="1"/>
  <c r="F125" i="2"/>
  <c r="N125" i="2" s="1"/>
  <c r="F124" i="2"/>
  <c r="N124" i="2" s="1"/>
  <c r="F123" i="2"/>
  <c r="N123" i="2" s="1"/>
  <c r="F122" i="2"/>
  <c r="N122" i="2" s="1"/>
  <c r="F121" i="2"/>
  <c r="N121" i="2" s="1"/>
  <c r="F120" i="2"/>
  <c r="N120" i="2" s="1"/>
  <c r="F119" i="2"/>
  <c r="N119" i="2" s="1"/>
  <c r="F118" i="2"/>
  <c r="N118" i="2" s="1"/>
  <c r="F117" i="2"/>
  <c r="N117" i="2" s="1"/>
  <c r="F116" i="2"/>
  <c r="N116" i="2" s="1"/>
  <c r="F115" i="2"/>
  <c r="N115" i="2" s="1"/>
  <c r="F114" i="2"/>
  <c r="N114" i="2" s="1"/>
  <c r="F113" i="2"/>
  <c r="N113" i="2" s="1"/>
  <c r="F112" i="2"/>
  <c r="N112" i="2" s="1"/>
  <c r="F111" i="2"/>
  <c r="N111" i="2" s="1"/>
  <c r="F110" i="2"/>
  <c r="N110" i="2" s="1"/>
  <c r="F109" i="2"/>
  <c r="N109" i="2" s="1"/>
  <c r="F108" i="2"/>
  <c r="N108" i="2" s="1"/>
  <c r="F107" i="2"/>
  <c r="N107" i="2" s="1"/>
  <c r="F106" i="2"/>
  <c r="N106" i="2" s="1"/>
  <c r="F105" i="2"/>
  <c r="N105" i="2" s="1"/>
  <c r="F104" i="2"/>
  <c r="N104" i="2" s="1"/>
  <c r="F103" i="2"/>
  <c r="N103" i="2" s="1"/>
  <c r="F102" i="2"/>
  <c r="N102" i="2" s="1"/>
  <c r="F101" i="2"/>
  <c r="N101" i="2" s="1"/>
  <c r="F100" i="2"/>
  <c r="N100" i="2" s="1"/>
  <c r="F99" i="2"/>
  <c r="N99" i="2" s="1"/>
  <c r="F98" i="2"/>
  <c r="N98" i="2" s="1"/>
  <c r="F97" i="2"/>
  <c r="N97" i="2" s="1"/>
  <c r="F96" i="2"/>
  <c r="N96" i="2" s="1"/>
  <c r="F95" i="2"/>
  <c r="N95" i="2" s="1"/>
  <c r="F94" i="2"/>
  <c r="N94" i="2" s="1"/>
  <c r="F93" i="2"/>
  <c r="N93" i="2" s="1"/>
  <c r="F92" i="2"/>
  <c r="N92" i="2" s="1"/>
  <c r="F91" i="2"/>
  <c r="N91" i="2" s="1"/>
  <c r="F90" i="2"/>
  <c r="N90" i="2" s="1"/>
  <c r="F89" i="2"/>
  <c r="N89" i="2" s="1"/>
  <c r="F88" i="2"/>
  <c r="N88" i="2" s="1"/>
  <c r="F87" i="2"/>
  <c r="N87" i="2" s="1"/>
  <c r="F86" i="2"/>
  <c r="N86" i="2" s="1"/>
  <c r="F85" i="2"/>
  <c r="N85" i="2" s="1"/>
  <c r="F84" i="2"/>
  <c r="N84" i="2" s="1"/>
  <c r="F83" i="2"/>
  <c r="N83" i="2" s="1"/>
  <c r="F82" i="2"/>
  <c r="N82" i="2" s="1"/>
  <c r="F81" i="2"/>
  <c r="N81" i="2" s="1"/>
  <c r="F67" i="2"/>
  <c r="N67" i="2" s="1"/>
  <c r="F52" i="2"/>
  <c r="N52" i="2" s="1"/>
  <c r="F49" i="2"/>
  <c r="N49" i="2" s="1"/>
  <c r="F11" i="2"/>
  <c r="N11" i="2" s="1"/>
  <c r="P28" i="2"/>
  <c r="F74" i="2" l="1"/>
  <c r="N74" i="2" s="1"/>
  <c r="F12" i="2"/>
  <c r="N12" i="2" s="1"/>
  <c r="F25" i="2"/>
  <c r="N25" i="2" s="1"/>
  <c r="F75" i="2"/>
  <c r="N75" i="2" s="1"/>
  <c r="P25" i="2"/>
  <c r="F20" i="2"/>
  <c r="N20" i="2" s="1"/>
  <c r="P33" i="2"/>
  <c r="F32" i="2"/>
  <c r="N32" i="2" s="1"/>
  <c r="F40" i="2"/>
  <c r="N40" i="2" s="1"/>
  <c r="F48" i="2"/>
  <c r="N48" i="2" s="1"/>
  <c r="F56" i="2"/>
  <c r="N56" i="2" s="1"/>
  <c r="F68" i="2"/>
  <c r="N68" i="2" s="1"/>
  <c r="F76" i="2"/>
  <c r="N76" i="2" s="1"/>
  <c r="F80" i="2"/>
  <c r="N80" i="2" s="1"/>
  <c r="P30" i="2"/>
  <c r="F33" i="2"/>
  <c r="N33" i="2" s="1"/>
  <c r="F53" i="2"/>
  <c r="N53" i="2" s="1"/>
  <c r="F57" i="2"/>
  <c r="N57" i="2" s="1"/>
  <c r="F69" i="2"/>
  <c r="N69" i="2" s="1"/>
  <c r="F77" i="2"/>
  <c r="N77" i="2" s="1"/>
  <c r="F30" i="2"/>
  <c r="N30" i="2" s="1"/>
  <c r="F34" i="2"/>
  <c r="N34" i="2" s="1"/>
  <c r="F50" i="2"/>
  <c r="N50" i="2" s="1"/>
  <c r="F58" i="2"/>
  <c r="N58" i="2" s="1"/>
  <c r="F62" i="2"/>
  <c r="N62" i="2" s="1"/>
  <c r="F70" i="2"/>
  <c r="N70" i="2" s="1"/>
  <c r="F78" i="2"/>
  <c r="N78" i="2" s="1"/>
  <c r="P32" i="2"/>
  <c r="F15" i="2"/>
  <c r="N15" i="2" s="1"/>
  <c r="F23" i="2"/>
  <c r="N23" i="2" s="1"/>
  <c r="F31" i="2"/>
  <c r="N31" i="2" s="1"/>
  <c r="F51" i="2"/>
  <c r="N51" i="2" s="1"/>
  <c r="O52" i="2"/>
  <c r="O84" i="2"/>
  <c r="O88" i="2"/>
  <c r="O92" i="2"/>
  <c r="O96" i="2"/>
  <c r="O100" i="2"/>
  <c r="O104" i="2"/>
  <c r="O108" i="2"/>
  <c r="O112" i="2"/>
  <c r="O116" i="2"/>
  <c r="O120" i="2"/>
  <c r="O124" i="2"/>
  <c r="O128" i="2"/>
  <c r="O132" i="2"/>
  <c r="O136" i="2"/>
  <c r="O140" i="2"/>
  <c r="O144" i="2"/>
  <c r="O148" i="2"/>
  <c r="O152" i="2"/>
  <c r="O156" i="2"/>
  <c r="O160" i="2"/>
  <c r="O164" i="2"/>
  <c r="O168" i="2"/>
  <c r="O172" i="2"/>
  <c r="O176" i="2"/>
  <c r="O180" i="2"/>
  <c r="O184" i="2"/>
  <c r="O188" i="2"/>
  <c r="O192" i="2"/>
  <c r="O196" i="2"/>
  <c r="O200" i="2"/>
  <c r="O204" i="2"/>
  <c r="O208" i="2"/>
  <c r="O212" i="2"/>
  <c r="O216" i="2"/>
  <c r="O220" i="2"/>
  <c r="O224" i="2"/>
  <c r="O228" i="2"/>
  <c r="O232" i="2"/>
  <c r="O236" i="2"/>
  <c r="O240" i="2"/>
  <c r="O244" i="2"/>
  <c r="O248" i="2"/>
  <c r="O252" i="2"/>
  <c r="O256" i="2"/>
  <c r="O260" i="2"/>
  <c r="O264" i="2"/>
  <c r="O268" i="2"/>
  <c r="O272" i="2"/>
  <c r="O276" i="2"/>
  <c r="O280" i="2"/>
  <c r="O284" i="2"/>
  <c r="O288" i="2"/>
  <c r="O292" i="2"/>
  <c r="O296" i="2"/>
  <c r="O300" i="2"/>
  <c r="O304" i="2"/>
  <c r="O308" i="2"/>
  <c r="O312" i="2"/>
  <c r="O316" i="2"/>
  <c r="O320" i="2"/>
  <c r="O324" i="2"/>
  <c r="O328" i="2"/>
  <c r="O332" i="2"/>
  <c r="O336" i="2"/>
  <c r="O340" i="2"/>
  <c r="O344" i="2"/>
  <c r="O348" i="2"/>
  <c r="O352" i="2"/>
  <c r="O356" i="2"/>
  <c r="O360" i="2"/>
  <c r="O364" i="2"/>
  <c r="O368" i="2"/>
  <c r="O372" i="2"/>
  <c r="O376" i="2"/>
  <c r="O380" i="2"/>
  <c r="O384" i="2"/>
  <c r="O388" i="2"/>
  <c r="O392" i="2"/>
  <c r="O396" i="2"/>
  <c r="O400" i="2"/>
  <c r="O404" i="2"/>
  <c r="O408" i="2"/>
  <c r="O412" i="2"/>
  <c r="O416" i="2"/>
  <c r="O420" i="2"/>
  <c r="O424" i="2"/>
  <c r="O428" i="2"/>
  <c r="O432" i="2"/>
  <c r="O436" i="2"/>
  <c r="O440" i="2"/>
  <c r="O444" i="2"/>
  <c r="O448" i="2"/>
  <c r="O452" i="2"/>
  <c r="O456" i="2"/>
  <c r="O460" i="2"/>
  <c r="O464" i="2"/>
  <c r="O468" i="2"/>
  <c r="O472" i="2"/>
  <c r="O476" i="2"/>
  <c r="O480" i="2"/>
  <c r="O484" i="2"/>
  <c r="O488" i="2"/>
  <c r="O492" i="2"/>
  <c r="O496" i="2"/>
  <c r="O500" i="2"/>
  <c r="O504" i="2"/>
  <c r="O508" i="2"/>
  <c r="O512" i="2"/>
  <c r="O516" i="2"/>
  <c r="O520" i="2"/>
  <c r="O524" i="2"/>
  <c r="O528" i="2"/>
  <c r="O532" i="2"/>
  <c r="O536" i="2"/>
  <c r="O540" i="2"/>
  <c r="O544" i="2"/>
  <c r="O548" i="2"/>
  <c r="O552" i="2"/>
  <c r="O556" i="2"/>
  <c r="O560" i="2"/>
  <c r="O564" i="2"/>
  <c r="O568" i="2"/>
  <c r="O572" i="2"/>
  <c r="O576" i="2"/>
  <c r="O580" i="2"/>
  <c r="O584" i="2"/>
  <c r="O588" i="2"/>
  <c r="O592" i="2"/>
  <c r="O596" i="2"/>
  <c r="O600" i="2"/>
  <c r="O604" i="2"/>
  <c r="O608" i="2"/>
  <c r="O612" i="2"/>
  <c r="O616" i="2"/>
  <c r="O620" i="2"/>
  <c r="O624" i="2"/>
  <c r="O628" i="2"/>
  <c r="O632" i="2"/>
  <c r="O636" i="2"/>
  <c r="O640" i="2"/>
  <c r="O644" i="2"/>
  <c r="O648" i="2"/>
  <c r="O652" i="2"/>
  <c r="O656" i="2"/>
  <c r="O660" i="2"/>
  <c r="O664" i="2"/>
  <c r="O668" i="2"/>
  <c r="O672" i="2"/>
  <c r="O676" i="2"/>
  <c r="O680" i="2"/>
  <c r="O684" i="2"/>
  <c r="O688" i="2"/>
  <c r="O692" i="2"/>
  <c r="O696" i="2"/>
  <c r="O700" i="2"/>
  <c r="O704" i="2"/>
  <c r="O708" i="2"/>
  <c r="O712" i="2"/>
  <c r="O716" i="2"/>
  <c r="O720" i="2"/>
  <c r="O724" i="2"/>
  <c r="O728" i="2"/>
  <c r="O732" i="2"/>
  <c r="O736" i="2"/>
  <c r="O740" i="2"/>
  <c r="O744" i="2"/>
  <c r="O748" i="2"/>
  <c r="O752" i="2"/>
  <c r="O756" i="2"/>
  <c r="O760" i="2"/>
  <c r="O764" i="2"/>
  <c r="O768" i="2"/>
  <c r="O772" i="2"/>
  <c r="O776" i="2"/>
  <c r="O780" i="2"/>
  <c r="O784" i="2"/>
  <c r="O788" i="2"/>
  <c r="O792" i="2"/>
  <c r="O796" i="2"/>
  <c r="O800" i="2"/>
  <c r="O804" i="2"/>
  <c r="O808" i="2"/>
  <c r="O812" i="2"/>
  <c r="O816" i="2"/>
  <c r="O820" i="2"/>
  <c r="O824" i="2"/>
  <c r="O828" i="2"/>
  <c r="O832" i="2"/>
  <c r="O836" i="2"/>
  <c r="O840" i="2"/>
  <c r="O844" i="2"/>
  <c r="O848" i="2"/>
  <c r="O852" i="2"/>
  <c r="O856" i="2"/>
  <c r="O860" i="2"/>
  <c r="O864" i="2"/>
  <c r="O868" i="2"/>
  <c r="O872" i="2"/>
  <c r="O876" i="2"/>
  <c r="O880" i="2"/>
  <c r="O884" i="2"/>
  <c r="O888" i="2"/>
  <c r="O892" i="2"/>
  <c r="O896" i="2"/>
  <c r="O900" i="2"/>
  <c r="O904" i="2"/>
  <c r="O908" i="2"/>
  <c r="O912" i="2"/>
  <c r="O916" i="2"/>
  <c r="O920" i="2"/>
  <c r="O924" i="2"/>
  <c r="O928" i="2"/>
  <c r="O932" i="2"/>
  <c r="O936" i="2"/>
  <c r="O940" i="2"/>
  <c r="O944" i="2"/>
  <c r="O948" i="2"/>
  <c r="O952" i="2"/>
  <c r="O956" i="2"/>
  <c r="O960" i="2"/>
  <c r="O964" i="2"/>
  <c r="O968" i="2"/>
  <c r="O972" i="2"/>
  <c r="O976" i="2"/>
  <c r="O980" i="2"/>
  <c r="O984" i="2"/>
  <c r="O988" i="2"/>
  <c r="O992" i="2"/>
  <c r="O996" i="2"/>
  <c r="O1000" i="2"/>
  <c r="O1004" i="2"/>
  <c r="O1008" i="2"/>
  <c r="O1012" i="2"/>
  <c r="O1016" i="2"/>
  <c r="O1020" i="2"/>
  <c r="O1024" i="2"/>
  <c r="O1028" i="2"/>
  <c r="O1032" i="2"/>
  <c r="O1036" i="2"/>
  <c r="O1040" i="2"/>
  <c r="O1044" i="2"/>
  <c r="O1048" i="2"/>
  <c r="O1052" i="2"/>
  <c r="O1056" i="2"/>
  <c r="O1060" i="2"/>
  <c r="O1064" i="2"/>
  <c r="O1068" i="2"/>
  <c r="O1072" i="2"/>
  <c r="O1076" i="2"/>
  <c r="O1080" i="2"/>
  <c r="O1084" i="2"/>
  <c r="O1088" i="2"/>
  <c r="O1092" i="2"/>
  <c r="O1096" i="2"/>
  <c r="O1100" i="2"/>
  <c r="O1104" i="2"/>
  <c r="O1108" i="2"/>
  <c r="O1112" i="2"/>
  <c r="O1116" i="2"/>
  <c r="O1120" i="2"/>
  <c r="O1124" i="2"/>
  <c r="O1128" i="2"/>
  <c r="O1132" i="2"/>
  <c r="O1136" i="2"/>
  <c r="O1140" i="2"/>
  <c r="O1144" i="2"/>
  <c r="O1148" i="2"/>
  <c r="O1152" i="2"/>
  <c r="O1156" i="2"/>
  <c r="O1160" i="2"/>
  <c r="O1164" i="2"/>
  <c r="O1168" i="2"/>
  <c r="O1172" i="2"/>
  <c r="O1176" i="2"/>
  <c r="O1180" i="2"/>
  <c r="O1184" i="2"/>
  <c r="O1188" i="2"/>
  <c r="O1192" i="2"/>
  <c r="O1196" i="2"/>
  <c r="O1200" i="2"/>
  <c r="O1204" i="2"/>
  <c r="O1208" i="2"/>
  <c r="O1212" i="2"/>
  <c r="O1216" i="2"/>
  <c r="O1220" i="2"/>
  <c r="O1224" i="2"/>
  <c r="O1228" i="2"/>
  <c r="O1232" i="2"/>
  <c r="O1236" i="2"/>
  <c r="O1240" i="2"/>
  <c r="O1244" i="2"/>
  <c r="O1248" i="2"/>
  <c r="O1252" i="2"/>
  <c r="O1256" i="2"/>
  <c r="O1260" i="2"/>
  <c r="O1264" i="2"/>
  <c r="O1268" i="2"/>
  <c r="O1272" i="2"/>
  <c r="O1276" i="2"/>
  <c r="O1280" i="2"/>
  <c r="O1284" i="2"/>
  <c r="O1288" i="2"/>
  <c r="O1292" i="2"/>
  <c r="O1296" i="2"/>
  <c r="O1300" i="2"/>
  <c r="O1304" i="2"/>
  <c r="O1308" i="2"/>
  <c r="O1312" i="2"/>
  <c r="O1316" i="2"/>
  <c r="O1320" i="2"/>
  <c r="O1324" i="2"/>
  <c r="O1328" i="2"/>
  <c r="O1332" i="2"/>
  <c r="O1336" i="2"/>
  <c r="O1340" i="2"/>
  <c r="O1344" i="2"/>
  <c r="O1348" i="2"/>
  <c r="O1352" i="2"/>
  <c r="O1356" i="2"/>
  <c r="O1360" i="2"/>
  <c r="O1364" i="2"/>
  <c r="O1368" i="2"/>
  <c r="O1372" i="2"/>
  <c r="O1376" i="2"/>
  <c r="O1380" i="2"/>
  <c r="O1384" i="2"/>
  <c r="O1388" i="2"/>
  <c r="O1392" i="2"/>
  <c r="O1396" i="2"/>
  <c r="O1400" i="2"/>
  <c r="O1404" i="2"/>
  <c r="O1408" i="2"/>
  <c r="O1412" i="2"/>
  <c r="O1416" i="2"/>
  <c r="O1420" i="2"/>
  <c r="O1424" i="2"/>
  <c r="O1428" i="2"/>
  <c r="O1432" i="2"/>
  <c r="O1436" i="2"/>
  <c r="O1440" i="2"/>
  <c r="O1444" i="2"/>
  <c r="O1448" i="2"/>
  <c r="O1452" i="2"/>
  <c r="O1456" i="2"/>
  <c r="O1460" i="2"/>
  <c r="O1464" i="2"/>
  <c r="O1468" i="2"/>
  <c r="O1472" i="2"/>
  <c r="O1476" i="2"/>
  <c r="O1480" i="2"/>
  <c r="O1484" i="2"/>
  <c r="O1488" i="2"/>
  <c r="O1492" i="2"/>
  <c r="O1496" i="2"/>
  <c r="O49" i="2"/>
  <c r="O81" i="2"/>
  <c r="O85" i="2"/>
  <c r="O89" i="2"/>
  <c r="O93" i="2"/>
  <c r="O97" i="2"/>
  <c r="O101" i="2"/>
  <c r="O105" i="2"/>
  <c r="O109" i="2"/>
  <c r="O113" i="2"/>
  <c r="O117" i="2"/>
  <c r="O121" i="2"/>
  <c r="O125" i="2"/>
  <c r="O129" i="2"/>
  <c r="O133" i="2"/>
  <c r="O137" i="2"/>
  <c r="O141" i="2"/>
  <c r="O145" i="2"/>
  <c r="O149" i="2"/>
  <c r="O153" i="2"/>
  <c r="O157" i="2"/>
  <c r="O161" i="2"/>
  <c r="O165" i="2"/>
  <c r="O169" i="2"/>
  <c r="O173" i="2"/>
  <c r="O177" i="2"/>
  <c r="O181" i="2"/>
  <c r="O185" i="2"/>
  <c r="O189" i="2"/>
  <c r="O193" i="2"/>
  <c r="O197" i="2"/>
  <c r="O201" i="2"/>
  <c r="O205" i="2"/>
  <c r="O209" i="2"/>
  <c r="O213" i="2"/>
  <c r="O217" i="2"/>
  <c r="O221" i="2"/>
  <c r="O225" i="2"/>
  <c r="O229" i="2"/>
  <c r="O233" i="2"/>
  <c r="O237" i="2"/>
  <c r="O241" i="2"/>
  <c r="O245" i="2"/>
  <c r="O249" i="2"/>
  <c r="O253" i="2"/>
  <c r="O257" i="2"/>
  <c r="O261" i="2"/>
  <c r="O265" i="2"/>
  <c r="O269" i="2"/>
  <c r="O273" i="2"/>
  <c r="O277" i="2"/>
  <c r="O281" i="2"/>
  <c r="O285" i="2"/>
  <c r="O289" i="2"/>
  <c r="O293" i="2"/>
  <c r="O297" i="2"/>
  <c r="O301" i="2"/>
  <c r="O305" i="2"/>
  <c r="O309" i="2"/>
  <c r="O313" i="2"/>
  <c r="O317" i="2"/>
  <c r="O321" i="2"/>
  <c r="O325" i="2"/>
  <c r="O329" i="2"/>
  <c r="O333" i="2"/>
  <c r="O337" i="2"/>
  <c r="O341" i="2"/>
  <c r="O345" i="2"/>
  <c r="O349" i="2"/>
  <c r="O353" i="2"/>
  <c r="O357" i="2"/>
  <c r="O361" i="2"/>
  <c r="O365" i="2"/>
  <c r="O369" i="2"/>
  <c r="O373" i="2"/>
  <c r="O377" i="2"/>
  <c r="O381" i="2"/>
  <c r="O385" i="2"/>
  <c r="O389" i="2"/>
  <c r="O393" i="2"/>
  <c r="O397" i="2"/>
  <c r="O401" i="2"/>
  <c r="O405" i="2"/>
  <c r="O409" i="2"/>
  <c r="O413" i="2"/>
  <c r="O417" i="2"/>
  <c r="O421" i="2"/>
  <c r="O425" i="2"/>
  <c r="O429" i="2"/>
  <c r="O433" i="2"/>
  <c r="O437" i="2"/>
  <c r="O441" i="2"/>
  <c r="O445" i="2"/>
  <c r="O449" i="2"/>
  <c r="O453" i="2"/>
  <c r="O457" i="2"/>
  <c r="O461" i="2"/>
  <c r="O465" i="2"/>
  <c r="O469" i="2"/>
  <c r="O473" i="2"/>
  <c r="O477" i="2"/>
  <c r="O481" i="2"/>
  <c r="O485" i="2"/>
  <c r="O489" i="2"/>
  <c r="O493" i="2"/>
  <c r="O497" i="2"/>
  <c r="O501" i="2"/>
  <c r="O505" i="2"/>
  <c r="O509" i="2"/>
  <c r="O513" i="2"/>
  <c r="O517" i="2"/>
  <c r="O521" i="2"/>
  <c r="O525" i="2"/>
  <c r="O529" i="2"/>
  <c r="O533" i="2"/>
  <c r="O537" i="2"/>
  <c r="O541" i="2"/>
  <c r="O545" i="2"/>
  <c r="O549" i="2"/>
  <c r="O553" i="2"/>
  <c r="O557" i="2"/>
  <c r="O561" i="2"/>
  <c r="O565" i="2"/>
  <c r="O569" i="2"/>
  <c r="O573" i="2"/>
  <c r="O577" i="2"/>
  <c r="O581" i="2"/>
  <c r="O585" i="2"/>
  <c r="O589" i="2"/>
  <c r="O593" i="2"/>
  <c r="O597" i="2"/>
  <c r="O601" i="2"/>
  <c r="O605" i="2"/>
  <c r="O609" i="2"/>
  <c r="O613" i="2"/>
  <c r="O617" i="2"/>
  <c r="O621" i="2"/>
  <c r="O625" i="2"/>
  <c r="O629" i="2"/>
  <c r="O633" i="2"/>
  <c r="O637" i="2"/>
  <c r="O641" i="2"/>
  <c r="O645" i="2"/>
  <c r="O649" i="2"/>
  <c r="O653" i="2"/>
  <c r="O657" i="2"/>
  <c r="O661" i="2"/>
  <c r="O665" i="2"/>
  <c r="O669" i="2"/>
  <c r="O673" i="2"/>
  <c r="O677" i="2"/>
  <c r="O681" i="2"/>
  <c r="O685" i="2"/>
  <c r="O689" i="2"/>
  <c r="O693" i="2"/>
  <c r="O697" i="2"/>
  <c r="O701" i="2"/>
  <c r="O705" i="2"/>
  <c r="O709" i="2"/>
  <c r="O713" i="2"/>
  <c r="O717" i="2"/>
  <c r="O721" i="2"/>
  <c r="O725" i="2"/>
  <c r="O729" i="2"/>
  <c r="O733" i="2"/>
  <c r="O737" i="2"/>
  <c r="O741" i="2"/>
  <c r="O745" i="2"/>
  <c r="O749" i="2"/>
  <c r="O753" i="2"/>
  <c r="O757" i="2"/>
  <c r="O761" i="2"/>
  <c r="O765" i="2"/>
  <c r="O769" i="2"/>
  <c r="O773" i="2"/>
  <c r="O777" i="2"/>
  <c r="O781" i="2"/>
  <c r="O785" i="2"/>
  <c r="O789" i="2"/>
  <c r="O793" i="2"/>
  <c r="O797" i="2"/>
  <c r="O801" i="2"/>
  <c r="O805" i="2"/>
  <c r="O809" i="2"/>
  <c r="O813" i="2"/>
  <c r="O817" i="2"/>
  <c r="O821" i="2"/>
  <c r="O825" i="2"/>
  <c r="O829" i="2"/>
  <c r="O833" i="2"/>
  <c r="O837" i="2"/>
  <c r="O841" i="2"/>
  <c r="O845" i="2"/>
  <c r="O849" i="2"/>
  <c r="O853" i="2"/>
  <c r="O857" i="2"/>
  <c r="O861" i="2"/>
  <c r="O865" i="2"/>
  <c r="O869" i="2"/>
  <c r="O873" i="2"/>
  <c r="O877" i="2"/>
  <c r="O881" i="2"/>
  <c r="O885" i="2"/>
  <c r="O889" i="2"/>
  <c r="O893" i="2"/>
  <c r="O897" i="2"/>
  <c r="O901" i="2"/>
  <c r="O905" i="2"/>
  <c r="O909" i="2"/>
  <c r="O913" i="2"/>
  <c r="O917" i="2"/>
  <c r="O921" i="2"/>
  <c r="O925" i="2"/>
  <c r="O929" i="2"/>
  <c r="O933" i="2"/>
  <c r="O937" i="2"/>
  <c r="O941" i="2"/>
  <c r="O945" i="2"/>
  <c r="O949" i="2"/>
  <c r="O953" i="2"/>
  <c r="O957" i="2"/>
  <c r="O961" i="2"/>
  <c r="O965" i="2"/>
  <c r="O969" i="2"/>
  <c r="O973" i="2"/>
  <c r="O977" i="2"/>
  <c r="O981" i="2"/>
  <c r="O985" i="2"/>
  <c r="O989" i="2"/>
  <c r="O993" i="2"/>
  <c r="O997" i="2"/>
  <c r="O1001" i="2"/>
  <c r="O1005" i="2"/>
  <c r="O1009" i="2"/>
  <c r="O1013" i="2"/>
  <c r="O1017" i="2"/>
  <c r="O1021" i="2"/>
  <c r="O1025" i="2"/>
  <c r="O1029" i="2"/>
  <c r="O1033" i="2"/>
  <c r="O1037" i="2"/>
  <c r="O1041" i="2"/>
  <c r="O1045" i="2"/>
  <c r="O1049" i="2"/>
  <c r="O1053" i="2"/>
  <c r="O1057" i="2"/>
  <c r="O1061" i="2"/>
  <c r="O1065" i="2"/>
  <c r="O1069" i="2"/>
  <c r="O1073" i="2"/>
  <c r="O1077" i="2"/>
  <c r="O1081" i="2"/>
  <c r="O1085" i="2"/>
  <c r="O1089" i="2"/>
  <c r="O1093" i="2"/>
  <c r="O1097" i="2"/>
  <c r="O1101" i="2"/>
  <c r="O1105" i="2"/>
  <c r="O1109" i="2"/>
  <c r="O1113" i="2"/>
  <c r="O1117" i="2"/>
  <c r="O1121" i="2"/>
  <c r="O1125" i="2"/>
  <c r="O1129" i="2"/>
  <c r="O1133" i="2"/>
  <c r="O1137" i="2"/>
  <c r="O1141" i="2"/>
  <c r="O1145" i="2"/>
  <c r="O1149" i="2"/>
  <c r="O1153" i="2"/>
  <c r="O1157" i="2"/>
  <c r="O1161" i="2"/>
  <c r="O1165" i="2"/>
  <c r="O1169" i="2"/>
  <c r="O1173" i="2"/>
  <c r="O1177" i="2"/>
  <c r="O1181" i="2"/>
  <c r="O1185" i="2"/>
  <c r="O1189" i="2"/>
  <c r="O1193" i="2"/>
  <c r="O1197" i="2"/>
  <c r="O1201" i="2"/>
  <c r="O1205" i="2"/>
  <c r="O1209" i="2"/>
  <c r="O1213" i="2"/>
  <c r="O1217" i="2"/>
  <c r="O1221" i="2"/>
  <c r="O1225" i="2"/>
  <c r="O1229" i="2"/>
  <c r="O1233" i="2"/>
  <c r="O1237" i="2"/>
  <c r="O1241" i="2"/>
  <c r="O1245" i="2"/>
  <c r="O1249" i="2"/>
  <c r="O1253" i="2"/>
  <c r="O1257" i="2"/>
  <c r="O1261" i="2"/>
  <c r="O1265" i="2"/>
  <c r="O1269" i="2"/>
  <c r="O1273" i="2"/>
  <c r="O1277" i="2"/>
  <c r="O1281" i="2"/>
  <c r="O1285" i="2"/>
  <c r="O1289" i="2"/>
  <c r="O1293" i="2"/>
  <c r="O1297" i="2"/>
  <c r="O1301" i="2"/>
  <c r="O1305" i="2"/>
  <c r="O1309" i="2"/>
  <c r="O1313" i="2"/>
  <c r="O1317" i="2"/>
  <c r="O1321" i="2"/>
  <c r="O1325" i="2"/>
  <c r="O1329" i="2"/>
  <c r="O1333" i="2"/>
  <c r="O1337" i="2"/>
  <c r="O1341" i="2"/>
  <c r="O1345" i="2"/>
  <c r="O1349" i="2"/>
  <c r="O1353" i="2"/>
  <c r="O1357" i="2"/>
  <c r="O1361" i="2"/>
  <c r="O1365" i="2"/>
  <c r="O1369" i="2"/>
  <c r="O1373" i="2"/>
  <c r="O1377" i="2"/>
  <c r="O1381" i="2"/>
  <c r="O1385" i="2"/>
  <c r="O1389" i="2"/>
  <c r="O1393" i="2"/>
  <c r="O1397" i="2"/>
  <c r="O1401" i="2"/>
  <c r="O1405" i="2"/>
  <c r="O1409" i="2"/>
  <c r="O1413" i="2"/>
  <c r="O1417" i="2"/>
  <c r="O1421" i="2"/>
  <c r="O1425" i="2"/>
  <c r="O1429" i="2"/>
  <c r="O1433" i="2"/>
  <c r="O1437" i="2"/>
  <c r="O1441" i="2"/>
  <c r="O1445" i="2"/>
  <c r="O1449" i="2"/>
  <c r="O1453" i="2"/>
  <c r="O1457" i="2"/>
  <c r="O1461" i="2"/>
  <c r="O1465" i="2"/>
  <c r="O1469" i="2"/>
  <c r="O1473" i="2"/>
  <c r="O1477" i="2"/>
  <c r="O1481" i="2"/>
  <c r="O1485" i="2"/>
  <c r="O1489" i="2"/>
  <c r="O1493" i="2"/>
  <c r="O1497" i="2"/>
  <c r="O74" i="2"/>
  <c r="O82" i="2"/>
  <c r="O86" i="2"/>
  <c r="O90" i="2"/>
  <c r="O94" i="2"/>
  <c r="O98" i="2"/>
  <c r="O102" i="2"/>
  <c r="O106" i="2"/>
  <c r="O110" i="2"/>
  <c r="O114" i="2"/>
  <c r="O118" i="2"/>
  <c r="O122" i="2"/>
  <c r="O126" i="2"/>
  <c r="O130" i="2"/>
  <c r="O134" i="2"/>
  <c r="O138" i="2"/>
  <c r="O142" i="2"/>
  <c r="O146" i="2"/>
  <c r="O150" i="2"/>
  <c r="O154" i="2"/>
  <c r="O158" i="2"/>
  <c r="O162" i="2"/>
  <c r="O166" i="2"/>
  <c r="O170" i="2"/>
  <c r="O174" i="2"/>
  <c r="O178" i="2"/>
  <c r="O182" i="2"/>
  <c r="O186" i="2"/>
  <c r="O190" i="2"/>
  <c r="O194" i="2"/>
  <c r="O198" i="2"/>
  <c r="O202" i="2"/>
  <c r="O206" i="2"/>
  <c r="O210" i="2"/>
  <c r="O214" i="2"/>
  <c r="O218" i="2"/>
  <c r="O222" i="2"/>
  <c r="O226" i="2"/>
  <c r="O230" i="2"/>
  <c r="O234" i="2"/>
  <c r="O238" i="2"/>
  <c r="O242" i="2"/>
  <c r="O246" i="2"/>
  <c r="O250" i="2"/>
  <c r="O254" i="2"/>
  <c r="O258" i="2"/>
  <c r="O262" i="2"/>
  <c r="O266" i="2"/>
  <c r="O270" i="2"/>
  <c r="O274" i="2"/>
  <c r="O278" i="2"/>
  <c r="O282" i="2"/>
  <c r="O286" i="2"/>
  <c r="O290" i="2"/>
  <c r="O294" i="2"/>
  <c r="O298" i="2"/>
  <c r="O302" i="2"/>
  <c r="O306" i="2"/>
  <c r="O310" i="2"/>
  <c r="O314" i="2"/>
  <c r="O318" i="2"/>
  <c r="O322" i="2"/>
  <c r="O326" i="2"/>
  <c r="O330" i="2"/>
  <c r="O334" i="2"/>
  <c r="O338" i="2"/>
  <c r="O342" i="2"/>
  <c r="O346" i="2"/>
  <c r="O350" i="2"/>
  <c r="O354" i="2"/>
  <c r="O358" i="2"/>
  <c r="O362" i="2"/>
  <c r="O366" i="2"/>
  <c r="O370" i="2"/>
  <c r="O374" i="2"/>
  <c r="O378" i="2"/>
  <c r="O382" i="2"/>
  <c r="O386" i="2"/>
  <c r="O390" i="2"/>
  <c r="O394" i="2"/>
  <c r="O398" i="2"/>
  <c r="O402" i="2"/>
  <c r="O406" i="2"/>
  <c r="O410" i="2"/>
  <c r="O414" i="2"/>
  <c r="O418" i="2"/>
  <c r="O422" i="2"/>
  <c r="O426" i="2"/>
  <c r="O430" i="2"/>
  <c r="O434" i="2"/>
  <c r="O438" i="2"/>
  <c r="O442" i="2"/>
  <c r="O446" i="2"/>
  <c r="O450" i="2"/>
  <c r="O454" i="2"/>
  <c r="O458" i="2"/>
  <c r="O462" i="2"/>
  <c r="O466" i="2"/>
  <c r="O470" i="2"/>
  <c r="O474" i="2"/>
  <c r="O478" i="2"/>
  <c r="O482" i="2"/>
  <c r="O486" i="2"/>
  <c r="O490" i="2"/>
  <c r="O494" i="2"/>
  <c r="O498" i="2"/>
  <c r="O502" i="2"/>
  <c r="O506" i="2"/>
  <c r="O510" i="2"/>
  <c r="O514" i="2"/>
  <c r="O518" i="2"/>
  <c r="O522" i="2"/>
  <c r="O526" i="2"/>
  <c r="O530" i="2"/>
  <c r="O534" i="2"/>
  <c r="O538" i="2"/>
  <c r="O542" i="2"/>
  <c r="O546" i="2"/>
  <c r="O550" i="2"/>
  <c r="O554" i="2"/>
  <c r="O558" i="2"/>
  <c r="O562" i="2"/>
  <c r="O566" i="2"/>
  <c r="O570" i="2"/>
  <c r="O574" i="2"/>
  <c r="O578" i="2"/>
  <c r="O582" i="2"/>
  <c r="O586" i="2"/>
  <c r="O590" i="2"/>
  <c r="O594" i="2"/>
  <c r="O598" i="2"/>
  <c r="O602" i="2"/>
  <c r="O606" i="2"/>
  <c r="O610" i="2"/>
  <c r="O614" i="2"/>
  <c r="O618" i="2"/>
  <c r="O622" i="2"/>
  <c r="O626" i="2"/>
  <c r="O630" i="2"/>
  <c r="O634" i="2"/>
  <c r="O638" i="2"/>
  <c r="O642" i="2"/>
  <c r="O646" i="2"/>
  <c r="O650" i="2"/>
  <c r="O654" i="2"/>
  <c r="O658" i="2"/>
  <c r="O662" i="2"/>
  <c r="O666" i="2"/>
  <c r="O670" i="2"/>
  <c r="O674" i="2"/>
  <c r="O678" i="2"/>
  <c r="O682" i="2"/>
  <c r="O686" i="2"/>
  <c r="O690" i="2"/>
  <c r="O694" i="2"/>
  <c r="O698" i="2"/>
  <c r="O702" i="2"/>
  <c r="O706" i="2"/>
  <c r="O710" i="2"/>
  <c r="O714" i="2"/>
  <c r="O718" i="2"/>
  <c r="O722" i="2"/>
  <c r="O726" i="2"/>
  <c r="O730" i="2"/>
  <c r="O734" i="2"/>
  <c r="O738" i="2"/>
  <c r="O742" i="2"/>
  <c r="O746" i="2"/>
  <c r="O750" i="2"/>
  <c r="O754" i="2"/>
  <c r="O758" i="2"/>
  <c r="O762" i="2"/>
  <c r="O766" i="2"/>
  <c r="O770" i="2"/>
  <c r="O774" i="2"/>
  <c r="O778" i="2"/>
  <c r="O782" i="2"/>
  <c r="O786" i="2"/>
  <c r="O790" i="2"/>
  <c r="O794" i="2"/>
  <c r="O798" i="2"/>
  <c r="O802" i="2"/>
  <c r="O806" i="2"/>
  <c r="O810" i="2"/>
  <c r="O814" i="2"/>
  <c r="O818" i="2"/>
  <c r="O822" i="2"/>
  <c r="O826" i="2"/>
  <c r="O830" i="2"/>
  <c r="O834" i="2"/>
  <c r="O838" i="2"/>
  <c r="O842" i="2"/>
  <c r="O846" i="2"/>
  <c r="O850" i="2"/>
  <c r="O854" i="2"/>
  <c r="O858" i="2"/>
  <c r="O862" i="2"/>
  <c r="O866" i="2"/>
  <c r="O870" i="2"/>
  <c r="O874" i="2"/>
  <c r="O878" i="2"/>
  <c r="O882" i="2"/>
  <c r="O886" i="2"/>
  <c r="O890" i="2"/>
  <c r="O894" i="2"/>
  <c r="O898" i="2"/>
  <c r="O902" i="2"/>
  <c r="O906" i="2"/>
  <c r="O910" i="2"/>
  <c r="O914" i="2"/>
  <c r="O918" i="2"/>
  <c r="O922" i="2"/>
  <c r="O926" i="2"/>
  <c r="O930" i="2"/>
  <c r="O934" i="2"/>
  <c r="O938" i="2"/>
  <c r="O942" i="2"/>
  <c r="O946" i="2"/>
  <c r="O950" i="2"/>
  <c r="O954" i="2"/>
  <c r="O958" i="2"/>
  <c r="O962" i="2"/>
  <c r="O966" i="2"/>
  <c r="O970" i="2"/>
  <c r="O974" i="2"/>
  <c r="O978" i="2"/>
  <c r="O982" i="2"/>
  <c r="O986" i="2"/>
  <c r="O990" i="2"/>
  <c r="O994" i="2"/>
  <c r="O998" i="2"/>
  <c r="O1002" i="2"/>
  <c r="O1006" i="2"/>
  <c r="O1010" i="2"/>
  <c r="O1014" i="2"/>
  <c r="O1018" i="2"/>
  <c r="O1022" i="2"/>
  <c r="O1026" i="2"/>
  <c r="O1030" i="2"/>
  <c r="O1034" i="2"/>
  <c r="O1038" i="2"/>
  <c r="O1042" i="2"/>
  <c r="O1046" i="2"/>
  <c r="O1050" i="2"/>
  <c r="O1054" i="2"/>
  <c r="O1058" i="2"/>
  <c r="O1062" i="2"/>
  <c r="O1066" i="2"/>
  <c r="O1070" i="2"/>
  <c r="O1074" i="2"/>
  <c r="O1078" i="2"/>
  <c r="O1082" i="2"/>
  <c r="O1086" i="2"/>
  <c r="O1090" i="2"/>
  <c r="O1094" i="2"/>
  <c r="O1098" i="2"/>
  <c r="O1102" i="2"/>
  <c r="O1106" i="2"/>
  <c r="O1110" i="2"/>
  <c r="O1114" i="2"/>
  <c r="O1118" i="2"/>
  <c r="O1122" i="2"/>
  <c r="O1126" i="2"/>
  <c r="O1130" i="2"/>
  <c r="O1134" i="2"/>
  <c r="O1138" i="2"/>
  <c r="O1142" i="2"/>
  <c r="O1146" i="2"/>
  <c r="O1150" i="2"/>
  <c r="O1154" i="2"/>
  <c r="O1158" i="2"/>
  <c r="O1162" i="2"/>
  <c r="O1166" i="2"/>
  <c r="O1170" i="2"/>
  <c r="O1174" i="2"/>
  <c r="O1178" i="2"/>
  <c r="O1182" i="2"/>
  <c r="O1186" i="2"/>
  <c r="O1190" i="2"/>
  <c r="O1194" i="2"/>
  <c r="O1198" i="2"/>
  <c r="O1202" i="2"/>
  <c r="O1206" i="2"/>
  <c r="O1210" i="2"/>
  <c r="O1214" i="2"/>
  <c r="O1218" i="2"/>
  <c r="O1222" i="2"/>
  <c r="O1226" i="2"/>
  <c r="O1230" i="2"/>
  <c r="O1234" i="2"/>
  <c r="O1238" i="2"/>
  <c r="O1242" i="2"/>
  <c r="O1246" i="2"/>
  <c r="O1250" i="2"/>
  <c r="O1254" i="2"/>
  <c r="O1258" i="2"/>
  <c r="O1262" i="2"/>
  <c r="O1266" i="2"/>
  <c r="O1270" i="2"/>
  <c r="O1274" i="2"/>
  <c r="O1278" i="2"/>
  <c r="O1282" i="2"/>
  <c r="O1286" i="2"/>
  <c r="O1290" i="2"/>
  <c r="O1294" i="2"/>
  <c r="O1298" i="2"/>
  <c r="O1302" i="2"/>
  <c r="O1306" i="2"/>
  <c r="O1310" i="2"/>
  <c r="O1314" i="2"/>
  <c r="O1318" i="2"/>
  <c r="O1322" i="2"/>
  <c r="O1326" i="2"/>
  <c r="O1330" i="2"/>
  <c r="O1334" i="2"/>
  <c r="O1338" i="2"/>
  <c r="O1342" i="2"/>
  <c r="O1346" i="2"/>
  <c r="O1350" i="2"/>
  <c r="O1354" i="2"/>
  <c r="O1358" i="2"/>
  <c r="O1362" i="2"/>
  <c r="O1366" i="2"/>
  <c r="O1370" i="2"/>
  <c r="O1374" i="2"/>
  <c r="O1378" i="2"/>
  <c r="O1382" i="2"/>
  <c r="O1386" i="2"/>
  <c r="O1390" i="2"/>
  <c r="O1394" i="2"/>
  <c r="O1398" i="2"/>
  <c r="O1402" i="2"/>
  <c r="O1406" i="2"/>
  <c r="O1410" i="2"/>
  <c r="O1414" i="2"/>
  <c r="O1418" i="2"/>
  <c r="O1422" i="2"/>
  <c r="O1426" i="2"/>
  <c r="O1430" i="2"/>
  <c r="O1434" i="2"/>
  <c r="O1438" i="2"/>
  <c r="O1442" i="2"/>
  <c r="O1446" i="2"/>
  <c r="O1450" i="2"/>
  <c r="O1454" i="2"/>
  <c r="O1458" i="2"/>
  <c r="O1462" i="2"/>
  <c r="O1466" i="2"/>
  <c r="O1470" i="2"/>
  <c r="O1474" i="2"/>
  <c r="O1478" i="2"/>
  <c r="O1482" i="2"/>
  <c r="O1486" i="2"/>
  <c r="O1490" i="2"/>
  <c r="O1494" i="2"/>
  <c r="O1498" i="2"/>
  <c r="O11" i="2"/>
  <c r="O67" i="2"/>
  <c r="O83" i="2"/>
  <c r="O87" i="2"/>
  <c r="O91" i="2"/>
  <c r="O95" i="2"/>
  <c r="O99" i="2"/>
  <c r="O103" i="2"/>
  <c r="O107" i="2"/>
  <c r="O111" i="2"/>
  <c r="O115" i="2"/>
  <c r="O119" i="2"/>
  <c r="O123" i="2"/>
  <c r="O127" i="2"/>
  <c r="O131" i="2"/>
  <c r="O135" i="2"/>
  <c r="O139" i="2"/>
  <c r="O143" i="2"/>
  <c r="O147" i="2"/>
  <c r="O151" i="2"/>
  <c r="O155" i="2"/>
  <c r="O159" i="2"/>
  <c r="O163" i="2"/>
  <c r="O167" i="2"/>
  <c r="O171" i="2"/>
  <c r="O175" i="2"/>
  <c r="O179" i="2"/>
  <c r="O183" i="2"/>
  <c r="O187" i="2"/>
  <c r="O191" i="2"/>
  <c r="O195" i="2"/>
  <c r="O199" i="2"/>
  <c r="O203" i="2"/>
  <c r="O207" i="2"/>
  <c r="O211" i="2"/>
  <c r="O215" i="2"/>
  <c r="O219" i="2"/>
  <c r="O223" i="2"/>
  <c r="O227" i="2"/>
  <c r="O231" i="2"/>
  <c r="O235" i="2"/>
  <c r="O239" i="2"/>
  <c r="O243" i="2"/>
  <c r="O247" i="2"/>
  <c r="O251" i="2"/>
  <c r="O255" i="2"/>
  <c r="O259" i="2"/>
  <c r="O263" i="2"/>
  <c r="O267" i="2"/>
  <c r="O271" i="2"/>
  <c r="O275" i="2"/>
  <c r="O279" i="2"/>
  <c r="O283" i="2"/>
  <c r="O287" i="2"/>
  <c r="O291" i="2"/>
  <c r="O295" i="2"/>
  <c r="O299" i="2"/>
  <c r="O303" i="2"/>
  <c r="O307" i="2"/>
  <c r="O311" i="2"/>
  <c r="O315" i="2"/>
  <c r="O319" i="2"/>
  <c r="O323" i="2"/>
  <c r="O327" i="2"/>
  <c r="O331" i="2"/>
  <c r="O335" i="2"/>
  <c r="O339" i="2"/>
  <c r="O343" i="2"/>
  <c r="O347" i="2"/>
  <c r="O351" i="2"/>
  <c r="O355" i="2"/>
  <c r="O359" i="2"/>
  <c r="O363" i="2"/>
  <c r="O367" i="2"/>
  <c r="O371" i="2"/>
  <c r="O375" i="2"/>
  <c r="O379" i="2"/>
  <c r="O383" i="2"/>
  <c r="O387" i="2"/>
  <c r="O391" i="2"/>
  <c r="O395" i="2"/>
  <c r="O399" i="2"/>
  <c r="O403" i="2"/>
  <c r="O407" i="2"/>
  <c r="O411" i="2"/>
  <c r="O415" i="2"/>
  <c r="O419" i="2"/>
  <c r="O423" i="2"/>
  <c r="O427" i="2"/>
  <c r="O431" i="2"/>
  <c r="O435" i="2"/>
  <c r="O439" i="2"/>
  <c r="O443" i="2"/>
  <c r="O447" i="2"/>
  <c r="O451" i="2"/>
  <c r="O455" i="2"/>
  <c r="O459" i="2"/>
  <c r="O463" i="2"/>
  <c r="O467" i="2"/>
  <c r="O471" i="2"/>
  <c r="O475" i="2"/>
  <c r="O479" i="2"/>
  <c r="O483" i="2"/>
  <c r="O487" i="2"/>
  <c r="O491" i="2"/>
  <c r="O495" i="2"/>
  <c r="O499" i="2"/>
  <c r="O503" i="2"/>
  <c r="O507" i="2"/>
  <c r="O511" i="2"/>
  <c r="O515" i="2"/>
  <c r="O519" i="2"/>
  <c r="O523" i="2"/>
  <c r="O527" i="2"/>
  <c r="O531" i="2"/>
  <c r="O535" i="2"/>
  <c r="O539" i="2"/>
  <c r="O543" i="2"/>
  <c r="O547" i="2"/>
  <c r="O551" i="2"/>
  <c r="O555" i="2"/>
  <c r="O559" i="2"/>
  <c r="O563" i="2"/>
  <c r="O567" i="2"/>
  <c r="O571" i="2"/>
  <c r="O575" i="2"/>
  <c r="O579" i="2"/>
  <c r="O583" i="2"/>
  <c r="O587" i="2"/>
  <c r="O591" i="2"/>
  <c r="O595" i="2"/>
  <c r="O599" i="2"/>
  <c r="O603" i="2"/>
  <c r="O607" i="2"/>
  <c r="O611" i="2"/>
  <c r="O615" i="2"/>
  <c r="O619" i="2"/>
  <c r="O623" i="2"/>
  <c r="O627" i="2"/>
  <c r="O631" i="2"/>
  <c r="O635" i="2"/>
  <c r="O639" i="2"/>
  <c r="O643" i="2"/>
  <c r="O647" i="2"/>
  <c r="O651" i="2"/>
  <c r="O655" i="2"/>
  <c r="O659" i="2"/>
  <c r="O663" i="2"/>
  <c r="O667" i="2"/>
  <c r="O671" i="2"/>
  <c r="O675" i="2"/>
  <c r="O679" i="2"/>
  <c r="O683" i="2"/>
  <c r="O687" i="2"/>
  <c r="O691" i="2"/>
  <c r="O695" i="2"/>
  <c r="O699" i="2"/>
  <c r="O703" i="2"/>
  <c r="O707" i="2"/>
  <c r="O711" i="2"/>
  <c r="O715" i="2"/>
  <c r="O719" i="2"/>
  <c r="O723" i="2"/>
  <c r="O727" i="2"/>
  <c r="O731" i="2"/>
  <c r="O735" i="2"/>
  <c r="O739" i="2"/>
  <c r="O743" i="2"/>
  <c r="O747" i="2"/>
  <c r="O751" i="2"/>
  <c r="O755" i="2"/>
  <c r="O759" i="2"/>
  <c r="O763" i="2"/>
  <c r="O767" i="2"/>
  <c r="O771" i="2"/>
  <c r="O775" i="2"/>
  <c r="O779" i="2"/>
  <c r="O783" i="2"/>
  <c r="O787" i="2"/>
  <c r="O791" i="2"/>
  <c r="O795" i="2"/>
  <c r="O799" i="2"/>
  <c r="O803" i="2"/>
  <c r="O807" i="2"/>
  <c r="O811" i="2"/>
  <c r="O815" i="2"/>
  <c r="O819" i="2"/>
  <c r="O823" i="2"/>
  <c r="O827" i="2"/>
  <c r="O831" i="2"/>
  <c r="O835" i="2"/>
  <c r="O839" i="2"/>
  <c r="O843" i="2"/>
  <c r="O847" i="2"/>
  <c r="O851" i="2"/>
  <c r="O855" i="2"/>
  <c r="O859" i="2"/>
  <c r="O863" i="2"/>
  <c r="O867" i="2"/>
  <c r="O871" i="2"/>
  <c r="O875" i="2"/>
  <c r="O879" i="2"/>
  <c r="O883" i="2"/>
  <c r="O887" i="2"/>
  <c r="O891" i="2"/>
  <c r="O895" i="2"/>
  <c r="O899" i="2"/>
  <c r="O903" i="2"/>
  <c r="O907" i="2"/>
  <c r="O911" i="2"/>
  <c r="O915" i="2"/>
  <c r="O919" i="2"/>
  <c r="O923" i="2"/>
  <c r="O927" i="2"/>
  <c r="O931" i="2"/>
  <c r="O935" i="2"/>
  <c r="O939" i="2"/>
  <c r="O943" i="2"/>
  <c r="O947" i="2"/>
  <c r="O951" i="2"/>
  <c r="O955" i="2"/>
  <c r="O959" i="2"/>
  <c r="O963" i="2"/>
  <c r="O967" i="2"/>
  <c r="O971" i="2"/>
  <c r="O975" i="2"/>
  <c r="O979" i="2"/>
  <c r="O983" i="2"/>
  <c r="O987" i="2"/>
  <c r="O991" i="2"/>
  <c r="O995" i="2"/>
  <c r="O999" i="2"/>
  <c r="O1003" i="2"/>
  <c r="O1007" i="2"/>
  <c r="O1011" i="2"/>
  <c r="O1015" i="2"/>
  <c r="O1019" i="2"/>
  <c r="O1023" i="2"/>
  <c r="O1027" i="2"/>
  <c r="O1031" i="2"/>
  <c r="O1035" i="2"/>
  <c r="O1039" i="2"/>
  <c r="O1043" i="2"/>
  <c r="O1047" i="2"/>
  <c r="O1051" i="2"/>
  <c r="O1055" i="2"/>
  <c r="O1059" i="2"/>
  <c r="O1063" i="2"/>
  <c r="O1067" i="2"/>
  <c r="O1071" i="2"/>
  <c r="O1075" i="2"/>
  <c r="O1079" i="2"/>
  <c r="O1083" i="2"/>
  <c r="O1087" i="2"/>
  <c r="O1091" i="2"/>
  <c r="O1095" i="2"/>
  <c r="O1099" i="2"/>
  <c r="O1103" i="2"/>
  <c r="O1107" i="2"/>
  <c r="O1111" i="2"/>
  <c r="O1115" i="2"/>
  <c r="O1119" i="2"/>
  <c r="O1123" i="2"/>
  <c r="O1127" i="2"/>
  <c r="O1131" i="2"/>
  <c r="O1135" i="2"/>
  <c r="O1139" i="2"/>
  <c r="O1143" i="2"/>
  <c r="O1147" i="2"/>
  <c r="O1151" i="2"/>
  <c r="O1155" i="2"/>
  <c r="O1159" i="2"/>
  <c r="O1163" i="2"/>
  <c r="O1167" i="2"/>
  <c r="O1171" i="2"/>
  <c r="O1175" i="2"/>
  <c r="O1179" i="2"/>
  <c r="O1183" i="2"/>
  <c r="O1187" i="2"/>
  <c r="O1191" i="2"/>
  <c r="O1195" i="2"/>
  <c r="O1199" i="2"/>
  <c r="O1203" i="2"/>
  <c r="O1207" i="2"/>
  <c r="O1211" i="2"/>
  <c r="O1215" i="2"/>
  <c r="O1219" i="2"/>
  <c r="O1223" i="2"/>
  <c r="O1227" i="2"/>
  <c r="O1231" i="2"/>
  <c r="O1235" i="2"/>
  <c r="O1239" i="2"/>
  <c r="O1243" i="2"/>
  <c r="O1247" i="2"/>
  <c r="O1251" i="2"/>
  <c r="O1255" i="2"/>
  <c r="O1259" i="2"/>
  <c r="O1263" i="2"/>
  <c r="O1267" i="2"/>
  <c r="O1271" i="2"/>
  <c r="O1275" i="2"/>
  <c r="O1279" i="2"/>
  <c r="O1283" i="2"/>
  <c r="O1287" i="2"/>
  <c r="O1291" i="2"/>
  <c r="O1295" i="2"/>
  <c r="O1299" i="2"/>
  <c r="O1303" i="2"/>
  <c r="O1307" i="2"/>
  <c r="O1311" i="2"/>
  <c r="O1315" i="2"/>
  <c r="O1319" i="2"/>
  <c r="O1323" i="2"/>
  <c r="O1327" i="2"/>
  <c r="O1331" i="2"/>
  <c r="O1335" i="2"/>
  <c r="O1339" i="2"/>
  <c r="O1343" i="2"/>
  <c r="O1347" i="2"/>
  <c r="O1351" i="2"/>
  <c r="O1355" i="2"/>
  <c r="O1359" i="2"/>
  <c r="O1363" i="2"/>
  <c r="O1367" i="2"/>
  <c r="O1371" i="2"/>
  <c r="O1375" i="2"/>
  <c r="O1379" i="2"/>
  <c r="O1383" i="2"/>
  <c r="O1387" i="2"/>
  <c r="O1391" i="2"/>
  <c r="O1395" i="2"/>
  <c r="O1399" i="2"/>
  <c r="O1403" i="2"/>
  <c r="O1407" i="2"/>
  <c r="O1411" i="2"/>
  <c r="O1415" i="2"/>
  <c r="O1419" i="2"/>
  <c r="O1423" i="2"/>
  <c r="O1427" i="2"/>
  <c r="O1431" i="2"/>
  <c r="O1435" i="2"/>
  <c r="O1439" i="2"/>
  <c r="O1443" i="2"/>
  <c r="O1447" i="2"/>
  <c r="O1451" i="2"/>
  <c r="O1455" i="2"/>
  <c r="O1459" i="2"/>
  <c r="O1463" i="2"/>
  <c r="O1467" i="2"/>
  <c r="O1471" i="2"/>
  <c r="O1475" i="2"/>
  <c r="O1479" i="2"/>
  <c r="O1483" i="2"/>
  <c r="O1487" i="2"/>
  <c r="O1491" i="2"/>
  <c r="O1495" i="2"/>
  <c r="O1499" i="2"/>
  <c r="F10" i="2"/>
  <c r="N10" i="2" s="1"/>
  <c r="Q1" i="2"/>
  <c r="O25" i="2" l="1"/>
  <c r="O12" i="2"/>
  <c r="P42" i="2"/>
  <c r="F42" i="2"/>
  <c r="N42" i="2" s="1"/>
  <c r="F22" i="2"/>
  <c r="N22" i="2" s="1"/>
  <c r="F37" i="2"/>
  <c r="N37" i="2" s="1"/>
  <c r="P20" i="2"/>
  <c r="P12" i="2"/>
  <c r="P23" i="2"/>
  <c r="P34" i="2"/>
  <c r="P11" i="2"/>
  <c r="F13" i="2"/>
  <c r="N13" i="2" s="1"/>
  <c r="O62" i="2"/>
  <c r="O69" i="2"/>
  <c r="O56" i="2"/>
  <c r="F54" i="2"/>
  <c r="N54" i="2" s="1"/>
  <c r="F73" i="2"/>
  <c r="N73" i="2" s="1"/>
  <c r="O80" i="2"/>
  <c r="O48" i="2"/>
  <c r="O78" i="2"/>
  <c r="O76" i="2"/>
  <c r="O40" i="2"/>
  <c r="F19" i="2"/>
  <c r="N19" i="2" s="1"/>
  <c r="O31" i="2"/>
  <c r="O77" i="2"/>
  <c r="O68" i="2"/>
  <c r="O32" i="2"/>
  <c r="O20" i="2"/>
  <c r="F14" i="2"/>
  <c r="O33" i="2"/>
  <c r="O75" i="2"/>
  <c r="F63" i="2"/>
  <c r="N63" i="2" s="1"/>
  <c r="F44" i="2"/>
  <c r="N44" i="2" s="1"/>
  <c r="F59" i="2"/>
  <c r="N59" i="2" s="1"/>
  <c r="F17" i="2"/>
  <c r="F27" i="2"/>
  <c r="N27" i="2" s="1"/>
  <c r="F72" i="2"/>
  <c r="N72" i="2" s="1"/>
  <c r="P44" i="2"/>
  <c r="F45" i="2"/>
  <c r="N45" i="2" s="1"/>
  <c r="F64" i="2"/>
  <c r="N64" i="2" s="1"/>
  <c r="F71" i="2"/>
  <c r="N71" i="2" s="1"/>
  <c r="F26" i="2"/>
  <c r="N26" i="2" s="1"/>
  <c r="F66" i="2"/>
  <c r="N66" i="2" s="1"/>
  <c r="F60" i="2"/>
  <c r="N60" i="2" s="1"/>
  <c r="O23" i="2"/>
  <c r="O15" i="2"/>
  <c r="F21" i="2"/>
  <c r="N21" i="2" s="1"/>
  <c r="F18" i="2"/>
  <c r="N18" i="2" s="1"/>
  <c r="P14" i="2"/>
  <c r="O58" i="2"/>
  <c r="O53" i="2"/>
  <c r="O30" i="2"/>
  <c r="O51" i="2"/>
  <c r="O70" i="2"/>
  <c r="O57" i="2"/>
  <c r="O34" i="2"/>
  <c r="O50" i="2"/>
  <c r="F28" i="2"/>
  <c r="N28" i="2" s="1"/>
  <c r="O10" i="2"/>
  <c r="O37" i="2" l="1"/>
  <c r="O42" i="2"/>
  <c r="O22" i="2"/>
  <c r="O13" i="2"/>
  <c r="O54" i="2"/>
  <c r="F43" i="2"/>
  <c r="N43" i="2" s="1"/>
  <c r="P45" i="2"/>
  <c r="P15" i="2"/>
  <c r="N14" i="2"/>
  <c r="F36" i="2"/>
  <c r="P36" i="2"/>
  <c r="P22" i="2"/>
  <c r="P37" i="2"/>
  <c r="P27" i="2"/>
  <c r="P13" i="2"/>
  <c r="N17" i="2"/>
  <c r="F35" i="2"/>
  <c r="P21" i="2"/>
  <c r="F29" i="2"/>
  <c r="N29" i="2" s="1"/>
  <c r="P35" i="2"/>
  <c r="F41" i="2"/>
  <c r="N41" i="2" s="1"/>
  <c r="F47" i="2"/>
  <c r="N47" i="2" s="1"/>
  <c r="O19" i="2"/>
  <c r="O73" i="2"/>
  <c r="O45" i="2"/>
  <c r="O72" i="2"/>
  <c r="O60" i="2"/>
  <c r="F16" i="2"/>
  <c r="O14" i="2"/>
  <c r="O66" i="2"/>
  <c r="O71" i="2"/>
  <c r="P24" i="2"/>
  <c r="O26" i="2"/>
  <c r="O59" i="2"/>
  <c r="O64" i="2"/>
  <c r="O27" i="2"/>
  <c r="O44" i="2"/>
  <c r="F65" i="2"/>
  <c r="N65" i="2" s="1"/>
  <c r="F39" i="2"/>
  <c r="N39" i="2" s="1"/>
  <c r="O17" i="2"/>
  <c r="O63" i="2"/>
  <c r="F79" i="2"/>
  <c r="N79" i="2" s="1"/>
  <c r="O18" i="2"/>
  <c r="F55" i="2"/>
  <c r="N55" i="2" s="1"/>
  <c r="O21" i="2"/>
  <c r="O28" i="2"/>
  <c r="O43" i="2" l="1"/>
  <c r="O29" i="2"/>
  <c r="O41" i="2"/>
  <c r="P39" i="2"/>
  <c r="P17" i="2"/>
  <c r="P41" i="2"/>
  <c r="P38" i="2"/>
  <c r="N36" i="2"/>
  <c r="O36" i="2"/>
  <c r="P43" i="2"/>
  <c r="P26" i="2"/>
  <c r="O47" i="2"/>
  <c r="N16" i="2"/>
  <c r="F38" i="2"/>
  <c r="F24" i="2"/>
  <c r="P29" i="2"/>
  <c r="P16" i="2"/>
  <c r="P18" i="2"/>
  <c r="P46" i="2"/>
  <c r="P47" i="2"/>
  <c r="N35" i="2"/>
  <c r="O35" i="2"/>
  <c r="P40" i="2"/>
  <c r="P48" i="2"/>
  <c r="P31" i="2"/>
  <c r="P19" i="2"/>
  <c r="O16" i="2"/>
  <c r="O39" i="2"/>
  <c r="F46" i="2"/>
  <c r="N46" i="2" s="1"/>
  <c r="F61" i="2"/>
  <c r="N61" i="2" s="1"/>
  <c r="O65" i="2"/>
  <c r="O79" i="2"/>
  <c r="O55" i="2"/>
  <c r="E2" i="6" l="1"/>
  <c r="N24" i="2"/>
  <c r="O24" i="2"/>
  <c r="N38" i="2"/>
  <c r="O38" i="2"/>
  <c r="O46" i="2"/>
  <c r="O61" i="2"/>
  <c r="F2" i="7" l="1"/>
  <c r="B5" i="2" l="1"/>
  <c r="AD62" i="26" a="1"/>
  <c r="AD36" i="26" a="1"/>
  <c r="AD19" i="26" a="1"/>
  <c r="AD16" i="26" a="1"/>
  <c r="AD53" i="26" a="1"/>
  <c r="AD59" i="26" a="1"/>
  <c r="AD40" i="26" a="1"/>
  <c r="AD17" i="26" a="1"/>
  <c r="AD23" i="26" a="1"/>
  <c r="AD20" i="26" a="1"/>
  <c r="AD47" i="26" a="1"/>
  <c r="AD27" i="26" a="1"/>
  <c r="AD58" i="26" a="1"/>
  <c r="AD37" i="26" a="1"/>
  <c r="AD26" i="26" a="1"/>
  <c r="AD42" i="26" a="1"/>
  <c r="AD21" i="26" a="1"/>
  <c r="AD46" i="26" a="1"/>
  <c r="AD45" i="26" a="1"/>
  <c r="AD28" i="26" a="1"/>
  <c r="AD49" i="26" a="1"/>
  <c r="AD54" i="26" a="1"/>
  <c r="AD38" i="26" a="1"/>
  <c r="AD29" i="26" a="1"/>
  <c r="AD51" i="26" a="1"/>
  <c r="AD34" i="26" a="1"/>
  <c r="AD48" i="26" a="1"/>
  <c r="AD57" i="26" a="1"/>
  <c r="AD33" i="26" a="1"/>
  <c r="AD9" i="26" a="1"/>
  <c r="AD61" i="26" a="1"/>
  <c r="AD43" i="26" a="1"/>
  <c r="AD13" i="26" a="1"/>
  <c r="AD24" i="26" a="1"/>
  <c r="AD56" i="26" a="1"/>
  <c r="AD35" i="26" a="1"/>
  <c r="AD12" i="26" a="1"/>
  <c r="AD55" i="26" a="1"/>
  <c r="AD60" i="26" a="1"/>
  <c r="AD18" i="26" a="1"/>
  <c r="AD11" i="26" a="1"/>
  <c r="AD8" i="26" a="1"/>
  <c r="AD14" i="26" a="1"/>
  <c r="AD41" i="26" a="1"/>
  <c r="AD22" i="26" a="1"/>
  <c r="AD30" i="26" a="1"/>
  <c r="AD25" i="26" a="1"/>
  <c r="AD31" i="26" a="1"/>
  <c r="AD39" i="26" a="1"/>
  <c r="AD15" i="26" a="1"/>
  <c r="AD32" i="26" a="1"/>
  <c r="AD52" i="26" a="1"/>
  <c r="AD44" i="26" a="1"/>
  <c r="AD10" i="26" a="1"/>
  <c r="AD50" i="26" a="1"/>
  <c r="AD58" i="26" l="1"/>
  <c r="AD9" i="26"/>
  <c r="AD36" i="26"/>
  <c r="AD53" i="26"/>
  <c r="AD39" i="26"/>
  <c r="AD60" i="26"/>
  <c r="AD57" i="26"/>
  <c r="AD61" i="26"/>
  <c r="AD44" i="26"/>
  <c r="AD56" i="26"/>
  <c r="AD25" i="26"/>
  <c r="AD41" i="26"/>
  <c r="AD14" i="26"/>
  <c r="AD59" i="26"/>
  <c r="AD47" i="26"/>
  <c r="AD27" i="26"/>
  <c r="AD24" i="26"/>
  <c r="AD22" i="26"/>
  <c r="AD13" i="26"/>
  <c r="AD15" i="26"/>
  <c r="AD31" i="26"/>
  <c r="AD19" i="26"/>
  <c r="AD11" i="26"/>
  <c r="AD17" i="26"/>
  <c r="AD28" i="26"/>
  <c r="AD16" i="26"/>
  <c r="AD45" i="26"/>
  <c r="AD23" i="26"/>
  <c r="AD48" i="26"/>
  <c r="AD38" i="26"/>
  <c r="AD40" i="26"/>
  <c r="AD42" i="26"/>
  <c r="AD12" i="26"/>
  <c r="AD21" i="26"/>
  <c r="AD54" i="26"/>
  <c r="AD43" i="26"/>
  <c r="AD34" i="26"/>
  <c r="AD51" i="26"/>
  <c r="AD35" i="26"/>
  <c r="AD10" i="26"/>
  <c r="AD32" i="26"/>
  <c r="AD49" i="26"/>
  <c r="AD62" i="26"/>
  <c r="AD50" i="26"/>
  <c r="AD26" i="26"/>
  <c r="AD37" i="26"/>
  <c r="AD55" i="26"/>
  <c r="AD52" i="26"/>
  <c r="AD8" i="26"/>
  <c r="AD33" i="26"/>
  <c r="AD20" i="26"/>
  <c r="AD18" i="26"/>
  <c r="AD30" i="26"/>
  <c r="AD29" i="26"/>
  <c r="AD4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</authors>
  <commentList>
    <comment ref="AH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טיפול מיוחד לאוצר החייל בפורמט של הבינלאומי.</t>
        </r>
      </text>
    </comment>
    <comment ref="AM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מחושב על עמודת יתרה או על עמודה אחרת שיש בה </t>
        </r>
        <r>
          <rPr>
            <b/>
            <sz val="9"/>
            <color indexed="81"/>
            <rFont val="Tahoma"/>
            <family val="2"/>
          </rPr>
          <t>ערכים מספריים</t>
        </r>
        <r>
          <rPr>
            <sz val="9"/>
            <color indexed="81"/>
            <rFont val="Tahoma"/>
            <family val="2"/>
          </rPr>
          <t xml:space="preserve"> בכל השורות של התנועות.</t>
        </r>
      </text>
    </comment>
    <comment ref="AJ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שרירותי. למעשה אין שם. מפנה לתא ריק.</t>
        </r>
      </text>
    </comment>
    <comment ref="AM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מחושב על סוג פעולה (כי אין יתרה בכל שורה)</t>
        </r>
      </text>
    </comment>
    <comment ref="A8" authorId="0" shapeId="0" xr:uid="{00000000-0006-0000-0200-000005000000}">
      <text>
        <r>
          <rPr>
            <sz val="10"/>
            <color indexed="9"/>
            <rFont val="Calibri"/>
            <family val="2"/>
            <scheme val="minor"/>
          </rPr>
          <t>מציין מהיכן הגיעו הנתונים שבשורה ( מומלץ שיכלול את שם הבנק או חברת האשראי + ספרות אחרונות של מספר החשבון/הכרטיס).</t>
        </r>
      </text>
    </comment>
    <comment ref="D8" authorId="0" shapeId="0" xr:uid="{00000000-0006-0000-0200-000006000000}">
      <text>
        <r>
          <rPr>
            <sz val="10"/>
            <color indexed="9"/>
            <rFont val="Calibri"/>
            <family val="2"/>
            <scheme val="minor"/>
          </rPr>
          <t xml:space="preserve">- זה סכום התנועה בין אם היא הוצאה ובין אם הכנסה.
- גם הוצאות יופיעו כסכום חיובי
- הסכום לתנועות מכרטיסי אשראי הוא </t>
        </r>
        <r>
          <rPr>
            <b/>
            <sz val="10"/>
            <color indexed="9"/>
            <rFont val="Calibri"/>
            <family val="2"/>
            <scheme val="minor"/>
          </rPr>
          <t>סכום העסקה</t>
        </r>
        <r>
          <rPr>
            <sz val="10"/>
            <color indexed="9"/>
            <rFont val="Calibri"/>
            <family val="2"/>
            <scheme val="minor"/>
          </rPr>
          <t>.
יתכן שתצטרכו לסדר את נתוני המקור בהתאם לכללים הנ"ל.</t>
        </r>
      </text>
    </comment>
    <comment ref="E8" authorId="0" shapeId="0" xr:uid="{00000000-0006-0000-0200-000007000000}">
      <text>
        <r>
          <rPr>
            <sz val="10"/>
            <color indexed="9"/>
            <rFont val="Calibri"/>
            <family val="2"/>
            <scheme val="minor"/>
          </rPr>
          <t xml:space="preserve">תא ריק = </t>
        </r>
        <r>
          <rPr>
            <b/>
            <i/>
            <sz val="10"/>
            <color indexed="9"/>
            <rFont val="Calibri"/>
            <family val="2"/>
            <scheme val="minor"/>
          </rPr>
          <t>הוצאה</t>
        </r>
        <r>
          <rPr>
            <sz val="10"/>
            <color indexed="9"/>
            <rFont val="Calibri"/>
            <family val="2"/>
            <scheme val="minor"/>
          </rPr>
          <t xml:space="preserve">.
לכן חובה לסמן רק תנועות של </t>
        </r>
        <r>
          <rPr>
            <b/>
            <i/>
            <sz val="10"/>
            <color indexed="9"/>
            <rFont val="Calibri"/>
            <family val="2"/>
            <scheme val="minor"/>
          </rPr>
          <t>הכנסה</t>
        </r>
        <r>
          <rPr>
            <sz val="10"/>
            <color indexed="9"/>
            <rFont val="Calibri"/>
            <family val="2"/>
            <scheme val="minor"/>
          </rPr>
          <t>.</t>
        </r>
      </text>
    </comment>
    <comment ref="F8" authorId="0" shapeId="0" xr:uid="{00000000-0006-0000-0200-000008000000}">
      <text>
        <r>
          <rPr>
            <b/>
            <i/>
            <sz val="10"/>
            <color indexed="9"/>
            <rFont val="Calibri"/>
            <family val="2"/>
            <scheme val="minor"/>
          </rPr>
          <t>חודשי/מזדמן</t>
        </r>
        <r>
          <rPr>
            <sz val="10"/>
            <color indexed="9"/>
            <rFont val="Calibri"/>
            <family val="2"/>
            <scheme val="minor"/>
          </rPr>
          <t xml:space="preserve"> = תנועה </t>
        </r>
        <r>
          <rPr>
            <b/>
            <sz val="10"/>
            <color indexed="9"/>
            <rFont val="Calibri"/>
            <family val="2"/>
            <scheme val="minor"/>
          </rPr>
          <t>אחת או יותר כל חודש</t>
        </r>
        <r>
          <rPr>
            <sz val="10"/>
            <color indexed="9"/>
            <rFont val="Calibri"/>
            <family val="2"/>
            <scheme val="minor"/>
          </rPr>
          <t xml:space="preserve">, או </t>
        </r>
        <r>
          <rPr>
            <b/>
            <sz val="10"/>
            <color indexed="9"/>
            <rFont val="Calibri"/>
            <family val="2"/>
            <scheme val="minor"/>
          </rPr>
          <t>ללא מחזוריות</t>
        </r>
        <r>
          <rPr>
            <sz val="10"/>
            <color indexed="9"/>
            <rFont val="Calibri"/>
            <family val="2"/>
            <scheme val="minor"/>
          </rPr>
          <t xml:space="preserve"> מוגדרת.
</t>
        </r>
        <r>
          <rPr>
            <b/>
            <i/>
            <sz val="10"/>
            <color indexed="9"/>
            <rFont val="Calibri"/>
            <family val="2"/>
            <scheme val="minor"/>
          </rPr>
          <t>שנתי</t>
        </r>
        <r>
          <rPr>
            <sz val="10"/>
            <color indexed="9"/>
            <rFont val="Calibri"/>
            <family val="2"/>
            <scheme val="minor"/>
          </rPr>
          <t xml:space="preserve"> = תנועה </t>
        </r>
        <r>
          <rPr>
            <b/>
            <sz val="10"/>
            <color indexed="9"/>
            <rFont val="Calibri"/>
            <family val="2"/>
            <scheme val="minor"/>
          </rPr>
          <t xml:space="preserve">אחת </t>
        </r>
        <r>
          <rPr>
            <b/>
            <u/>
            <sz val="10"/>
            <color indexed="9"/>
            <rFont val="Calibri"/>
            <family val="2"/>
            <scheme val="minor"/>
          </rPr>
          <t>בלבד</t>
        </r>
        <r>
          <rPr>
            <sz val="10"/>
            <color indexed="9"/>
            <rFont val="Calibri"/>
            <family val="2"/>
            <scheme val="minor"/>
          </rPr>
          <t xml:space="preserve"> מידי </t>
        </r>
        <r>
          <rPr>
            <b/>
            <sz val="10"/>
            <color indexed="9"/>
            <rFont val="Calibri"/>
            <family val="2"/>
            <scheme val="minor"/>
          </rPr>
          <t>שנה.</t>
        </r>
        <r>
          <rPr>
            <sz val="10"/>
            <color indexed="9"/>
            <rFont val="Calibri"/>
            <family val="2"/>
            <scheme val="minor"/>
          </rPr>
          <t xml:space="preserve">
</t>
        </r>
        <r>
          <rPr>
            <b/>
            <i/>
            <sz val="10"/>
            <color indexed="9"/>
            <rFont val="Calibri"/>
            <family val="2"/>
            <scheme val="minor"/>
          </rPr>
          <t>דו-חודשי</t>
        </r>
        <r>
          <rPr>
            <sz val="10"/>
            <color indexed="9"/>
            <rFont val="Calibri"/>
            <family val="2"/>
            <scheme val="minor"/>
          </rPr>
          <t xml:space="preserve"> = תנועה </t>
        </r>
        <r>
          <rPr>
            <b/>
            <sz val="10"/>
            <color indexed="9"/>
            <rFont val="Calibri"/>
            <family val="2"/>
            <scheme val="minor"/>
          </rPr>
          <t xml:space="preserve">אחת </t>
        </r>
        <r>
          <rPr>
            <b/>
            <u/>
            <sz val="10"/>
            <color indexed="9"/>
            <rFont val="Calibri"/>
            <family val="2"/>
            <scheme val="minor"/>
          </rPr>
          <t>בלבד</t>
        </r>
        <r>
          <rPr>
            <sz val="10"/>
            <color indexed="9"/>
            <rFont val="Calibri"/>
            <family val="2"/>
            <scheme val="minor"/>
          </rPr>
          <t xml:space="preserve"> מידי </t>
        </r>
        <r>
          <rPr>
            <b/>
            <sz val="10"/>
            <color indexed="9"/>
            <rFont val="Calibri"/>
            <family val="2"/>
            <scheme val="minor"/>
          </rPr>
          <t>חודשיים.</t>
        </r>
        <r>
          <rPr>
            <sz val="10"/>
            <color indexed="9"/>
            <rFont val="Calibri"/>
            <family val="2"/>
            <scheme val="minor"/>
          </rPr>
          <t xml:space="preserve">
</t>
        </r>
        <r>
          <rPr>
            <b/>
            <i/>
            <sz val="10"/>
            <color indexed="9"/>
            <rFont val="Calibri"/>
            <family val="2"/>
            <scheme val="minor"/>
          </rPr>
          <t>רבעוני</t>
        </r>
        <r>
          <rPr>
            <sz val="10"/>
            <color indexed="9"/>
            <rFont val="Calibri"/>
            <family val="2"/>
            <scheme val="minor"/>
          </rPr>
          <t xml:space="preserve"> = תנועה </t>
        </r>
        <r>
          <rPr>
            <b/>
            <sz val="10"/>
            <color indexed="9"/>
            <rFont val="Calibri"/>
            <family val="2"/>
            <scheme val="minor"/>
          </rPr>
          <t xml:space="preserve">אחת </t>
        </r>
        <r>
          <rPr>
            <b/>
            <u/>
            <sz val="10"/>
            <color indexed="9"/>
            <rFont val="Calibri"/>
            <family val="2"/>
            <scheme val="minor"/>
          </rPr>
          <t>בלבד</t>
        </r>
        <r>
          <rPr>
            <sz val="10"/>
            <color indexed="9"/>
            <rFont val="Calibri"/>
            <family val="2"/>
            <scheme val="minor"/>
          </rPr>
          <t xml:space="preserve"> מידי </t>
        </r>
        <r>
          <rPr>
            <b/>
            <sz val="10"/>
            <color indexed="9"/>
            <rFont val="Calibri"/>
            <family val="2"/>
            <scheme val="minor"/>
          </rPr>
          <t>3 חודשים</t>
        </r>
        <r>
          <rPr>
            <sz val="10"/>
            <color indexed="9"/>
            <rFont val="Calibri"/>
            <family val="2"/>
            <scheme val="minor"/>
          </rPr>
          <t xml:space="preserve">.
</t>
        </r>
        <r>
          <rPr>
            <b/>
            <sz val="10"/>
            <color indexed="9"/>
            <rFont val="Calibri"/>
            <family val="2"/>
            <scheme val="minor"/>
          </rPr>
          <t>חלוקה ב-X</t>
        </r>
        <r>
          <rPr>
            <sz val="10"/>
            <color indexed="9"/>
            <rFont val="Calibri"/>
            <family val="2"/>
            <scheme val="minor"/>
          </rPr>
          <t xml:space="preserve"> = קובע בכמה יחולק סכום התנועה, לצורך ממוצע חודשי (אחרי הבחירה,רשמו בתא את המספר)</t>
        </r>
      </text>
    </comment>
    <comment ref="G8" authorId="0" shapeId="0" xr:uid="{00000000-0006-0000-0200-000009000000}">
      <text>
        <r>
          <rPr>
            <b/>
            <sz val="10"/>
            <color indexed="9"/>
            <rFont val="Calibri"/>
            <family val="2"/>
            <scheme val="minor"/>
          </rPr>
          <t>בחרו מהרשימה הנפתחת.</t>
        </r>
        <r>
          <rPr>
            <sz val="10"/>
            <color indexed="9"/>
            <rFont val="Calibri"/>
            <family val="2"/>
            <scheme val="minor"/>
          </rPr>
          <t xml:space="preserve"> 
</t>
        </r>
        <r>
          <rPr>
            <u/>
            <sz val="10"/>
            <color indexed="9"/>
            <rFont val="Calibri"/>
            <family val="2"/>
            <scheme val="minor"/>
          </rPr>
          <t>לא</t>
        </r>
        <r>
          <rPr>
            <sz val="10"/>
            <color indexed="9"/>
            <rFont val="Calibri"/>
            <family val="2"/>
            <scheme val="minor"/>
          </rPr>
          <t xml:space="preserve"> חובה, אבל מועיל כדי לקבל רשימה קצרה יותר לסיווג בעמודה הבאה.
(יש גם אפשרות </t>
        </r>
        <r>
          <rPr>
            <b/>
            <sz val="10"/>
            <color indexed="9"/>
            <rFont val="Calibri"/>
            <family val="2"/>
            <scheme val="minor"/>
          </rPr>
          <t>"לא לסיווג</t>
        </r>
        <r>
          <rPr>
            <sz val="10"/>
            <color indexed="9"/>
            <rFont val="Calibri"/>
            <family val="2"/>
            <scheme val="minor"/>
          </rPr>
          <t>")</t>
        </r>
      </text>
    </comment>
    <comment ref="H8" authorId="0" shapeId="0" xr:uid="{00000000-0006-0000-0200-00000A000000}">
      <text>
        <r>
          <rPr>
            <b/>
            <sz val="10"/>
            <color indexed="9"/>
            <rFont val="Calibri"/>
            <family val="2"/>
            <scheme val="minor"/>
          </rPr>
          <t>בחרו מהרשימה הנפתחת.</t>
        </r>
        <r>
          <rPr>
            <sz val="10"/>
            <color indexed="9"/>
            <rFont val="Calibri"/>
            <family val="2"/>
            <scheme val="minor"/>
          </rPr>
          <t xml:space="preserve">
במידת הצורך, אפשר להוסיף שמות סעיפים פרטיים בגיליון </t>
        </r>
        <r>
          <rPr>
            <b/>
            <i/>
            <sz val="10"/>
            <color indexed="9"/>
            <rFont val="Calibri"/>
            <family val="2"/>
            <scheme val="minor"/>
          </rPr>
          <t>רשימת הסעיפים</t>
        </r>
        <r>
          <rPr>
            <sz val="10"/>
            <color indexed="9"/>
            <rFont val="Calibri"/>
            <family val="2"/>
            <scheme val="minor"/>
          </rPr>
          <t>.</t>
        </r>
      </text>
    </comment>
    <comment ref="O8" authorId="0" shapeId="0" xr:uid="{00000000-0006-0000-0200-00000B000000}">
      <text>
        <r>
          <rPr>
            <sz val="9"/>
            <color indexed="81"/>
            <rFont val="Tahoma"/>
            <family val="2"/>
          </rPr>
          <t>משמש רק למקרים שנבחרה תנועה אחת בלבד למחזור (דו-חודשי/ רבעוני/שנתי)</t>
        </r>
      </text>
    </comment>
    <comment ref="AL13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כדי להתמודד עם 2 פורמטים חדשים</t>
        </r>
      </text>
    </comment>
    <comment ref="AM14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מחושב על אסמכתא (כי אין יתרה בכל שורה)</t>
        </r>
      </text>
    </comment>
    <comment ref="AJ15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שרירותי. למעשה אין שם. מפנה לתא ריק.</t>
        </r>
      </text>
    </comment>
    <comment ref="AM15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מחושב על סוג פעולה (כי אין יתרה בכל שורה)</t>
        </r>
      </text>
    </comment>
    <comment ref="AM1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חישוב מיוחד בגלל תנועות עתידיות שיכולות להופיע באותו דף.</t>
        </r>
      </text>
    </comment>
    <comment ref="AJ19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שרירותי. למעשה אין שם. מפנה לתא ריק.</t>
        </r>
      </text>
    </comment>
    <comment ref="AM19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מחושב על סוג פעולה (כי אין יתרה בכל שורה)</t>
        </r>
      </text>
    </comment>
    <comment ref="AM21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חישוב מיוחד בגלל שעסקאות בחו"ל נמצאות באותו גיליון ובעמודות שונות מעסקאות בארץ</t>
        </r>
      </text>
    </comment>
    <comment ref="AM22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לא מחושב על עמודת סכום העסקה כי לא עובד טוב כשיש מט"ח.
לכן יש 1- בנוסחה.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G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H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I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J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K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L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M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N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O1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P1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Q1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R1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S1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>אין לשנות שם זה!</t>
        </r>
      </text>
    </comment>
    <comment ref="A2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2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C2" authorId="0" shapeId="0" xr:uid="{00000000-0006-0000-0700-00001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D2" authorId="0" shapeId="0" xr:uid="{00000000-0006-0000-0700-00001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2" authorId="0" shapeId="0" xr:uid="{00000000-0006-0000-0700-000018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F2" authorId="0" shapeId="0" xr:uid="{00000000-0006-0000-0700-000019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2" authorId="0" shapeId="0" xr:uid="{00000000-0006-0000-0700-00001A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H2" authorId="0" shapeId="0" xr:uid="{00000000-0006-0000-0700-00001B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2" authorId="0" shapeId="0" xr:uid="{00000000-0006-0000-0700-00001C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2" authorId="0" shapeId="0" xr:uid="{00000000-0006-0000-0700-00001D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K2" authorId="0" shapeId="0" xr:uid="{00000000-0006-0000-0700-00001E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L2" authorId="0" shapeId="0" xr:uid="{00000000-0006-0000-0700-00001F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M2" authorId="0" shapeId="0" xr:uid="{00000000-0006-0000-0700-000020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N2" authorId="0" shapeId="0" xr:uid="{00000000-0006-0000-0700-000021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O2" authorId="0" shapeId="0" xr:uid="{00000000-0006-0000-0700-000022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P2" authorId="0" shapeId="0" xr:uid="{00000000-0006-0000-0700-000023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Q2" authorId="0" shapeId="0" xr:uid="{00000000-0006-0000-0700-00002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R2" authorId="0" shapeId="0" xr:uid="{00000000-0006-0000-0700-00002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S2" authorId="0" shapeId="0" xr:uid="{00000000-0006-0000-0700-00002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A3" authorId="0" shapeId="0" xr:uid="{00000000-0006-0000-0700-00002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3" authorId="0" shapeId="0" xr:uid="{00000000-0006-0000-0700-000028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C3" authorId="0" shapeId="0" xr:uid="{00000000-0006-0000-0700-000029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D3" authorId="0" shapeId="0" xr:uid="{00000000-0006-0000-0700-00002A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3" authorId="0" shapeId="0" xr:uid="{00000000-0006-0000-0700-00002B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F3" authorId="0" shapeId="0" xr:uid="{00000000-0006-0000-0700-00002C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3" authorId="0" shapeId="0" xr:uid="{00000000-0006-0000-0700-00002D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H3" authorId="0" shapeId="0" xr:uid="{00000000-0006-0000-0700-00002E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3" authorId="0" shapeId="0" xr:uid="{00000000-0006-0000-0700-00002F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3" authorId="0" shapeId="0" xr:uid="{00000000-0006-0000-0700-000030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K3" authorId="0" shapeId="0" xr:uid="{00000000-0006-0000-0700-000031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L3" authorId="0" shapeId="0" xr:uid="{00000000-0006-0000-0700-000032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M3" authorId="0" shapeId="0" xr:uid="{00000000-0006-0000-0700-000033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N3" authorId="0" shapeId="0" xr:uid="{00000000-0006-0000-0700-00003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P3" authorId="0" shapeId="0" xr:uid="{00000000-0006-0000-0700-00003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Q3" authorId="0" shapeId="0" xr:uid="{00000000-0006-0000-0700-00003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R3" authorId="0" shapeId="0" xr:uid="{00000000-0006-0000-0700-00003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S3" authorId="0" shapeId="0" xr:uid="{00000000-0006-0000-0700-000038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A4" authorId="0" shapeId="0" xr:uid="{00000000-0006-0000-0700-000039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4" authorId="0" shapeId="0" xr:uid="{00000000-0006-0000-0700-00003A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C4" authorId="0" shapeId="0" xr:uid="{00000000-0006-0000-0700-00003B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D4" authorId="0" shapeId="0" xr:uid="{00000000-0006-0000-0700-00003C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4" authorId="0" shapeId="0" xr:uid="{00000000-0006-0000-0700-00003D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F4" authorId="0" shapeId="0" xr:uid="{00000000-0006-0000-0700-00003E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4" authorId="0" shapeId="0" xr:uid="{00000000-0006-0000-0700-00003F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H4" authorId="0" shapeId="0" xr:uid="{00000000-0006-0000-0700-000040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4" authorId="0" shapeId="0" xr:uid="{00000000-0006-0000-0700-000041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4" authorId="0" shapeId="0" xr:uid="{00000000-0006-0000-0700-000042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K4" authorId="0" shapeId="0" xr:uid="{00000000-0006-0000-0700-000043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L4" authorId="0" shapeId="0" xr:uid="{00000000-0006-0000-0700-00004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M4" authorId="0" shapeId="0" xr:uid="{00000000-0006-0000-0700-00004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P4" authorId="0" shapeId="0" xr:uid="{00000000-0006-0000-0700-00004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Q4" authorId="0" shapeId="0" xr:uid="{00000000-0006-0000-0700-00004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R4" authorId="0" shapeId="0" xr:uid="{00000000-0006-0000-0700-000048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S4" authorId="0" shapeId="0" xr:uid="{00000000-0006-0000-0700-000049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A5" authorId="0" shapeId="0" xr:uid="{00000000-0006-0000-0700-00004A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5" authorId="0" shapeId="0" xr:uid="{00000000-0006-0000-0700-00004B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C5" authorId="0" shapeId="0" xr:uid="{00000000-0006-0000-0700-00004C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D5" authorId="0" shapeId="0" xr:uid="{00000000-0006-0000-0700-00004D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5" authorId="0" shapeId="0" xr:uid="{00000000-0006-0000-0700-00004E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5" authorId="0" shapeId="0" xr:uid="{00000000-0006-0000-0700-00004F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5" authorId="0" shapeId="0" xr:uid="{00000000-0006-0000-0700-000050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5" authorId="0" shapeId="0" xr:uid="{00000000-0006-0000-0700-000051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K5" authorId="0" shapeId="0" xr:uid="{00000000-0006-0000-0700-000052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L5" authorId="0" shapeId="0" xr:uid="{00000000-0006-0000-0700-000053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M5" authorId="0" shapeId="0" xr:uid="{00000000-0006-0000-0700-00005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P5" authorId="0" shapeId="0" xr:uid="{00000000-0006-0000-0700-00005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Q5" authorId="0" shapeId="0" xr:uid="{00000000-0006-0000-0700-00005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R5" authorId="0" shapeId="0" xr:uid="{00000000-0006-0000-0700-00005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S5" authorId="0" shapeId="0" xr:uid="{00000000-0006-0000-0700-000058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A6" authorId="0" shapeId="0" xr:uid="{00000000-0006-0000-0700-000059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6" authorId="0" shapeId="0" xr:uid="{00000000-0006-0000-0700-00005A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D6" authorId="0" shapeId="0" xr:uid="{00000000-0006-0000-0700-00005B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6" authorId="0" shapeId="0" xr:uid="{00000000-0006-0000-0700-00005C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6" authorId="0" shapeId="0" xr:uid="{00000000-0006-0000-0700-00005D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6" authorId="0" shapeId="0" xr:uid="{00000000-0006-0000-0700-00005E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6" authorId="0" shapeId="0" xr:uid="{00000000-0006-0000-0700-00005F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K6" authorId="0" shapeId="0" xr:uid="{00000000-0006-0000-0700-000060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M6" authorId="0" shapeId="0" xr:uid="{00000000-0006-0000-0700-000061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Q6" authorId="0" shapeId="0" xr:uid="{00000000-0006-0000-0700-000062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R6" authorId="0" shapeId="0" xr:uid="{00000000-0006-0000-0700-000063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A7" authorId="0" shapeId="0" xr:uid="{00000000-0006-0000-0700-00006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7" authorId="0" shapeId="0" xr:uid="{00000000-0006-0000-0700-00006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7" authorId="0" shapeId="0" xr:uid="{00000000-0006-0000-0700-00006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7" authorId="0" shapeId="0" xr:uid="{00000000-0006-0000-0700-00006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7" authorId="0" shapeId="0" xr:uid="{00000000-0006-0000-0700-000068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7" authorId="0" shapeId="0" xr:uid="{00000000-0006-0000-0700-000069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M7" authorId="0" shapeId="0" xr:uid="{00000000-0006-0000-0700-00006A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8" authorId="0" shapeId="0" xr:uid="{00000000-0006-0000-0700-00006B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E8" authorId="0" shapeId="0" xr:uid="{00000000-0006-0000-0700-00006C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8" authorId="0" shapeId="0" xr:uid="{00000000-0006-0000-0700-00006D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I8" authorId="0" shapeId="0" xr:uid="{00000000-0006-0000-0700-00006E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8" authorId="0" shapeId="0" xr:uid="{00000000-0006-0000-0700-00006F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9" authorId="0" shapeId="0" xr:uid="{00000000-0006-0000-0700-000070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9" authorId="0" shapeId="0" xr:uid="{00000000-0006-0000-0700-000071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9" authorId="0" shapeId="0" xr:uid="{00000000-0006-0000-0700-000072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B10" authorId="0" shapeId="0" xr:uid="{00000000-0006-0000-0700-000073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10" authorId="0" shapeId="0" xr:uid="{00000000-0006-0000-0700-000074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10" authorId="0" shapeId="0" xr:uid="{00000000-0006-0000-0700-000075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G11" authorId="0" shapeId="0" xr:uid="{00000000-0006-0000-0700-000076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  <comment ref="J11" authorId="0" shapeId="0" xr:uid="{00000000-0006-0000-0700-000077000000}">
      <text>
        <r>
          <rPr>
            <b/>
            <sz val="9"/>
            <color indexed="81"/>
            <rFont val="Tahoma"/>
            <family val="2"/>
          </rPr>
          <t xml:space="preserve">שימו לב!
</t>
        </r>
        <r>
          <rPr>
            <sz val="9"/>
            <color indexed="81"/>
            <rFont val="Tahoma"/>
            <family val="2"/>
          </rPr>
          <t>שינוי שם סעיף שאינו פרטי, עלול לפגוע ביכולת ליבוא הקובץ מהתוכנה.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</authors>
  <commentList>
    <comment ref="C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מאוצר החייל אפשר להפיק שני פורמטים. האחד זהה לבינלאומי ולכן למרות שיבחרו שם מקור 'אוצר החייל' הוא יוכר כבינלאומי.
השני, ייחודי ל'אוצר החייל'. כנראה מלפני האיחוד.</t>
        </r>
      </text>
    </comment>
    <comment ref="C1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מאוצר החייל אפשר להפיק שני פורמטים. האחד זהה לבינלאומי ולכן למרות שיבחרו שם מקור 'אוצר החייל' הוא יוכר כבינלאומי.
השני, ייחודי ל'אוצר החייל'. כנראה מלפני האיחוד.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</authors>
  <commentList>
    <comment ref="CX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חודש הביצוע או התקציב</t>
        </r>
      </text>
    </comment>
    <comment ref="CY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שיקוף / ביצוע / תקציב</t>
        </r>
      </text>
    </comment>
    <comment ref="CZ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מוכן ליבוא או לא.</t>
        </r>
      </text>
    </comment>
  </commentList>
</comments>
</file>

<file path=xl/sharedStrings.xml><?xml version="1.0" encoding="utf-8"?>
<sst xmlns="http://schemas.openxmlformats.org/spreadsheetml/2006/main" count="14880" uniqueCount="1027">
  <si>
    <t>הוצאה</t>
  </si>
  <si>
    <t>הכנסה</t>
  </si>
  <si>
    <t>שכר דירה</t>
  </si>
  <si>
    <t>מיסי ישוב / ועד בית</t>
  </si>
  <si>
    <t>מאזן חודשי</t>
  </si>
  <si>
    <t>קצבת ילדים</t>
  </si>
  <si>
    <t>מקור</t>
  </si>
  <si>
    <t>סיוע בשכר דירה</t>
  </si>
  <si>
    <t>תאריך</t>
  </si>
  <si>
    <t>סכום</t>
  </si>
  <si>
    <t>הערות</t>
  </si>
  <si>
    <t>הכנסה מנכס</t>
  </si>
  <si>
    <t>מים וביוב</t>
  </si>
  <si>
    <t>חשמל</t>
  </si>
  <si>
    <t>גז</t>
  </si>
  <si>
    <t>שנתי</t>
  </si>
  <si>
    <t>אופטיקה</t>
  </si>
  <si>
    <t>מזון</t>
  </si>
  <si>
    <t>תחבורה ציבורית</t>
  </si>
  <si>
    <t>חובות</t>
  </si>
  <si>
    <t>שם מזהה</t>
  </si>
  <si>
    <t>קרן התחלתית</t>
  </si>
  <si>
    <t>יתרה</t>
  </si>
  <si>
    <t>ריבית</t>
  </si>
  <si>
    <t>מספר תשלומים מקורי</t>
  </si>
  <si>
    <t>מספר תשלומים שנותרו</t>
  </si>
  <si>
    <t>החזר חודשי</t>
  </si>
  <si>
    <t>בסיס ריבית</t>
  </si>
  <si>
    <t>לוח</t>
  </si>
  <si>
    <t>מספר תשלומים שנפרעו</t>
  </si>
  <si>
    <t>מועד תשלום</t>
  </si>
  <si>
    <t>מועד תשלום ראשון</t>
  </si>
  <si>
    <t>מועד תשלום אחרון</t>
  </si>
  <si>
    <t>מועד מידע</t>
  </si>
  <si>
    <t>יתרה לסילוק</t>
  </si>
  <si>
    <t>עלות פירעון מוקדם</t>
  </si>
  <si>
    <t>מסגרת אשראי בחשבון הבנק (מינוס)</t>
  </si>
  <si>
    <t>חסכונות</t>
  </si>
  <si>
    <t>ממוצע חודשי מהשיקוף לסעיף 'הוראות קבע לחיסכון':</t>
  </si>
  <si>
    <t>סוג</t>
  </si>
  <si>
    <t>גוף</t>
  </si>
  <si>
    <t>סך</t>
  </si>
  <si>
    <t>מסלול השקעה</t>
  </si>
  <si>
    <t>מזהה / ח-ן</t>
  </si>
  <si>
    <t>תאריך מידע</t>
  </si>
  <si>
    <t>חוסך</t>
  </si>
  <si>
    <t>תאריך נזילות</t>
  </si>
  <si>
    <t>ד"נ</t>
  </si>
  <si>
    <t>מעמד</t>
  </si>
  <si>
    <t>מעסיק רשום</t>
  </si>
  <si>
    <t>ביטוחים כלולים</t>
  </si>
  <si>
    <t>אפשרות להלוואה כנגד החיסכון</t>
  </si>
  <si>
    <t>ביטוחים</t>
  </si>
  <si>
    <t>ממוצע חודשי מהשיקוף לסעיף 'ביטוחים (למעט רכב)':</t>
  </si>
  <si>
    <t>חברה מבטחת</t>
  </si>
  <si>
    <t>מס' פוליסה</t>
  </si>
  <si>
    <t>סוג ביטוח</t>
  </si>
  <si>
    <t>מבוטח</t>
  </si>
  <si>
    <t>כיסוי</t>
  </si>
  <si>
    <t>השתתפות עצמית</t>
  </si>
  <si>
    <t>החרגות</t>
  </si>
  <si>
    <t>תחילת ביטוח</t>
  </si>
  <si>
    <t>תום ביטוח</t>
  </si>
  <si>
    <t>סוג פרמיה</t>
  </si>
  <si>
    <t>פרמיה שנתית</t>
  </si>
  <si>
    <t>פרמיה חודשית</t>
  </si>
  <si>
    <t>סוכן</t>
  </si>
  <si>
    <t>FOR PROGRAMER</t>
  </si>
  <si>
    <t>Values</t>
  </si>
  <si>
    <t>Names</t>
  </si>
  <si>
    <t>ביטוח לאומי (למי שלא עובד)</t>
  </si>
  <si>
    <t>תיקונים בבית / במכשירים</t>
  </si>
  <si>
    <t>עזרה מההורים</t>
  </si>
  <si>
    <t>דו-חודשי</t>
  </si>
  <si>
    <t>רבעוני</t>
  </si>
  <si>
    <t>מס' מופעים (לשימוש פנימי)</t>
  </si>
  <si>
    <t>לממוצע חודשי (לשימוש פנימי)</t>
  </si>
  <si>
    <t>אין למחוק גיליון זה</t>
  </si>
  <si>
    <t>מוכן ליבוא</t>
  </si>
  <si>
    <t>[אין למחוק או לערוך גיליון זה]</t>
  </si>
  <si>
    <t>מס' חודשים (לשימוש פנימי)</t>
  </si>
  <si>
    <t>שם המשפחה</t>
  </si>
  <si>
    <t>תנועות מתוך דפי בנק וכרטיסי אשראי</t>
  </si>
  <si>
    <t>תיאור / שם בית העסק</t>
  </si>
  <si>
    <t>ישראלי</t>
  </si>
  <si>
    <t>תקופת השיקוף</t>
  </si>
  <si>
    <t>ממוצע הוצאות בחודש</t>
  </si>
  <si>
    <t>ממוצע הכנסות בחודש</t>
  </si>
  <si>
    <t>שם סעיף</t>
  </si>
  <si>
    <r>
      <t>הערות</t>
    </r>
    <r>
      <rPr>
        <sz val="11"/>
        <color rgb="FFFFFFFF"/>
        <rFont val="Calibri"/>
        <family val="2"/>
        <scheme val="minor"/>
      </rPr>
      <t xml:space="preserve"> </t>
    </r>
    <r>
      <rPr>
        <sz val="10"/>
        <color rgb="FFFFFFFF"/>
        <rFont val="Calibri"/>
        <family val="2"/>
        <scheme val="minor"/>
      </rPr>
      <t>(מלל חופשי)</t>
    </r>
  </si>
  <si>
    <r>
      <t xml:space="preserve">הוצאה/הכנסה
</t>
    </r>
    <r>
      <rPr>
        <sz val="10"/>
        <color rgb="FFFFFFFF"/>
        <rFont val="Calibri"/>
        <family val="2"/>
        <scheme val="minor"/>
      </rPr>
      <t xml:space="preserve">(ברירת מחדל: </t>
    </r>
    <r>
      <rPr>
        <b/>
        <sz val="10"/>
        <color rgb="FFFFFFFF"/>
        <rFont val="Calibri"/>
        <family val="2"/>
        <scheme val="minor"/>
      </rPr>
      <t>הוצאה</t>
    </r>
    <r>
      <rPr>
        <sz val="10"/>
        <color rgb="FFFFFFFF"/>
        <rFont val="Calibri"/>
        <family val="2"/>
        <scheme val="minor"/>
      </rPr>
      <t>)</t>
    </r>
  </si>
  <si>
    <t>שורת נתונים ראשונה</t>
  </si>
  <si>
    <t>שורת נתונים אחרונה</t>
  </si>
  <si>
    <t>מס' שורות להעתיק</t>
  </si>
  <si>
    <t>A6</t>
  </si>
  <si>
    <t>A5</t>
  </si>
  <si>
    <t>B3</t>
  </si>
  <si>
    <t>עמודה לתאריך</t>
  </si>
  <si>
    <t>עמודה לתיאור</t>
  </si>
  <si>
    <t>A</t>
  </si>
  <si>
    <t>C</t>
  </si>
  <si>
    <t>D</t>
  </si>
  <si>
    <t>תא למיקום שם מקור</t>
  </si>
  <si>
    <t>B</t>
  </si>
  <si>
    <t>E</t>
  </si>
  <si>
    <t>שם המקור האחרון</t>
  </si>
  <si>
    <t>שורה ראשונה להדבקה ביעד</t>
  </si>
  <si>
    <t>A4</t>
  </si>
  <si>
    <t>עמודה לסכום [חובה]</t>
  </si>
  <si>
    <t>עמודה לפרטים/הערות</t>
  </si>
  <si>
    <t>דיינרס</t>
  </si>
  <si>
    <t>A2</t>
  </si>
  <si>
    <t>מקור אחרון שנבחר</t>
  </si>
  <si>
    <t>גירסה</t>
  </si>
  <si>
    <t>שלב א</t>
  </si>
  <si>
    <t>שלב ב</t>
  </si>
  <si>
    <t>שלב ג</t>
  </si>
  <si>
    <t>בסיום</t>
  </si>
  <si>
    <t>לאחר העברת התוצאות לתוכנת פעמונים, השלימו בה את השיקוף ע"י הוספת: 
הכנסות/הוצאות שלא נכללו בתקופה שבדפי התנועות 
נתוני סעיפים פרטיים (אם יצרתם כאלו), חובות וחסכונות</t>
  </si>
  <si>
    <t>ראשונית. נשלח לעיצוב ומועמד לתיקוף</t>
  </si>
  <si>
    <t>סעיפים פרטיים בצבע שונה, גיליון רשימת בנקים וחברות אשראי, הגנת חוברת עבודה,</t>
  </si>
  <si>
    <t>נתמך</t>
  </si>
  <si>
    <t>חברת כ. אשראי</t>
  </si>
  <si>
    <t>מותגים</t>
  </si>
  <si>
    <t>Cal</t>
  </si>
  <si>
    <t>MAX ("לאומי קארד")</t>
  </si>
  <si>
    <t>ישראכרט</t>
  </si>
  <si>
    <t>מסטרקארד</t>
  </si>
  <si>
    <t>VISA</t>
  </si>
  <si>
    <t>מולטי...</t>
  </si>
  <si>
    <t>אמריקן אקספרס</t>
  </si>
  <si>
    <t>קוד בנק​</t>
  </si>
  <si>
    <t>13​</t>
  </si>
  <si>
    <t>בנק אגוד לישראל בע"מ​</t>
  </si>
  <si>
    <t>14​</t>
  </si>
  <si>
    <t>בנק אוצר החייל בע"מ​</t>
  </si>
  <si>
    <t>11​</t>
  </si>
  <si>
    <t>בנק דיסקונט לישראל בע"מ​</t>
  </si>
  <si>
    <t>68​</t>
  </si>
  <si>
    <t>בנק דקסיה ישראל בע"מ​</t>
  </si>
  <si>
    <t>12​</t>
  </si>
  <si>
    <t>בנק הפועלים בע"מ​</t>
  </si>
  <si>
    <t>4​</t>
  </si>
  <si>
    <t>בנק יהב לעובדי המדינה בע"מ​</t>
  </si>
  <si>
    <t>54​</t>
  </si>
  <si>
    <t>בנק ירושלים בע"מ​</t>
  </si>
  <si>
    <t>10​</t>
  </si>
  <si>
    <t>בנק לאומי לישראל בע"מ​</t>
  </si>
  <si>
    <t>30​</t>
  </si>
  <si>
    <t>בנק למסחר בע"מ (לבנק מונה מפרק זמני)​</t>
  </si>
  <si>
    <t>20​</t>
  </si>
  <si>
    <t>בנק מזרחי טפחות בע"מ​</t>
  </si>
  <si>
    <t>46​</t>
  </si>
  <si>
    <t>בנק מסד בע"מ​</t>
  </si>
  <si>
    <t>17​</t>
  </si>
  <si>
    <t>בנק מרכנתיל דיסקונט בע"מ​</t>
  </si>
  <si>
    <t>34​</t>
  </si>
  <si>
    <t>בנק ערבי ישראלי בע"מ​</t>
  </si>
  <si>
    <t>52​</t>
  </si>
  <si>
    <t>בנק פועלי אגודת ישראל בע"מ​</t>
  </si>
  <si>
    <t>31​</t>
  </si>
  <si>
    <t>הבנק הבינלאומי הראשון לישראל בע"מ​</t>
  </si>
  <si>
    <t>26​</t>
  </si>
  <si>
    <t>יובנק בע"מ​</t>
  </si>
  <si>
    <t>שם​ הבנק</t>
  </si>
  <si>
    <t>הכנה</t>
  </si>
  <si>
    <t>בנק דיסקונט</t>
  </si>
  <si>
    <t>בנק לאומי</t>
  </si>
  <si>
    <t>בנק מזרחי טפחות</t>
  </si>
  <si>
    <t>בנק יהב</t>
  </si>
  <si>
    <t>כרטיס מקס (לאומי קארד)</t>
  </si>
  <si>
    <t>כרטיס כ.א.ל</t>
  </si>
  <si>
    <t>דיוק בשמות הבנקים וחברות האשראי</t>
  </si>
  <si>
    <t>התייחסות למטבע זר בגיליון הדרכה</t>
  </si>
  <si>
    <t>H</t>
  </si>
  <si>
    <t>K</t>
  </si>
  <si>
    <t>D5</t>
  </si>
  <si>
    <t>תיקון פרטים לפורמט דף כרטיס מקס</t>
  </si>
  <si>
    <t xml:space="preserve">ביטול הגנה מכותרות העמודות לטובת oneDrive ועדכון הכיתוב למידע נוסף </t>
  </si>
  <si>
    <t>שינוי הודעת הקלט על שמות הסעיפים בגיליון תוצאות השיקוף</t>
  </si>
  <si>
    <t>חודשי/מזדמן</t>
  </si>
  <si>
    <r>
      <t xml:space="preserve">מחזוריות
</t>
    </r>
    <r>
      <rPr>
        <sz val="10"/>
        <color rgb="FFFFFFFF"/>
        <rFont val="Calibri"/>
        <family val="2"/>
        <scheme val="minor"/>
      </rPr>
      <t xml:space="preserve">(ברירת מחדל: </t>
    </r>
    <r>
      <rPr>
        <b/>
        <sz val="10"/>
        <color rgb="FFFFFFFF"/>
        <rFont val="Calibri"/>
        <family val="2"/>
        <scheme val="minor"/>
      </rPr>
      <t>חודשי/מזדמן</t>
    </r>
    <r>
      <rPr>
        <sz val="10"/>
        <color rgb="FFFFFFFF"/>
        <rFont val="Calibri"/>
        <family val="2"/>
        <scheme val="minor"/>
      </rPr>
      <t>)</t>
    </r>
  </si>
  <si>
    <t>כרטיס ישראכרט</t>
  </si>
  <si>
    <t>הפיכת מחזוריות 'חודשי' ל- 'חודשי/מזדמן'</t>
  </si>
  <si>
    <t>אפשרות מחיקה של סיווג שגוי של תנועה לסעיף</t>
  </si>
  <si>
    <t>הוספת תמיכה לטעינת דפי תנועות ישראכרט</t>
  </si>
  <si>
    <t>בהוראות גיליון שלב א', במקום 'לסוף' -&gt; 'אחרון'</t>
  </si>
  <si>
    <t>A1</t>
  </si>
  <si>
    <t>F</t>
  </si>
  <si>
    <t>בנק אגוד</t>
  </si>
  <si>
    <t>בנק אוצר החייל</t>
  </si>
  <si>
    <t>בנק דקסיה ישראל</t>
  </si>
  <si>
    <t>בנק הפועלים</t>
  </si>
  <si>
    <t>בנק ירושלים</t>
  </si>
  <si>
    <t>בנק מסד</t>
  </si>
  <si>
    <t>בנק מרכנתיל דיסקונט</t>
  </si>
  <si>
    <t>בנק ערבי ישראלי</t>
  </si>
  <si>
    <t>בנק פועלי אגודת ישראל</t>
  </si>
  <si>
    <t>הבנק הבינלאומי הראשון</t>
  </si>
  <si>
    <t>יובנק</t>
  </si>
  <si>
    <t>לא נתמכים עדיין</t>
  </si>
  <si>
    <t>שינוי שם ל- שמיר</t>
  </si>
  <si>
    <t>הכנה לתמיכה בכל הפורמטים הנוספים וסידורם לפי א-ב</t>
  </si>
  <si>
    <t>בגיליון הדרכה - 1. הדגשה להוריד פירוט חיובי אשראי מאתר חברת האשראי. 2. הכנה לקישור לקובץ שו"ת.</t>
  </si>
  <si>
    <t>הוספת קישור לסרטון הדרכה</t>
  </si>
  <si>
    <t>ביטול הגנת חוברת עבודה עם סיסמא (הפריע ליבוא מהתוכנה)</t>
  </si>
  <si>
    <t>הוספת קישור לשאלות ותשובות</t>
  </si>
  <si>
    <t>I</t>
  </si>
  <si>
    <t>הוספת תמיכה בפורמטים של בנק אגוד, אוצר החייל, הבינלאומי</t>
  </si>
  <si>
    <t>080720</t>
  </si>
  <si>
    <t>שימו לב! אין לשנות את סדר התנועות או את מיקומן.</t>
  </si>
  <si>
    <t>070620</t>
  </si>
  <si>
    <t>020720</t>
  </si>
  <si>
    <t>בגיליון שלב ב: גלילה כך שבפתיחה תהיה חשופה השורה הראשונה בטבלה + הוספת אזהרה לגבי שינוי סדר ומיקום של תנועות.</t>
  </si>
  <si>
    <t>הוספת תמיכה בפורמט בנק הפועלים.</t>
  </si>
  <si>
    <t>130720</t>
  </si>
  <si>
    <t>עסקאות בחו˝ל</t>
  </si>
  <si>
    <t>תיקון התמיכה בטעינת פורמט ישראכאט לפי זה היוצא מאתר חברת האשראי. ללא תמיכה בעסקאות בחו"ל. אלו יצטרכו להיטען ידנית בסוף.</t>
  </si>
  <si>
    <t>ללא עסקאות בחו"ל</t>
  </si>
  <si>
    <t>150720</t>
  </si>
  <si>
    <t>Igud</t>
  </si>
  <si>
    <t>Otsar</t>
  </si>
  <si>
    <t>Discount</t>
  </si>
  <si>
    <t>Reserved</t>
  </si>
  <si>
    <t>Poalim</t>
  </si>
  <si>
    <t>Yahav</t>
  </si>
  <si>
    <t>Leumi</t>
  </si>
  <si>
    <t>Mizrachi</t>
  </si>
  <si>
    <t>BenLeumi</t>
  </si>
  <si>
    <t>Isracard</t>
  </si>
  <si>
    <t>תרגום למשתמשי אקסל באנגלית</t>
  </si>
  <si>
    <t>MaxCard</t>
  </si>
  <si>
    <t>----- שמור זמנית -----</t>
  </si>
  <si>
    <t>תמיכה באקסל באנגלית, החלפת מקום ריק ברשימה עבור מקורות שייתמכו בעתיד למקום שרשום בו "---- שמור זמנית ---".</t>
  </si>
  <si>
    <t>030820</t>
  </si>
  <si>
    <t>G</t>
  </si>
  <si>
    <t>Masad</t>
  </si>
  <si>
    <t>הוספת תמיכה בפורמט בנק מסד. שינוי אופן החישוב של שורת נתונים אחרונה בחלק מהפורמטים (לפי סוג פעולה / אסמכתא וכדו').</t>
  </si>
  <si>
    <t>070820</t>
  </si>
  <si>
    <t>הוספת מאקרו לכיווץ אוטומטי של רצועת הכלים בפתיחה. חושף יותר שורות וסיווג בגיליון שלב ב.</t>
  </si>
  <si>
    <t>120820</t>
  </si>
  <si>
    <t>שינוי החישוב בעמודה L (בשלב ב) כדי לאפשר לסווג פעולה שהוכנסה ישנית עם סכום בלבד וללא "תאור / שם בי העסק"</t>
  </si>
  <si>
    <t>190820</t>
  </si>
  <si>
    <t>ביטול הגנת חוברת עבודה עם סיסמא כי מפריע ליבוא מהתוכנה (בוטל כבר מגירסה 240620 אבל הוכנס בטעות בחזרה)</t>
  </si>
  <si>
    <t>251020</t>
  </si>
  <si>
    <t>חלוקת הסכום ב X (רשמו כאן את X)</t>
  </si>
  <si>
    <t>שינוי החישוב בעמודה L (בשלב ב) כדי לספור מופעים רק כאשר יש זהות גם ב"תאור / שם בית העסק" וגם ב"שם סעיף".</t>
  </si>
  <si>
    <t>שינוי החישוב בעמודה J (בשלב ב) כך שאם נבחר "חלוקת הסכום ב-X" החילוק ייעשה רק על בסיס X (ללא קשר לתקופת השיקוף ו/או למס' המופעים של התנועה). נותן שליטה מלאה למשתמש.</t>
  </si>
  <si>
    <t>באפשרויות לבחירת 'מחזוריות', החלפת "אחת ל-X חודשים", ב- "חלוקת הסכום ב-X".</t>
  </si>
  <si>
    <t>התייחסות "תנועות" בצעד 2 בגיליון "שלב ב", כדי לכלול עסקאות בחו"ל אות תנועות אחרות שלא נטענו אוטומטית מתוך דף המקור.</t>
  </si>
  <si>
    <t>הוספת התייחסות לתנועות חו"ל בקובץ השו"ת.</t>
  </si>
  <si>
    <t>061220</t>
  </si>
  <si>
    <t xml:space="preserve">הוספת כפתור וקישור להורדת גירסה מעודכנת </t>
  </si>
  <si>
    <t>תמיכה בפורמט פועלים עסקי</t>
  </si>
  <si>
    <t>בנק הפועלים (עסקי)</t>
  </si>
  <si>
    <t>PoalimBiz</t>
  </si>
  <si>
    <t>בנק הפועלים בע"מ​ - חשבון עסקי</t>
  </si>
  <si>
    <t>בגיליון שלב א' הוספת הטקסט "או אם הטעינה האוטומטית נכשלה".</t>
  </si>
  <si>
    <t>150221</t>
  </si>
  <si>
    <t>הגנת גיליון שלב ג</t>
  </si>
  <si>
    <t>280221</t>
  </si>
  <si>
    <t>מניעת שגיאה בשלב ב' במקרה שבוחרים מחזוריות ואח"כ מתחרטים ומוחקים את תוכן התא</t>
  </si>
  <si>
    <t>הוספת אזהרה בשלב ב' במקרה שמזינים מחזוריות שאינה מספר</t>
  </si>
  <si>
    <t>230621</t>
  </si>
  <si>
    <t>הוספת תמיכה בפורמט יחודי של אוצר החייל. הפורמט הקודם של אוצר החייל בעצם זהה לבינלאומי ויוכר ככזה. ראה פניה #18649.</t>
  </si>
  <si>
    <t>160821</t>
  </si>
  <si>
    <t>תמיכה בפורמט דף התנועות החדש של בנק לאומי</t>
  </si>
  <si>
    <t>301221</t>
  </si>
  <si>
    <t>הוספת תמיכה בפורמט של בנק מרכנתיל</t>
  </si>
  <si>
    <t>A3</t>
  </si>
  <si>
    <t>תנועות עתידיות</t>
  </si>
  <si>
    <t>Mercantil</t>
  </si>
  <si>
    <t>קבלת מזונות</t>
  </si>
  <si>
    <t>הכנסות שונות - כללי</t>
  </si>
  <si>
    <t>קצבת נכות</t>
  </si>
  <si>
    <t>קצבת זיקנה</t>
  </si>
  <si>
    <t>קצבאות - כללי</t>
  </si>
  <si>
    <t>שכר - כללי</t>
  </si>
  <si>
    <t>חניה</t>
  </si>
  <si>
    <t>תחבורה - כללי</t>
  </si>
  <si>
    <t>כבישי אגרה</t>
  </si>
  <si>
    <t>רישוי רכב</t>
  </si>
  <si>
    <t>ביגוד הורים</t>
  </si>
  <si>
    <t>ביגוד ילדים</t>
  </si>
  <si>
    <t>נעליים</t>
  </si>
  <si>
    <t>הסעות</t>
  </si>
  <si>
    <t>בית ספר</t>
  </si>
  <si>
    <t>שיעור פרטי</t>
  </si>
  <si>
    <t>מסגרות צהריים</t>
  </si>
  <si>
    <t>לימודים והשתלמות לבוגרים</t>
  </si>
  <si>
    <t>חוגי מבוגרים</t>
  </si>
  <si>
    <t>דמי כיס</t>
  </si>
  <si>
    <t>אוכל מוכן / בעבודה</t>
  </si>
  <si>
    <t>פארמה וטואלטיקה</t>
  </si>
  <si>
    <t>אירוע בעבודה / לחברים</t>
  </si>
  <si>
    <t>ביטוח רפואי נוסף</t>
  </si>
  <si>
    <t>ניקיון</t>
  </si>
  <si>
    <t>תרומות</t>
  </si>
  <si>
    <t>חגים וצרכי דת</t>
  </si>
  <si>
    <t>ביגוד והנעלה - כללי</t>
  </si>
  <si>
    <t>בריאות - כללי</t>
  </si>
  <si>
    <t>משכנתה</t>
  </si>
  <si>
    <t>ארנונה</t>
  </si>
  <si>
    <t>ביטוח נכס ותכולה</t>
  </si>
  <si>
    <t>דיור - כללי</t>
  </si>
  <si>
    <t>ריביות משיכת יתר</t>
  </si>
  <si>
    <t>חינוך - כללי</t>
  </si>
  <si>
    <t>חוגים ותנועת נוער</t>
  </si>
  <si>
    <t>מסגרות יום</t>
  </si>
  <si>
    <t>מספרה</t>
  </si>
  <si>
    <t>קוסמטיקה</t>
  </si>
  <si>
    <t>טיפוח - כללי</t>
  </si>
  <si>
    <t>עישון</t>
  </si>
  <si>
    <t>ארועי שמחות במשפחה</t>
  </si>
  <si>
    <t>תשלום מזונות</t>
  </si>
  <si>
    <t>עזרה למשפחה</t>
  </si>
  <si>
    <t>משפחה - כללי</t>
  </si>
  <si>
    <t>הפקדות לחסכונות - כללי</t>
  </si>
  <si>
    <t>ביטוח חיים</t>
  </si>
  <si>
    <t>עמלות</t>
  </si>
  <si>
    <t>טלויזיה ואינטרנט (ספק ותשתית)</t>
  </si>
  <si>
    <t>חופשות</t>
  </si>
  <si>
    <t>בילויים ומופעים</t>
  </si>
  <si>
    <t>בייביסיטר</t>
  </si>
  <si>
    <t>פנאי - כללי</t>
  </si>
  <si>
    <t>דלק</t>
  </si>
  <si>
    <t>ביטוח רכב</t>
  </si>
  <si>
    <t>תחזוקת רכב</t>
  </si>
  <si>
    <t>ליסינג</t>
  </si>
  <si>
    <t>תחבורה שיתופית</t>
  </si>
  <si>
    <t>טלפון נייד ונייח</t>
  </si>
  <si>
    <t>שירותי תוכן</t>
  </si>
  <si>
    <t>טיפולים פרטיים</t>
  </si>
  <si>
    <t>תרופות</t>
  </si>
  <si>
    <t>גינה</t>
  </si>
  <si>
    <t>ריהוט</t>
  </si>
  <si>
    <t>מוצרי חשמל ואלקטרוניקה</t>
  </si>
  <si>
    <t>משחקים, צעצועים וספרים</t>
  </si>
  <si>
    <t>כלי בית</t>
  </si>
  <si>
    <t>תקשורת - כללי</t>
  </si>
  <si>
    <t>הגרלות</t>
  </si>
  <si>
    <t>ספורט</t>
  </si>
  <si>
    <t>החזר חובות חודשי (למעט משכנתה) - כללי</t>
  </si>
  <si>
    <t>סעיף ראשי</t>
  </si>
  <si>
    <t>הכנסות שונות</t>
  </si>
  <si>
    <t>תחבורה</t>
  </si>
  <si>
    <t>קצבאות</t>
  </si>
  <si>
    <t>ביגוד והנעלה</t>
  </si>
  <si>
    <t>שכר</t>
  </si>
  <si>
    <t>חינוך</t>
  </si>
  <si>
    <t>פנאי, בילוי ותחביבים</t>
  </si>
  <si>
    <t>משפחה</t>
  </si>
  <si>
    <t>מזון ופארמה</t>
  </si>
  <si>
    <t>אירועים, תרומות, צרכי דת</t>
  </si>
  <si>
    <t>בריאות</t>
  </si>
  <si>
    <t>אחזקת בית</t>
  </si>
  <si>
    <t>דיור</t>
  </si>
  <si>
    <t>התחייבויות</t>
  </si>
  <si>
    <t>טיפוח</t>
  </si>
  <si>
    <t>נכסים</t>
  </si>
  <si>
    <t>פיננסים</t>
  </si>
  <si>
    <t>תקשורת</t>
  </si>
  <si>
    <t>תכולת בית</t>
  </si>
  <si>
    <t>ExpFood</t>
  </si>
  <si>
    <t>ExpCloth</t>
  </si>
  <si>
    <t>ExpEdu</t>
  </si>
  <si>
    <t>ExpTransp</t>
  </si>
  <si>
    <t>ExpFamily</t>
  </si>
  <si>
    <t>ExpHealth</t>
  </si>
  <si>
    <t>ExpCom</t>
  </si>
  <si>
    <t>ExpHobby</t>
  </si>
  <si>
    <t>ExpHousing</t>
  </si>
  <si>
    <t>ExpCommit</t>
  </si>
  <si>
    <t>ExpCare</t>
  </si>
  <si>
    <t>ExpProp</t>
  </si>
  <si>
    <t>ExpFin</t>
  </si>
  <si>
    <t>ExpHomeCont</t>
  </si>
  <si>
    <t>ExpHome</t>
  </si>
  <si>
    <t>ExpEvents</t>
  </si>
  <si>
    <t>בר מים</t>
  </si>
  <si>
    <t>IncSal</t>
  </si>
  <si>
    <t>IncAllow</t>
  </si>
  <si>
    <t>IncMisc</t>
  </si>
  <si>
    <t>מסגרות קיץ</t>
  </si>
  <si>
    <t>מזון ופארמה - כללי</t>
  </si>
  <si>
    <t>סה"כ הכנסות</t>
  </si>
  <si>
    <t>סה"כ הוצאות</t>
  </si>
  <si>
    <t>הפרש</t>
  </si>
  <si>
    <t>כל סעיפי הוצאה</t>
  </si>
  <si>
    <t>כל סעיפי הכנסה</t>
  </si>
  <si>
    <t>כל סעיפי הוצאה ללא רווחים</t>
  </si>
  <si>
    <t>כל סעיפי הכנסה ללא רווחים</t>
  </si>
  <si>
    <t>ID</t>
  </si>
  <si>
    <t>שם</t>
  </si>
  <si>
    <t>שכר עבודה 1</t>
  </si>
  <si>
    <t>שכר עבודה 2</t>
  </si>
  <si>
    <t>שכר עבודה 3</t>
  </si>
  <si>
    <t>שכר עבודה 4</t>
  </si>
  <si>
    <t>אחזקת בית - כללי</t>
  </si>
  <si>
    <t>טיפולי שיניים</t>
  </si>
  <si>
    <t>קופ"ח תשלום קבוע</t>
  </si>
  <si>
    <t>צהרון / מטפלת</t>
  </si>
  <si>
    <t>פיננסים - כללי</t>
  </si>
  <si>
    <t>חיות מחמד</t>
  </si>
  <si>
    <t>מסעדה ואוכל בחוץ</t>
  </si>
  <si>
    <t>תכולת בית - כללי</t>
  </si>
  <si>
    <t>התאמה למערכת הסעיפים החדשה באפליקציה</t>
  </si>
  <si>
    <t>140722</t>
  </si>
  <si>
    <t>030523</t>
  </si>
  <si>
    <t>עדכון Ids של סעיפים עבור יבוא מהתוכנה, לפי מייל מרוני ב 2/5/23</t>
  </si>
  <si>
    <t>080823</t>
  </si>
  <si>
    <t>B4</t>
  </si>
  <si>
    <t>תמיכה לפורמט דף התנועות של בנק יהב לאחר שהם עשו שינוי</t>
  </si>
  <si>
    <t>181023</t>
  </si>
  <si>
    <t>לא לסיווג</t>
  </si>
  <si>
    <t>הוספת "לא לסיווג" תחת סעיף ראשי</t>
  </si>
  <si>
    <t>021123</t>
  </si>
  <si>
    <t>סכום עסקה</t>
  </si>
  <si>
    <t>מטבע לחיוב</t>
  </si>
  <si>
    <t>מספר כרטיס/בנק</t>
  </si>
  <si>
    <t>גירסה מיוחדת לאפ-עמון, מאפשר הוספת עמודות ומיון בגיליון שלב ב' (הטעינה האוטומטית לא תעבוד, וכן יש חשש להפניות מעגליות במיונים למיניהם)</t>
  </si>
  <si>
    <t>אפעמון 021123</t>
  </si>
  <si>
    <r>
      <rPr>
        <b/>
        <sz val="36"/>
        <color rgb="FF7030A0"/>
        <rFont val="Calibri"/>
        <family val="2"/>
        <scheme val="minor"/>
      </rPr>
      <t xml:space="preserve">שמיר </t>
    </r>
    <r>
      <rPr>
        <sz val="11"/>
        <color rgb="FF7030A0"/>
        <rFont val="Arial"/>
        <family val="2"/>
      </rPr>
      <t>- כלי לשיקוף מהיר  וביצוע על בסיס פירוט פעולות בנק וכרטיס אשראי באמצעות האפ-עמון</t>
    </r>
  </si>
  <si>
    <r>
      <t xml:space="preserve">הורידו את פירוט החיובים/התנועות לחודשים </t>
    </r>
    <r>
      <rPr>
        <b/>
        <sz val="14"/>
        <color theme="1"/>
        <rFont val="Arial"/>
        <family val="2"/>
      </rPr>
      <t>שלמים</t>
    </r>
    <r>
      <rPr>
        <sz val="14"/>
        <color theme="1"/>
        <rFont val="Arial"/>
        <family val="2"/>
      </rPr>
      <t xml:space="preserve"> מכל חשבונות הבנק וכרטיסי האשראי של המשפחה </t>
    </r>
    <r>
      <rPr>
        <sz val="11"/>
        <color theme="1"/>
        <rFont val="Arial"/>
        <family val="2"/>
      </rPr>
      <t>(הורידו בפורמט אקסל)</t>
    </r>
    <r>
      <rPr>
        <sz val="14"/>
        <color theme="1"/>
        <rFont val="Arial"/>
        <family val="2"/>
      </rPr>
      <t>. 
במקרה של שיקוף - על מספר החודשים מכל המקורות להיות זהה.</t>
    </r>
  </si>
  <si>
    <t>הטעינו את האפ-עמון בקבצים שהורדתם לפי ההוראות שבמדריך לאפ-עמון</t>
  </si>
  <si>
    <r>
      <t>ודאו שהקבצים הוטענו במלואם לשמיר באמצעות גיליון "שמיר" בקובץ זה ועברו לגיליון '</t>
    </r>
    <r>
      <rPr>
        <i/>
        <sz val="14"/>
        <color theme="1"/>
        <rFont val="Arial"/>
        <family val="2"/>
      </rPr>
      <t>שלב ב - סיווג התנועות</t>
    </r>
    <r>
      <rPr>
        <sz val="14"/>
        <color theme="1"/>
        <rFont val="Arial"/>
        <family val="2"/>
      </rPr>
      <t xml:space="preserve">' ובצעו את ההוראות שבו.
</t>
    </r>
    <r>
      <rPr>
        <sz val="11"/>
        <color theme="1"/>
        <rFont val="Arial"/>
        <family val="2"/>
      </rPr>
      <t>במידת הצורך תוכלו להוסיף שמות סעיפים פרטיים בגיליון 'רשימת הסעיפים' וכן הוסיפו שורות עבור הפעולות שבוצעו במזומן במהלך תקופת השיקוף/ביצוע</t>
    </r>
  </si>
  <si>
    <r>
      <t xml:space="preserve">בחנו את </t>
    </r>
    <r>
      <rPr>
        <i/>
        <sz val="14"/>
        <color theme="1"/>
        <rFont val="Arial"/>
        <family val="2"/>
      </rPr>
      <t>תוצאות השיקוף/ביצוע בגיליון שלב ג'</t>
    </r>
    <r>
      <rPr>
        <sz val="14"/>
        <color theme="1"/>
        <rFont val="Arial"/>
        <family val="2"/>
      </rPr>
      <t xml:space="preserve">. </t>
    </r>
  </si>
  <si>
    <r>
      <t xml:space="preserve">שמרו את הקובץ המסווג בפורמט XLS (אקסל 97-2003).
בצעו מתוך תוכנת פעמונים, יבוא אוטומטי של תוצאות השיקוף </t>
    </r>
    <r>
      <rPr>
        <sz val="11"/>
        <color theme="1"/>
        <rFont val="Arial"/>
        <family val="2"/>
      </rPr>
      <t>(תיק המשפחה -&gt; שיקוף וביצועים -&gt; יבוא שיקוף חדש)</t>
    </r>
    <r>
      <rPr>
        <sz val="14"/>
        <color theme="1"/>
        <rFont val="Arial"/>
        <family val="2"/>
      </rPr>
      <t xml:space="preserve">. 
</t>
    </r>
  </si>
  <si>
    <r>
      <rPr>
        <sz val="12"/>
        <color rgb="FFFF0000"/>
        <rFont val="Arial"/>
        <family val="2"/>
      </rPr>
      <t>נתונים שהועתקו מאתרי הבנק והאשראי הדורשים התייחסות מיוחדת:</t>
    </r>
    <r>
      <rPr>
        <sz val="14"/>
        <color rgb="FF434343"/>
        <rFont val="Arial"/>
        <family val="2"/>
      </rPr>
      <t xml:space="preserve">
</t>
    </r>
    <r>
      <rPr>
        <b/>
        <i/>
        <sz val="11"/>
        <rFont val="Arial"/>
        <family val="2"/>
      </rPr>
      <t>עסקה המהווה החזר חוב</t>
    </r>
    <r>
      <rPr>
        <sz val="11"/>
        <color rgb="FF000000"/>
        <rFont val="Arial"/>
        <family val="2"/>
      </rPr>
      <t xml:space="preserve">:להשאיר את התנועה ללא סיווג לסעיף. לשקול להוסיף את התנועה כחוב במודול החובות בתיק המשפחה.
</t>
    </r>
    <r>
      <rPr>
        <b/>
        <i/>
        <sz val="11"/>
        <rFont val="Arial"/>
        <family val="2"/>
      </rPr>
      <t xml:space="preserve">עסקת תשלומים: </t>
    </r>
    <r>
      <rPr>
        <sz val="11"/>
        <rFont val="Arial"/>
        <family val="2"/>
      </rPr>
      <t>לפי העניין - לרשום כחוב או כהוצאה בהתאם לאופי התשלום</t>
    </r>
    <r>
      <rPr>
        <sz val="11"/>
        <color rgb="FF000000"/>
        <rFont val="Arial"/>
        <family val="2"/>
      </rPr>
      <t xml:space="preserve">
</t>
    </r>
    <r>
      <rPr>
        <b/>
        <sz val="11"/>
        <rFont val="Arial"/>
        <family val="2"/>
      </rPr>
      <t>נתונים כפולים:</t>
    </r>
    <r>
      <rPr>
        <sz val="11"/>
        <color rgb="FF000000"/>
        <rFont val="Arial"/>
        <family val="2"/>
      </rPr>
      <t xml:space="preserve"> אין לסווג את רשומות האשראי שבתנועות העו"ש.
</t>
    </r>
    <r>
      <rPr>
        <b/>
        <i/>
        <sz val="11"/>
        <color rgb="FF000000"/>
        <rFont val="Arial"/>
        <family val="2"/>
      </rPr>
      <t>מטבע זר:</t>
    </r>
    <r>
      <rPr>
        <sz val="11"/>
        <color rgb="FF000000"/>
        <rFont val="Arial"/>
        <family val="2"/>
      </rPr>
      <t xml:space="preserve"> יש לוודא שהסכום שהועתק הוא במונחים של ש"ח ואם לא יש להמיר את הסכום לש"ח</t>
    </r>
  </si>
  <si>
    <t>טיפולי שיניים / אורטודנט</t>
  </si>
  <si>
    <t>אשראי-1</t>
  </si>
  <si>
    <t>01/01/2026</t>
  </si>
  <si>
    <t>פיצה מתי קניון רחובות</t>
  </si>
  <si>
    <t/>
  </si>
  <si>
    <t>₪</t>
  </si>
  <si>
    <t>7721</t>
  </si>
  <si>
    <t>רבידים המרכז לחינוך ופיתו</t>
  </si>
  <si>
    <t>הוראת קבע</t>
  </si>
  <si>
    <t>KSP רחובות</t>
  </si>
  <si>
    <t>WOLT</t>
  </si>
  <si>
    <t>פיס פלוס -תו נטען</t>
  </si>
  <si>
    <t>הטבות פיס</t>
  </si>
  <si>
    <t>הטבות פיס פ.</t>
  </si>
  <si>
    <t>בנק-11</t>
  </si>
  <si>
    <t>הו"ק הלו' רבית</t>
  </si>
  <si>
    <t>12-615-563159</t>
  </si>
  <si>
    <t>הו"ק הלואה קרן</t>
  </si>
  <si>
    <t>02/01/2026</t>
  </si>
  <si>
    <t>קפה לנדוור בע"מ</t>
  </si>
  <si>
    <t>צ'וקה רחובות</t>
  </si>
  <si>
    <t>ביגה ראשונים</t>
  </si>
  <si>
    <t>אורבן קופיקס בע"מ רחובות</t>
  </si>
  <si>
    <t>מקס איט פיננסי</t>
  </si>
  <si>
    <t>משיכה מבנקט</t>
  </si>
  <si>
    <t>כאל</t>
  </si>
  <si>
    <t>03/01/2026</t>
  </si>
  <si>
    <t>ביחד בשבילך</t>
  </si>
  <si>
    <t>סופרפארם אונליין</t>
  </si>
  <si>
    <t>מקדונלדס APPLE/GOOGLE PAY</t>
  </si>
  <si>
    <t>04/01/2026</t>
  </si>
  <si>
    <t>מאוחדת פארם אונליין</t>
  </si>
  <si>
    <t>דקטלון יישראל בעמ</t>
  </si>
  <si>
    <t>אשראי-2</t>
  </si>
  <si>
    <t>NETFLIX.COM            AMSTERDAM     NL</t>
  </si>
  <si>
    <t xml:space="preserve">חיוב עסקת חו"ל בש"ח </t>
  </si>
  <si>
    <t>bit העברת כסף</t>
  </si>
  <si>
    <t>המבצע: מיטל לנקרי עבור: משיכה לחשבון בנק</t>
  </si>
  <si>
    <t>רבית (תאריך ערך: 01/01)</t>
  </si>
  <si>
    <t xml:space="preserve">   כולל הטבת עו"ש מקזז בסך 52.44  ש"ח</t>
  </si>
  <si>
    <t>05/01/2026</t>
  </si>
  <si>
    <t>חברת פרטנר תקשורת בע"מ (ה</t>
  </si>
  <si>
    <t>מרקט בעיר מפגש השיח</t>
  </si>
  <si>
    <t>06/01/2026</t>
  </si>
  <si>
    <t>PAYPAL *TEMU           83121237      AU</t>
  </si>
  <si>
    <t>07/01/2026</t>
  </si>
  <si>
    <t>סופר טוב והמיטיב גולומב</t>
  </si>
  <si>
    <t>עירית רחובות אינטרנט</t>
  </si>
  <si>
    <t>DISNEY PLUS            LONDON        GB</t>
  </si>
  <si>
    <t>אשראי-13</t>
  </si>
  <si>
    <t>ביטול עסקה</t>
  </si>
  <si>
    <t>08/01/2026</t>
  </si>
  <si>
    <t>פרי טיוי</t>
  </si>
  <si>
    <t>תאיו</t>
  </si>
  <si>
    <t>חברת החשמל לישראל בע"מ</t>
  </si>
  <si>
    <t>09/01/2026</t>
  </si>
  <si>
    <t>10/01/2026</t>
  </si>
  <si>
    <t>תיאטרון הילדים הישראלי</t>
  </si>
  <si>
    <t>11/01/2026</t>
  </si>
  <si>
    <t>קפה עלית און ליין</t>
  </si>
  <si>
    <t>עוגן הקרן להלו</t>
  </si>
  <si>
    <t xml:space="preserve">  עבור: לנקרי מיטל          מזהה 035929330</t>
  </si>
  <si>
    <t>הוראת-קבע (תאריך ערך: 09/01)</t>
  </si>
  <si>
    <t>המבצע: לנקרי בני עבור: 12-544-050322</t>
  </si>
  <si>
    <t>12/01/2026</t>
  </si>
  <si>
    <t>רולדין</t>
  </si>
  <si>
    <t>סופר-פארם מרכז הנשיא רחוב</t>
  </si>
  <si>
    <t>DATENIGHT* CORONACRSH  DATENIGHT.AI  US</t>
  </si>
  <si>
    <t>בטוח לאומי חד</t>
  </si>
  <si>
    <t>13/01/2026</t>
  </si>
  <si>
    <t>הבאר השלישית.</t>
  </si>
  <si>
    <t>14/01/2026</t>
  </si>
  <si>
    <t>ביהס בגין</t>
  </si>
  <si>
    <t>אשראי-3</t>
  </si>
  <si>
    <t>כספומט הטוב והמ רחובות</t>
  </si>
  <si>
    <t>15/01/2026</t>
  </si>
  <si>
    <t>מ.מ.גדרה - קנסות</t>
  </si>
  <si>
    <t>הו"ק פקדון</t>
  </si>
  <si>
    <t>16/01/2026</t>
  </si>
  <si>
    <t>מאוחדת שיניים</t>
  </si>
  <si>
    <t>17/01/2026</t>
  </si>
  <si>
    <t>משרד התחבורה - רשיונות רכ</t>
  </si>
  <si>
    <t>בנדיקט בילו</t>
  </si>
  <si>
    <t>18/01/2026</t>
  </si>
  <si>
    <t>BIT</t>
  </si>
  <si>
    <t>למי: אלמוג טאתי</t>
  </si>
  <si>
    <t>למי: דינה כהן</t>
  </si>
  <si>
    <t>HELP.HBOMAX.COM        AMSTERDAM     NL</t>
  </si>
  <si>
    <t>19/01/2026</t>
  </si>
  <si>
    <t>העברה ב BIT בנה"פ</t>
  </si>
  <si>
    <t>למי: אורי גל סעדיה</t>
  </si>
  <si>
    <t>20/01/2026</t>
  </si>
  <si>
    <t>רולדין קניון רחובות</t>
  </si>
  <si>
    <t>ויקטורי חניון רמת גן</t>
  </si>
  <si>
    <t>APPLE.COM/BILL         ITUNES.COM    IE</t>
  </si>
  <si>
    <t>21/01/2026</t>
  </si>
  <si>
    <t>סופר פארם רחובות</t>
  </si>
  <si>
    <t>כספומט לאומי    ביצוע</t>
  </si>
  <si>
    <t>22/01/2026</t>
  </si>
  <si>
    <t>23/01/2026</t>
  </si>
  <si>
    <t>24/01/2026</t>
  </si>
  <si>
    <t>רשת חוויות רחובות</t>
  </si>
  <si>
    <t>FRIENDS תרבות ישראלית</t>
  </si>
  <si>
    <t>25/01/2026</t>
  </si>
  <si>
    <t>אקשן טויס רחובות</t>
  </si>
  <si>
    <t>סוצילאני קניון רחובות</t>
  </si>
  <si>
    <t>סקארה -רחובות</t>
  </si>
  <si>
    <t>26/01/2026</t>
  </si>
  <si>
    <t>פיס מנויים</t>
  </si>
  <si>
    <t>מחסני השוק  רחובות הנשיא</t>
  </si>
  <si>
    <t>בלנדר פיי</t>
  </si>
  <si>
    <t>27/01/2026</t>
  </si>
  <si>
    <t>קופת חולים הוראות קבע</t>
  </si>
  <si>
    <t>28/01/2026</t>
  </si>
  <si>
    <t>עסקים עושים עסקים</t>
  </si>
  <si>
    <t>עמידר</t>
  </si>
  <si>
    <t xml:space="preserve">  עבור: תנועה מנותבת בגין ניוד</t>
  </si>
  <si>
    <t>ביטוח לאומי ג"</t>
  </si>
  <si>
    <t>זיכוי מלאומי</t>
  </si>
  <si>
    <t>המבצע: חממי אבינעם עבור: תשלום               מח-ן:063133047</t>
  </si>
  <si>
    <t>זיכוי מיהב</t>
  </si>
  <si>
    <t>המבצע: צומן-חממי שרה עבור: מבנק 004,סניף 136 ,חשבון 000173160</t>
  </si>
  <si>
    <t>29/01/2026</t>
  </si>
  <si>
    <t>בי פרש אונו מרקט</t>
  </si>
  <si>
    <t>לורד קיטש</t>
  </si>
  <si>
    <t>ים של פרחים</t>
  </si>
  <si>
    <t>אריסטו שמט אור יהודה</t>
  </si>
  <si>
    <t>GOOGLE YOUTUBEPREMIUM  650-2530000   US</t>
  </si>
  <si>
    <t>30/01/2026</t>
  </si>
  <si>
    <t>מבלים טיקטס בעמ</t>
  </si>
  <si>
    <t>31/01/2026</t>
  </si>
  <si>
    <t>מקס פינוקים פלוס</t>
  </si>
  <si>
    <t>קופת תל אביב</t>
  </si>
  <si>
    <t>רשת קהילה ופנאי חולון</t>
  </si>
  <si>
    <t>מיקה רחובות ההולנדית</t>
  </si>
  <si>
    <t>מגרש מכוניות אבו קביטה</t>
  </si>
  <si>
    <t>אשראי-7</t>
  </si>
  <si>
    <t>01/02/2026</t>
  </si>
  <si>
    <t>בנק-14</t>
  </si>
  <si>
    <t>מפייבוקס שלי</t>
  </si>
  <si>
    <t xml:space="preserve">  עבור: מיטל לנקרי          מזהה 035929330</t>
  </si>
  <si>
    <t>המבצע: אבינעם חממי עבור: תשלום               מח-ן:064712414</t>
  </si>
  <si>
    <t>02/02/2026</t>
  </si>
  <si>
    <t>בי פרש אחוזת הנשיא</t>
  </si>
  <si>
    <t>דפנ'ס קונדיטוריה וקפה בע"</t>
  </si>
  <si>
    <t>סוויט טיים רחובות</t>
  </si>
  <si>
    <t>למי: דיאנה שוורצמן</t>
  </si>
  <si>
    <t>אשראי-9</t>
  </si>
  <si>
    <t>03/02/2026</t>
  </si>
  <si>
    <t>04/02/2026</t>
  </si>
  <si>
    <t>קפה עלמה  רחובות</t>
  </si>
  <si>
    <t>אשראי-8</t>
  </si>
  <si>
    <t>NETFLIX.COM            LOS GATOS     NL</t>
  </si>
  <si>
    <t>05/02/2026</t>
  </si>
  <si>
    <t>פאפא גונס</t>
  </si>
  <si>
    <t>06/02/2026</t>
  </si>
  <si>
    <t>סופר פארם -רחובות החדשה</t>
  </si>
  <si>
    <t>שופרסל שלי רחובות החדשה</t>
  </si>
  <si>
    <t>07/02/2026</t>
  </si>
  <si>
    <t>08/02/2026</t>
  </si>
  <si>
    <t>ארומה אפליקציה</t>
  </si>
  <si>
    <t>זיכוי מדיסקונט</t>
  </si>
  <si>
    <t>המבצע: שמש מיכל עבור: עזרה ליובל להגיש תב מח-ן:086988958</t>
  </si>
  <si>
    <t>09/02/2026</t>
  </si>
  <si>
    <t>10/02/2026</t>
  </si>
  <si>
    <t>JETSERVER</t>
  </si>
  <si>
    <t>בי דראגסטורס רחובות מזרח</t>
  </si>
  <si>
    <t>בי דראגסטורס ? תרופות</t>
  </si>
  <si>
    <t>11/02/2026</t>
  </si>
  <si>
    <t>QUICK RELIEF</t>
  </si>
  <si>
    <t>מענק עבודה</t>
  </si>
  <si>
    <t>הוראת-קבע (תאריך ערך: 10/02)</t>
  </si>
  <si>
    <t>12/02/2026</t>
  </si>
  <si>
    <t>המבצע: שמש מיכל עבור: עבור הוצאת תו נכה ל מח-ן:086988958</t>
  </si>
  <si>
    <t>דירקט- מצטבר</t>
  </si>
  <si>
    <t>13/02/2026</t>
  </si>
  <si>
    <t>נאפיס בילו</t>
  </si>
  <si>
    <t>14/02/2026</t>
  </si>
  <si>
    <t>ריפליי באולינג בע"מ</t>
  </si>
  <si>
    <t>15/02/2026</t>
  </si>
  <si>
    <t>16/02/2026</t>
  </si>
  <si>
    <t>17/02/2026</t>
  </si>
  <si>
    <t>ביגה רחובות</t>
  </si>
  <si>
    <t>18/02/2026</t>
  </si>
  <si>
    <t>מתאימים</t>
  </si>
  <si>
    <t>המבצע: אייזיק רחל עבור: העברה               מח-ן:089304227</t>
  </si>
  <si>
    <t>19/02/2026</t>
  </si>
  <si>
    <t>ליאור אשכנזי</t>
  </si>
  <si>
    <t>הלד (צילום ) רחובות</t>
  </si>
  <si>
    <t>סוויט סינימה סיטי</t>
  </si>
  <si>
    <t>מאמא גרג רחובות</t>
  </si>
  <si>
    <t>20/02/2026</t>
  </si>
  <si>
    <t>GETT</t>
  </si>
  <si>
    <t>TREE</t>
  </si>
  <si>
    <t>חניוני ק.א.ר</t>
  </si>
  <si>
    <t>21/02/2026</t>
  </si>
  <si>
    <t>ALIEXPRESS             LUXEMBOURG    LU</t>
  </si>
  <si>
    <t>22/02/2026</t>
  </si>
  <si>
    <t>ארנק נטען מועדון ביחד בשב</t>
  </si>
  <si>
    <t>23/02/2026</t>
  </si>
  <si>
    <t>תיק התיקים גו.</t>
  </si>
  <si>
    <t>טופ טן</t>
  </si>
  <si>
    <t>איוונטים/ זאפה</t>
  </si>
  <si>
    <t>24/02/2026</t>
  </si>
  <si>
    <t>רולדין סנטרו רחובות</t>
  </si>
  <si>
    <t>25/02/2026</t>
  </si>
  <si>
    <t>הפניקס ביטוח</t>
  </si>
  <si>
    <t>26/02/2026</t>
  </si>
  <si>
    <t>שילב רחובות</t>
  </si>
  <si>
    <t>עמותת להושיט יד</t>
  </si>
  <si>
    <t>PAYBOX</t>
  </si>
  <si>
    <t>למי: חן פרבר תורג`מן</t>
  </si>
  <si>
    <t>פאפאיה רחובות</t>
  </si>
  <si>
    <t>27/02/2026</t>
  </si>
  <si>
    <t>סנו עד הבית</t>
  </si>
  <si>
    <t>28/02/2026</t>
  </si>
  <si>
    <t>בנק-10</t>
  </si>
  <si>
    <t>01/03/2026</t>
  </si>
  <si>
    <t>אשראי-12</t>
  </si>
  <si>
    <t>02/03/2026</t>
  </si>
  <si>
    <t>היי מאמי הו"ק</t>
  </si>
  <si>
    <t>03/03/2026</t>
  </si>
  <si>
    <t>בוטיק סנטרל רחובות</t>
  </si>
  <si>
    <t>04/03/2026</t>
  </si>
  <si>
    <t>05/03/2026</t>
  </si>
  <si>
    <t>המבצע: שמש מיכל עבור: עבור טיפול בנהיגה ה מח-ן:086988958</t>
  </si>
  <si>
    <t>בימק רא"ם</t>
  </si>
  <si>
    <t>06/03/2026</t>
  </si>
  <si>
    <t>מייפון קניון רחובות-צמרת</t>
  </si>
  <si>
    <t>PAYPAL *TENBISCOILL    4029357733    IL</t>
  </si>
  <si>
    <t>07/03/2026</t>
  </si>
  <si>
    <t>פבריקה פיצה בעמ</t>
  </si>
  <si>
    <t>09/03/2026</t>
  </si>
  <si>
    <t>10/03/2026</t>
  </si>
  <si>
    <t>11/03/2026</t>
  </si>
  <si>
    <t>הוראת-קבע (תאריך ערך: 10/03)</t>
  </si>
  <si>
    <t>12/03/2026</t>
  </si>
  <si>
    <t>פרדייס</t>
  </si>
  <si>
    <t>13/03/2026</t>
  </si>
  <si>
    <t>15/03/2026</t>
  </si>
  <si>
    <t>16/03/2026</t>
  </si>
  <si>
    <t>למי: שרונה עזרא</t>
  </si>
  <si>
    <t>17/03/2026</t>
  </si>
  <si>
    <t>הפקדה לפקדון</t>
  </si>
  <si>
    <t>מענק ללקוח</t>
  </si>
  <si>
    <t>המבצע: בנק הפועלים עבור: לפיקדון צעד ראשון-סך של 500 ש"ח</t>
  </si>
  <si>
    <t>עולם הממתקים רחובות</t>
  </si>
  <si>
    <t>MAMI מה משתלם -</t>
  </si>
  <si>
    <t>למי: יוליה בייזמן</t>
  </si>
  <si>
    <t>18/03/2026</t>
  </si>
  <si>
    <t>מיניגוד</t>
  </si>
  <si>
    <t>19/03/2026</t>
  </si>
  <si>
    <t>כהן ויטוס- 360</t>
  </si>
  <si>
    <t>APPLE.COM/BILL         CORK          IE</t>
  </si>
  <si>
    <t>21/03/2026</t>
  </si>
  <si>
    <t>ארומה רחובות</t>
  </si>
  <si>
    <t>הוט סינמה רחובות</t>
  </si>
  <si>
    <t>JOOM                   RIGA          LV</t>
  </si>
  <si>
    <t>22/03/2026</t>
  </si>
  <si>
    <t>ח.חינם רחובות A4S</t>
  </si>
  <si>
    <t>23/03/2026</t>
  </si>
  <si>
    <t>24/03/2026</t>
  </si>
  <si>
    <t>אורבניקה קניון רחובות</t>
  </si>
  <si>
    <t>25/03/2026</t>
  </si>
  <si>
    <t>ספא רפאל סנטר</t>
  </si>
  <si>
    <t>למי: שלי דניאל</t>
  </si>
  <si>
    <t>26/03/2026</t>
  </si>
  <si>
    <t>27/03/2026</t>
  </si>
  <si>
    <t>PRIME VIDEO            AMAZON.COM    US</t>
  </si>
  <si>
    <t>28/03/2026</t>
  </si>
  <si>
    <t>29/03/2026</t>
  </si>
  <si>
    <t xml:space="preserve">  עבור: לנקרי מיטל          מזהה 000000000</t>
  </si>
  <si>
    <t>30/03/2026</t>
  </si>
  <si>
    <t>למי: גלית כהן ויטוס</t>
  </si>
  <si>
    <t>31/03/2026</t>
  </si>
  <si>
    <t>מי עדן בעמ</t>
  </si>
  <si>
    <t>אשראי-4</t>
  </si>
  <si>
    <t>01/04/2026</t>
  </si>
  <si>
    <t>בנק-15</t>
  </si>
  <si>
    <t>02/04/2026</t>
  </si>
  <si>
    <t>פאפא ג'ונס נתניה</t>
  </si>
  <si>
    <t>כיכר מרקט</t>
  </si>
  <si>
    <t>מובילנד בתי קולנוע בעמ</t>
  </si>
  <si>
    <t>03/04/2026</t>
  </si>
  <si>
    <t>ביוטיקייר קניון השרון</t>
  </si>
  <si>
    <t>נאייקס ישראל מכונות אוטומ</t>
  </si>
  <si>
    <t>למי: אושרה וייסלר</t>
  </si>
  <si>
    <t>המשביר נתניה השרון</t>
  </si>
  <si>
    <t>גולדה  יכין סנטר</t>
  </si>
  <si>
    <t>אשראי-5</t>
  </si>
  <si>
    <t>אשראי-6</t>
  </si>
  <si>
    <t>כספומט יכין סנט נתניה</t>
  </si>
  <si>
    <t>04/04/2026</t>
  </si>
  <si>
    <t>05/04/2026</t>
  </si>
  <si>
    <t>ביוטיקייר רחובות</t>
  </si>
  <si>
    <t>למי: אסתר  יאיר בוקרה</t>
  </si>
  <si>
    <t>רבית (תאריך ערך: 01/04)</t>
  </si>
  <si>
    <t xml:space="preserve">   כולל הטבת עו"ש מקזז בסך 35.99  ש"ח</t>
  </si>
  <si>
    <t>06/04/2026</t>
  </si>
  <si>
    <t>07/04/2026</t>
  </si>
  <si>
    <t>08/04/2026</t>
  </si>
  <si>
    <t>09/04/2026</t>
  </si>
  <si>
    <t>הוט סינימה רחובות</t>
  </si>
  <si>
    <t>למי: גפן רודה</t>
  </si>
  <si>
    <t>10/04/2026</t>
  </si>
  <si>
    <t>11/04/2026</t>
  </si>
  <si>
    <t>HOME &amp; MORE-ONLINE</t>
  </si>
  <si>
    <t>PAYPAL *HOT CINEMA     0765385001    IL</t>
  </si>
  <si>
    <t>12/04/2026</t>
  </si>
  <si>
    <t>גולדה רחובות</t>
  </si>
  <si>
    <t>הוראת-קבע (תאריך ערך: 10/04)</t>
  </si>
  <si>
    <t>13/04/2026</t>
  </si>
  <si>
    <t>סינמה סיטי  אתר</t>
  </si>
  <si>
    <t>14/04/2026</t>
  </si>
  <si>
    <t>15/04/2026</t>
  </si>
  <si>
    <t>דור אלון נס ציונה</t>
  </si>
  <si>
    <t>16/04/2026</t>
  </si>
  <si>
    <t>17/04/2026</t>
  </si>
  <si>
    <t>ת.ש פרו סלולר בע''מ-צמרת</t>
  </si>
  <si>
    <t>ECNESSE AL ))סיגל גולן</t>
  </si>
  <si>
    <t>18/04/2026</t>
  </si>
  <si>
    <t>די טי משחקים בעמ</t>
  </si>
  <si>
    <t>פלג לבית ולבנין</t>
  </si>
  <si>
    <t>19/04/2026</t>
  </si>
  <si>
    <t>בית חוה - הלבשה תחתונה ומ</t>
  </si>
  <si>
    <t>20/04/2026</t>
  </si>
  <si>
    <t>שוקולד ראשונים בעמ</t>
  </si>
  <si>
    <t>21/04/2026</t>
  </si>
  <si>
    <t>22/04/2026</t>
  </si>
  <si>
    <t>23/04/2026</t>
  </si>
  <si>
    <t>PAYPAL *TEVA           0584767453    IL</t>
  </si>
  <si>
    <t>24/04/2026</t>
  </si>
  <si>
    <t>עצמלה רהיטים לילדים בעמ</t>
  </si>
  <si>
    <t>למי: Yael Tamir, עבור: טיפול פנים</t>
  </si>
  <si>
    <t>25/04/2026</t>
  </si>
  <si>
    <t>26/04/2026</t>
  </si>
  <si>
    <t>27/04/2026</t>
  </si>
  <si>
    <t>סטוק סנטר נס צונה</t>
  </si>
  <si>
    <t>28/04/2026</t>
  </si>
  <si>
    <t>29/04/2026</t>
  </si>
  <si>
    <t>30/04/2026</t>
  </si>
  <si>
    <t>טרי על הבוקר</t>
  </si>
  <si>
    <t>לאונידס חנות אינטרנט</t>
  </si>
  <si>
    <t>דומו פיצה סינמה סיטי</t>
  </si>
  <si>
    <t>פרש דה מרקט סינמה סיטי רא</t>
  </si>
  <si>
    <t>הפניקס רכב חובה</t>
  </si>
  <si>
    <t>תשלומים, שקול רישום כחוב</t>
  </si>
  <si>
    <t>תשלום 1 מתוך 10</t>
  </si>
  <si>
    <t>מתאים לי אור יהודה</t>
  </si>
  <si>
    <t>תשלום 2 מתוך 2</t>
  </si>
  <si>
    <t>תשלום 1 מתוך 2</t>
  </si>
  <si>
    <t>תשלום 3 מתוך 10</t>
  </si>
  <si>
    <t>תשלום 2 מתוך 10</t>
  </si>
  <si>
    <t>תשלום 4 מתוך 10</t>
  </si>
  <si>
    <t>תשלום 3 מתוך 12</t>
  </si>
  <si>
    <t>תשלום 2 מתוך 12</t>
  </si>
  <si>
    <t>תשלום 1 מתוך 12</t>
  </si>
  <si>
    <t>מאור</t>
  </si>
  <si>
    <t>עצמלה רהיטים לילדים</t>
  </si>
  <si>
    <t>תשלום 1 מתוך 4</t>
  </si>
  <si>
    <t>נוצר באמצעות AppAmon-7.10.1</t>
  </si>
  <si>
    <t>שם קובץ מקורי</t>
  </si>
  <si>
    <t>שם לשונית מקורי</t>
  </si>
  <si>
    <t>שם לשונית חדש</t>
  </si>
  <si>
    <t>מספר רשומות</t>
  </si>
  <si>
    <t>סכום כולל</t>
  </si>
  <si>
    <t>תאריך מאוחר</t>
  </si>
  <si>
    <t>תאריך מוקדם</t>
  </si>
  <si>
    <t>כרטיס אשראי ינואר 2026.xlsx</t>
  </si>
  <si>
    <t>עסקאות במועד החיוב</t>
  </si>
  <si>
    <t>עסקאות חו"ל ומט"ח</t>
  </si>
  <si>
    <t>עסקאות בחיוב מיידי</t>
  </si>
  <si>
    <t>כרטיס אשראי אפריל 2026.xlsx</t>
  </si>
  <si>
    <t>כרטיס אשראי פברואר 2026.xlsx</t>
  </si>
  <si>
    <t>בנק עוש מרץ 2026.xlsx</t>
  </si>
  <si>
    <t>גיליון1</t>
  </si>
  <si>
    <t>בנק עוש ינואר 2026.xlsx</t>
  </si>
  <si>
    <t>כרטיס אשראי מרץ 2026.xlsx</t>
  </si>
  <si>
    <t>בנק עוש פברואר 2026.xlsx</t>
  </si>
  <si>
    <t>בנק עוש אפריל 2026.xlsx</t>
  </si>
  <si>
    <t>כל המשתמשים (1)</t>
  </si>
  <si>
    <t>כל הכרטיסים (1)</t>
  </si>
  <si>
    <t>02/2026</t>
  </si>
  <si>
    <t>תאריך עסקה</t>
  </si>
  <si>
    <t>שם בית העסק</t>
  </si>
  <si>
    <t>קטגוריה</t>
  </si>
  <si>
    <t>4 ספרות אחרונות של כרטיס האשראי</t>
  </si>
  <si>
    <t>סוג עסקה</t>
  </si>
  <si>
    <t>סכום חיוב</t>
  </si>
  <si>
    <t>מטבע חיוב</t>
  </si>
  <si>
    <t>סכום עסקה מקורי</t>
  </si>
  <si>
    <t>מטבע עסקה מקורי</t>
  </si>
  <si>
    <t>תאריך חיוב</t>
  </si>
  <si>
    <t>תיוגים</t>
  </si>
  <si>
    <t>מועדון הנחות</t>
  </si>
  <si>
    <t>מפתח דיסקונט</t>
  </si>
  <si>
    <t>אופן ביצוע ההעסקה</t>
  </si>
  <si>
    <t>שער המרה ממטבע מקור/התחשבנות לש"ח</t>
  </si>
  <si>
    <t>01-01-2026</t>
  </si>
  <si>
    <t>מסעדות, קפה וברים</t>
  </si>
  <si>
    <t>רגילה</t>
  </si>
  <si>
    <t>02-02-2026</t>
  </si>
  <si>
    <t>תשלום בנייד</t>
  </si>
  <si>
    <t>עירייה וממשלה</t>
  </si>
  <si>
    <t>טלפוני</t>
  </si>
  <si>
    <t>חשמל ומחשבים</t>
  </si>
  <si>
    <t>אינטרנט</t>
  </si>
  <si>
    <t>פנאי, בידור וספורט</t>
  </si>
  <si>
    <t>02-01-2026</t>
  </si>
  <si>
    <t>מזון וצריכה</t>
  </si>
  <si>
    <t>הנחת מועדון: הנחות + -1.2 ₪</t>
  </si>
  <si>
    <t>03-01-2026</t>
  </si>
  <si>
    <t>רפואה ובתי מרקחת</t>
  </si>
  <si>
    <t>04-01-2026</t>
  </si>
  <si>
    <t>אופנה</t>
  </si>
  <si>
    <t>05-01-2026</t>
  </si>
  <si>
    <t>שירותי תקשורת</t>
  </si>
  <si>
    <t>06-01-2026</t>
  </si>
  <si>
    <t>07-01-2026</t>
  </si>
  <si>
    <t>08-01-2026</t>
  </si>
  <si>
    <t>דלק, חשמל וגז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</si>
  <si>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</si>
  <si>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</si>
  <si>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</si>
  <si>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</si>
  <si>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</si>
  <si>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</si>
  <si>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</si>
  <si>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</si>
  <si>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</si>
  <si>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</si>
  <si>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העברת כספים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</si>
  <si>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</si>
  <si>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</si>
  <si>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</si>
  <si>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</si>
  <si>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</si>
  <si>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</si>
  <si>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</si>
  <si>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קוסמטיקה וטיפוח</t>
  </si>
  <si>
    <t>26-01-2026</t>
  </si>
  <si>
    <t>שונות</t>
  </si>
  <si>
    <t>27-01-2026</t>
  </si>
  <si>
    <t>28-01-2026</t>
  </si>
  <si>
    <t>ביטוח</t>
  </si>
  <si>
    <t>תשלומים</t>
  </si>
  <si>
    <t>29-01-2026</t>
  </si>
  <si>
    <t>30-01-2026</t>
  </si>
  <si>
    <t>31-01-2026</t>
  </si>
  <si>
    <t>עסקת contactless</t>
  </si>
  <si>
    <t>תחבורה ורכבים</t>
  </si>
  <si>
    <t>הנחת מועדון: הנחות + -5 ₪</t>
  </si>
  <si>
    <t>סך הכל</t>
  </si>
  <si>
    <t>15325.96₪</t>
  </si>
  <si>
    <t>חיוב עסקות מיידי</t>
  </si>
  <si>
    <t>עיצוב הבית</t>
  </si>
  <si>
    <t>01-02-2026</t>
  </si>
  <si>
    <t>373.83₪</t>
  </si>
  <si>
    <t>משיכת מזומן</t>
  </si>
  <si>
    <t>בנוכחות כרטיס</t>
  </si>
  <si>
    <t>364.85₪</t>
  </si>
  <si>
    <t>05/2026</t>
  </si>
  <si>
    <t>03-05-2026</t>
  </si>
  <si>
    <t>03-02-2026</t>
  </si>
  <si>
    <t>20-02-2026</t>
  </si>
  <si>
    <t>טיסות ותיירות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</si>
  <si>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</si>
  <si>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</si>
  <si>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</si>
  <si>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</si>
  <si>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</si>
  <si>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</si>
  <si>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</si>
  <si>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</si>
  <si>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</si>
  <si>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</si>
  <si>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</si>
  <si>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</si>
  <si>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</si>
  <si>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</si>
  <si>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</si>
  <si>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</si>
  <si>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</si>
  <si>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</si>
  <si>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</si>
  <si>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</si>
  <si>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</si>
  <si>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</si>
  <si>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</si>
  <si>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</si>
  <si>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</si>
  <si>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</si>
  <si>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</si>
  <si>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</si>
  <si>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</si>
  <si>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</si>
  <si>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10589.17₪</t>
  </si>
  <si>
    <t>155.7₪</t>
  </si>
  <si>
    <t>786.65₪</t>
  </si>
  <si>
    <t>03/2026</t>
  </si>
  <si>
    <t>02-03-2026</t>
  </si>
  <si>
    <t>04-02-2026</t>
  </si>
  <si>
    <t>05-02-2026</t>
  </si>
  <si>
    <t>הנחת מועדון: הנחות + -2.6 ₪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</si>
  <si>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</si>
  <si>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</si>
  <si>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</si>
  <si>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</si>
  <si>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</si>
  <si>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</si>
  <si>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</si>
  <si>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</si>
  <si>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</si>
  <si>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</si>
  <si>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</si>
  <si>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</si>
  <si>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</si>
  <si>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</si>
  <si>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הנחת מועדון: הנחות + -1.75 ₪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</si>
  <si>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</si>
  <si>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</si>
  <si>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</si>
  <si>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</si>
  <si>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</si>
  <si>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</si>
  <si>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</si>
  <si>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</si>
  <si>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10633.51₪</t>
  </si>
  <si>
    <t>257.86₪</t>
  </si>
  <si>
    <t>729.7₪</t>
  </si>
  <si>
    <t>תנועות בחשבון</t>
  </si>
  <si>
    <t xml:space="preserve">מספר חשבון  12-615-563159  תאריך הפקה  14.05.2026  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</si>
  <si>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</si>
  <si>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</si>
  <si>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</si>
  <si>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</si>
  <si>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</si>
  <si>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</si>
  <si>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</si>
  <si>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</si>
  <si>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</si>
  <si>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תנועה מנותבת בגין ניוד</t>
  </si>
  <si>
    <t>לנקרי מיטל          מזהה 000000000</t>
  </si>
  <si>
    <t>צומן-חממי שרה</t>
  </si>
  <si>
    <t>מבנק 004,סניף 136 ,חשבון 000173160</t>
  </si>
  <si>
    <t>לנקרי מיטל          מזהה 035929330</t>
  </si>
  <si>
    <t>מיטל לנקרי</t>
  </si>
  <si>
    <t>משיכה לחשבון בנק</t>
  </si>
  <si>
    <t>לפיקדון צעד ראשון-סך של 500 ש"ח</t>
  </si>
  <si>
    <t>לנקרי בני</t>
  </si>
  <si>
    <t>12-544-050322</t>
  </si>
  <si>
    <t>שמש מיכל</t>
  </si>
  <si>
    <t>עבור טיפול בנהיגה ה מח-ן:086988958</t>
  </si>
  <si>
    <t>חממי אבינעם</t>
  </si>
  <si>
    <t>תשלום               מח-ן:063133047</t>
  </si>
  <si>
    <t>כולל הטבת עו"ש מקזז בסך 52.44  ש"ח</t>
  </si>
  <si>
    <t>04/2026</t>
  </si>
  <si>
    <t>01-03-2026</t>
  </si>
  <si>
    <t>03-03-2026</t>
  </si>
  <si>
    <t>04-03-2026</t>
  </si>
  <si>
    <t>05-03-2026</t>
  </si>
  <si>
    <t>06-03-2026</t>
  </si>
  <si>
    <t>07-03-2026</t>
  </si>
  <si>
    <t>09-03-2026</t>
  </si>
  <si>
    <t>10-03-2026</t>
  </si>
  <si>
    <t>11-03-2026</t>
  </si>
  <si>
    <t>12-03-2026</t>
  </si>
  <si>
    <t>הנחת מועדון: הנחות + -0.42 ₪</t>
  </si>
  <si>
    <t>13-03-2026</t>
  </si>
  <si>
    <t>15-03-2026</t>
  </si>
  <si>
    <t>16-03-2026</t>
  </si>
  <si>
    <t>17-03-2026</t>
  </si>
  <si>
    <t>18-03-2026</t>
  </si>
  <si>
    <t>ספרים ודפוס</t>
  </si>
  <si>
    <t>19-03-2026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</si>
  <si>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</si>
  <si>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</si>
  <si>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</si>
  <si>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</si>
  <si>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</si>
  <si>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</si>
  <si>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</si>
  <si>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</si>
  <si>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</si>
  <si>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</si>
  <si>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</si>
  <si>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10630.42₪</t>
  </si>
  <si>
    <t>$</t>
  </si>
  <si>
    <t xml:space="preserve"> 3.1700</t>
  </si>
  <si>
    <t>377.36₪</t>
  </si>
  <si>
    <t>אייזיק רחל</t>
  </si>
  <si>
    <t>העברה               מח-ן:089304227</t>
  </si>
  <si>
    <t>עבור הוצאת תו נכה ל מח-ן:086988958</t>
  </si>
  <si>
    <t>עזרה ליובל להגיש תב מח-ן:086988958</t>
  </si>
  <si>
    <t>מיטל לנקרי          מזהה 035929330</t>
  </si>
  <si>
    <t>אבינעם חממי</t>
  </si>
  <si>
    <t>תשלום               מח-ן:064712414</t>
  </si>
  <si>
    <t>כולל הטבת עו"ש מקזז בסך 35.99  ש"ח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</si>
</sst>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&quot;₪&quot;\ #,##0.00;[Red]&quot;₪&quot;\ \-#,##0.00"/>
    <numFmt numFmtId="165" formatCode="_-[$₪-40D]* #,##0.00_-;_-[$₪-40D]* \-#,##0.00_-;_-[$₪-40D]* &quot;-&quot;??_-;_-@"/>
    <numFmt numFmtId="166" formatCode="[$₪-40D]#,##0.00"/>
    <numFmt numFmtId="167" formatCode="d/m/yy"/>
    <numFmt numFmtId="168" formatCode="dd&quot;/&quot;mm&quot;/&quot;yyyy"/>
    <numFmt numFmtId="169" formatCode="d/m/yyyy"/>
    <numFmt numFmtId="170" formatCode="&quot;₪&quot;\ #,##0"/>
    <numFmt numFmtId="171" formatCode="_-[$₪-40D]* #,##0_-;_-[$₪-40D]* \-#,##0_-;_-[$₪-40D]* &quot;-&quot;??_-;_-@"/>
    <numFmt numFmtId="172" formatCode="#0"/>
    <numFmt numFmtId="173" formatCode="dd/MM/yyyy"/>
    <numFmt numFmtId="174" formatCode="0.0%"/>
    <numFmt numFmtId="175" formatCode="dd\.mm\.yyyy"/>
    <numFmt numFmtId="176" formatCode="###############"/>
    <numFmt numFmtId="177" formatCode="#,###.00"/>
  </numFmts>
  <fonts count="10725">
    <font>
      <sz val="11"/>
      <color rgb="FF000000"/>
      <name val="Arial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name val="Arial"/>
      <family val="2"/>
    </font>
    <font>
      <sz val="18"/>
      <color rgb="FFFFFF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color rgb="FF434343"/>
      <name val="Arial"/>
      <family val="2"/>
    </font>
    <font>
      <sz val="14"/>
      <color rgb="FF434343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4"/>
      <color rgb="FF434343"/>
      <name val="Arial"/>
      <family val="2"/>
    </font>
    <font>
      <sz val="11"/>
      <color rgb="FFFFFFFF"/>
      <name val="Arial"/>
      <family val="2"/>
    </font>
    <font>
      <sz val="12"/>
      <color rgb="FF000000"/>
      <name val="Arial"/>
      <family val="2"/>
    </font>
    <font>
      <b/>
      <i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indexed="10"/>
      <name val="Arial"/>
      <family val="2"/>
    </font>
    <font>
      <b/>
      <sz val="9"/>
      <color indexed="81"/>
      <name val="Tahoma"/>
      <family val="2"/>
    </font>
    <font>
      <b/>
      <sz val="12"/>
      <color rgb="FFFFFFFF"/>
      <name val="Calibri"/>
      <family val="2"/>
      <scheme val="minor"/>
    </font>
    <font>
      <b/>
      <sz val="14"/>
      <color theme="8"/>
      <name val="Arial"/>
      <family val="2"/>
    </font>
    <font>
      <sz val="10"/>
      <color indexed="9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4"/>
      <color rgb="FFFFFFFF"/>
      <name val="Arial"/>
      <family val="2"/>
    </font>
    <font>
      <b/>
      <i/>
      <sz val="10"/>
      <color indexed="9"/>
      <name val="Calibri"/>
      <family val="2"/>
      <scheme val="minor"/>
    </font>
    <font>
      <b/>
      <u/>
      <sz val="10"/>
      <color indexed="9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7030A0"/>
      <name val="Arial"/>
      <family val="2"/>
    </font>
    <font>
      <b/>
      <sz val="36"/>
      <color rgb="FF7030A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</font>
    <font>
      <sz val="11"/>
      <color rgb="FF002060"/>
      <name val="Arial"/>
      <family val="2"/>
    </font>
    <font>
      <b/>
      <sz val="12"/>
      <name val="Calibri"/>
      <family val="2"/>
    </font>
    <font>
      <sz val="9"/>
      <color indexed="81"/>
      <name val="Tahoma"/>
      <family val="2"/>
    </font>
    <font>
      <b/>
      <sz val="11"/>
      <color theme="0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i/>
      <sz val="14"/>
      <color theme="1"/>
      <name val="Arial"/>
      <family val="2"/>
    </font>
    <font>
      <b/>
      <i/>
      <sz val="11"/>
      <color rgb="FF000000"/>
      <name val="Arial"/>
      <family val="2"/>
    </font>
    <font>
      <sz val="12"/>
      <name val="Arial"/>
      <family val="2"/>
    </font>
    <font>
      <sz val="12"/>
      <name val="Calibri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1"/>
      <color rgb="FF465C74"/>
      <name val="Inherit"/>
    </font>
    <font>
      <b/>
      <sz val="12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sz val="10"/>
      <color rgb="FF465C74"/>
      <name val="Inherit"/>
    </font>
    <font>
      <sz val="8.25"/>
      <color indexed="8"/>
      <name val="Tahoma"/>
      <family val="2"/>
    </font>
    <font>
      <sz val="8.5"/>
      <color indexed="8"/>
      <name val="Tahoma"/>
      <family val="2"/>
    </font>
    <font>
      <sz val="8.5"/>
      <color theme="1"/>
      <name val="Tahoma"/>
      <family val="2"/>
    </font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  <font>
      <sz val="8.5"/>
      <color theme="8" tint="-0.249977111117893"/>
      <name val="Tahoma"/>
      <family val="2"/>
    </font>
    <font>
      <b/>
      <u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.5"/>
      <color theme="0"/>
      <name val="Tahoma"/>
      <family val="2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9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sz val="12"/>
      <main:color theme="1"/>
      <main:name val="Arial"/>
      <main:family val="2"/>
      <main:scheme val="minor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2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b/>
      <main:sz val="11"/>
      <main:name val="Calibri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  <font xmlns:main="http://schemas.openxmlformats.org/spreadsheetml/2006/main">
      <main:sz val="11"/>
      <main:color theme="1"/>
      <main:name val="Arial"/>
      <main:family val="2"/>
      <main:charset val="177"/>
      <main: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4DA"/>
        <bgColor indexed="64"/>
      </patternFill>
    </fill>
    <fill>
      <patternFill patternType="solid">
        <fgColor rgb="FF7030A0"/>
        <bgColor rgb="FF6AA84F"/>
      </patternFill>
    </fill>
    <fill>
      <patternFill patternType="solid">
        <fgColor theme="0" tint="-4.9989318521683403E-2"/>
        <bgColor rgb="FF999999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6891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rgb="0094DA"/>
      </patternFill>
    </fill>
    <fill>
      <patternFill patternType="solid">
        <fgColor rgb="0094DA"/>
      </patternFill>
    </fill>
    <fill>
      <patternFill patternType="none">
        <fgColor rgb="90EE90"/>
      </patternFill>
    </fill>
    <fill>
      <patternFill patternType="solid">
        <fgColor rgb="90EE90"/>
      </patternFill>
    </fill>
    <fill>
      <patternFill patternType="none">
        <fgColor rgb="CCFFCC"/>
      </patternFill>
    </fill>
    <fill>
      <patternFill patternType="solid">
        <fgColor rgb="CCFFCC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FF009C"/>
      </patternFill>
    </fill>
    <fill>
      <patternFill patternType="solid">
        <fgColor rgb="FF009C"/>
      </patternFill>
    </fill>
    <fill>
      <patternFill patternType="none">
        <fgColor rgb="C9C9C9"/>
      </patternFill>
    </fill>
    <fill>
      <patternFill patternType="solid">
        <fgColor rgb="C9C9C9"/>
      </patternFill>
    </fill>
    <fill>
      <patternFill patternType="solid"/>
    </fill>
    <fill>
      <patternFill patternType="none">
        <fgColor rgb="DDEBF7"/>
      </patternFill>
    </fill>
    <fill>
      <patternFill patternType="solid">
        <fgColor rgb="DDEBF7"/>
      </patternFill>
    </fill>
    <fill xmlns:main="http://schemas.openxmlformats.org/spreadsheetml/2006/main">
      <main:patternFill patternType="solid">
        <main:fgColor indexed="22"/>
      </main:patternFill>
    </fill>
  </fills>
  <borders count="40"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 rgb="FFFFFF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 rgb="FFFFFF"/>
      </right>
      <top/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9847407452621" rgb="FFFFFF"/>
      </top>
      <bottom style="thin">
        <color theme="0" tint="-0.149998474074526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bottom>
        <color indexed="8"/>
      </bottom>
    </border>
    <border>
      <bottom style="thin">
        <color indexed="8"/>
      </bottom>
    </border>
    <border>
      <top>
        <color indexed="8"/>
      </top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4">
    <xf numFmtId="0" fontId="0" fillId="0" borderId="0"/>
    <xf numFmtId="0" fontId="4" fillId="0" borderId="0"/>
    <xf numFmtId="0" fontId="3" fillId="0" borderId="0"/>
    <xf numFmtId="0" fontId="2" fillId="0" borderId="0"/>
  </cellStyleXfs>
  <cellXfs count="10911">
    <xf numFmtId="0" fontId="0" fillId="0" borderId="0" xfId="0"/>
    <xf numFmtId="0" fontId="8" fillId="0" borderId="0" xfId="0" applyFont="1" applyAlignment="1">
      <alignment horizontal="right" readingOrder="2"/>
    </xf>
    <xf numFmtId="165" fontId="8" fillId="0" borderId="0" xfId="0" applyNumberFormat="1" applyFont="1"/>
    <xf numFmtId="0" fontId="8" fillId="0" borderId="0" xfId="0" applyFont="1"/>
    <xf numFmtId="0" fontId="7" fillId="0" borderId="0" xfId="0" applyFont="1"/>
    <xf numFmtId="0" fontId="6" fillId="3" borderId="0" xfId="0" applyFont="1" applyFill="1"/>
    <xf numFmtId="0" fontId="16" fillId="0" borderId="0" xfId="0" applyFont="1"/>
    <xf numFmtId="0" fontId="16" fillId="3" borderId="0" xfId="0" applyFont="1" applyFill="1"/>
    <xf numFmtId="0" fontId="8" fillId="0" borderId="0" xfId="0" applyFont="1" applyAlignment="1">
      <alignment horizontal="right"/>
    </xf>
    <xf numFmtId="10" fontId="8" fillId="0" borderId="0" xfId="0" applyNumberFormat="1" applyFont="1"/>
    <xf numFmtId="0" fontId="6" fillId="5" borderId="0" xfId="0" applyFont="1" applyFill="1" applyAlignment="1">
      <alignment horizontal="right"/>
    </xf>
    <xf numFmtId="0" fontId="16" fillId="5" borderId="0" xfId="0" applyFont="1" applyFill="1" applyAlignment="1">
      <alignment horizontal="left" vertical="center"/>
    </xf>
    <xf numFmtId="165" fontId="16" fillId="5" borderId="0" xfId="0" applyNumberFormat="1" applyFont="1" applyFill="1" applyAlignment="1">
      <alignment horizontal="right" vertical="center"/>
    </xf>
    <xf numFmtId="0" fontId="16" fillId="5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6" fillId="6" borderId="0" xfId="0" applyFont="1" applyFill="1" applyAlignment="1">
      <alignment horizontal="right"/>
    </xf>
    <xf numFmtId="0" fontId="16" fillId="6" borderId="0" xfId="0" applyFont="1" applyFill="1" applyAlignment="1">
      <alignment horizontal="right"/>
    </xf>
    <xf numFmtId="0" fontId="16" fillId="6" borderId="0" xfId="0" applyFont="1" applyFill="1" applyAlignment="1">
      <alignment horizontal="left" vertical="center"/>
    </xf>
    <xf numFmtId="165" fontId="16" fillId="6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1" fillId="0" borderId="0" xfId="0" applyFont="1"/>
    <xf numFmtId="0" fontId="19" fillId="0" borderId="0" xfId="0" applyFont="1"/>
    <xf numFmtId="0" fontId="21" fillId="0" borderId="0" xfId="0" applyFont="1"/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6" xfId="0" applyBorder="1"/>
    <xf numFmtId="0" fontId="15" fillId="12" borderId="0" xfId="0" applyFont="1" applyFill="1" applyAlignment="1">
      <alignment horizontal="right" vertical="center"/>
    </xf>
    <xf numFmtId="0" fontId="0" fillId="7" borderId="0" xfId="0" applyFill="1"/>
    <xf numFmtId="0" fontId="31" fillId="7" borderId="0" xfId="0" applyFont="1" applyFill="1" applyAlignment="1">
      <alignment horizontal="right" vertical="center"/>
    </xf>
    <xf numFmtId="0" fontId="8" fillId="7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 wrapText="1"/>
    </xf>
    <xf numFmtId="0" fontId="0" fillId="7" borderId="0" xfId="0" applyFill="1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top"/>
    </xf>
    <xf numFmtId="0" fontId="5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Protection="1">
      <protection locked="0"/>
    </xf>
    <xf numFmtId="0" fontId="8" fillId="0" borderId="0" xfId="0" applyFont="1" applyAlignment="1" applyProtection="1">
      <alignment horizontal="right" readingOrder="2"/>
      <protection locked="0"/>
    </xf>
    <xf numFmtId="0" fontId="0" fillId="0" borderId="0" xfId="0" applyProtection="1">
      <protection locked="0"/>
    </xf>
    <xf numFmtId="0" fontId="8" fillId="7" borderId="0" xfId="0" applyFont="1" applyFill="1" applyAlignment="1" applyProtection="1">
      <alignment horizontal="right" readingOrder="2"/>
      <protection locked="0"/>
    </xf>
    <xf numFmtId="0" fontId="8" fillId="0" borderId="0" xfId="0" applyFont="1" applyAlignment="1" applyProtection="1">
      <alignment horizontal="right" readingOrder="2"/>
      <protection hidden="1"/>
    </xf>
    <xf numFmtId="0" fontId="11" fillId="0" borderId="0" xfId="0" applyFont="1" applyAlignment="1" applyProtection="1">
      <alignment horizontal="left"/>
      <protection hidden="1"/>
    </xf>
    <xf numFmtId="0" fontId="0" fillId="0" borderId="0" xfId="0" applyProtection="1"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Protection="1">
      <protection hidden="1"/>
    </xf>
    <xf numFmtId="0" fontId="0" fillId="0" borderId="10" xfId="0" applyBorder="1" applyProtection="1">
      <protection locked="0"/>
    </xf>
    <xf numFmtId="0" fontId="35" fillId="7" borderId="0" xfId="0" applyFont="1" applyFill="1" applyAlignment="1">
      <alignment horizontal="right" vertical="center"/>
    </xf>
    <xf numFmtId="0" fontId="24" fillId="11" borderId="11" xfId="0" applyFont="1" applyFill="1" applyBorder="1" applyAlignment="1" applyProtection="1">
      <alignment horizontal="center" vertical="center" readingOrder="2"/>
      <protection locked="0"/>
    </xf>
    <xf numFmtId="0" fontId="0" fillId="7" borderId="0" xfId="0" applyFill="1" applyAlignment="1" applyProtection="1">
      <alignment horizontal="right" vertical="center"/>
      <protection hidden="1"/>
    </xf>
    <xf numFmtId="0" fontId="11" fillId="7" borderId="0" xfId="0" applyFont="1" applyFill="1" applyAlignment="1" applyProtection="1">
      <alignment horizontal="right" vertical="center"/>
      <protection hidden="1"/>
    </xf>
    <xf numFmtId="0" fontId="11" fillId="0" borderId="0" xfId="0" applyFont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right" vertical="center" wrapText="1" readingOrder="2"/>
      <protection locked="0"/>
    </xf>
    <xf numFmtId="0" fontId="0" fillId="0" borderId="0" xfId="0" applyAlignment="1" applyProtection="1">
      <alignment horizontal="right" vertical="center"/>
      <protection locked="0"/>
    </xf>
    <xf numFmtId="0" fontId="11" fillId="7" borderId="0" xfId="0" applyFont="1" applyFill="1" applyAlignment="1" applyProtection="1">
      <alignment horizontal="right" vertical="center" readingOrder="2"/>
      <protection hidden="1"/>
    </xf>
    <xf numFmtId="1" fontId="8" fillId="0" borderId="0" xfId="0" applyNumberFormat="1" applyFont="1" applyAlignment="1" applyProtection="1">
      <alignment horizontal="right" vertical="center" readingOrder="2"/>
      <protection hidden="1"/>
    </xf>
    <xf numFmtId="0" fontId="8" fillId="0" borderId="0" xfId="0" applyFont="1" applyAlignment="1" applyProtection="1">
      <alignment horizontal="right" vertical="center" readingOrder="2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 applyProtection="1">
      <alignment horizontal="right" vertical="center" readingOrder="2"/>
      <protection hidden="1"/>
    </xf>
    <xf numFmtId="166" fontId="14" fillId="4" borderId="3" xfId="0" applyNumberFormat="1" applyFont="1" applyFill="1" applyBorder="1" applyAlignment="1" applyProtection="1">
      <alignment horizontal="right" vertical="center" readingOrder="2"/>
      <protection hidden="1"/>
    </xf>
    <xf numFmtId="0" fontId="27" fillId="10" borderId="0" xfId="0" applyFont="1" applyFill="1" applyAlignment="1" applyProtection="1">
      <alignment horizontal="right" vertical="center" readingOrder="2"/>
      <protection hidden="1"/>
    </xf>
    <xf numFmtId="166" fontId="6" fillId="10" borderId="0" xfId="0" applyNumberFormat="1" applyFont="1" applyFill="1" applyAlignment="1" applyProtection="1">
      <alignment horizontal="right" vertical="center" readingOrder="2"/>
      <protection hidden="1"/>
    </xf>
    <xf numFmtId="0" fontId="8" fillId="8" borderId="12" xfId="0" applyFont="1" applyFill="1" applyBorder="1" applyAlignment="1" applyProtection="1">
      <alignment horizontal="right" vertical="center" readingOrder="2"/>
      <protection locked="0"/>
    </xf>
    <xf numFmtId="168" fontId="8" fillId="8" borderId="12" xfId="0" applyNumberFormat="1" applyFont="1" applyFill="1" applyBorder="1" applyAlignment="1" applyProtection="1">
      <alignment horizontal="right" vertical="center" readingOrder="2"/>
      <protection locked="0"/>
    </xf>
    <xf numFmtId="0" fontId="12" fillId="8" borderId="12" xfId="0" applyFont="1" applyFill="1" applyBorder="1" applyAlignment="1" applyProtection="1">
      <alignment horizontal="right" vertical="center"/>
      <protection locked="0"/>
    </xf>
    <xf numFmtId="165" fontId="12" fillId="8" borderId="12" xfId="0" applyNumberFormat="1" applyFont="1" applyFill="1" applyBorder="1" applyAlignment="1" applyProtection="1">
      <alignment horizontal="right" vertical="center"/>
      <protection locked="0"/>
    </xf>
    <xf numFmtId="14" fontId="8" fillId="8" borderId="12" xfId="0" applyNumberFormat="1" applyFont="1" applyFill="1" applyBorder="1" applyAlignment="1" applyProtection="1">
      <alignment horizontal="right" vertical="center" readingOrder="2"/>
      <protection locked="0"/>
    </xf>
    <xf numFmtId="169" fontId="8" fillId="8" borderId="12" xfId="0" applyNumberFormat="1" applyFont="1" applyFill="1" applyBorder="1" applyAlignment="1" applyProtection="1">
      <alignment horizontal="right" vertical="center" readingOrder="2"/>
      <protection locked="0"/>
    </xf>
    <xf numFmtId="0" fontId="0" fillId="0" borderId="0" xfId="0" applyAlignment="1" applyProtection="1">
      <alignment horizontal="right" vertical="center"/>
      <protection hidden="1"/>
    </xf>
    <xf numFmtId="167" fontId="6" fillId="10" borderId="0" xfId="0" applyNumberFormat="1" applyFont="1" applyFill="1" applyAlignment="1" applyProtection="1">
      <alignment horizontal="right" vertical="center"/>
      <protection hidden="1"/>
    </xf>
    <xf numFmtId="165" fontId="8" fillId="8" borderId="12" xfId="0" applyNumberFormat="1" applyFont="1" applyFill="1" applyBorder="1" applyAlignment="1" applyProtection="1">
      <alignment horizontal="right" vertical="center" readingOrder="1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0" fontId="8" fillId="8" borderId="12" xfId="0" applyFont="1" applyFill="1" applyBorder="1" applyAlignment="1" applyProtection="1">
      <alignment horizontal="right" vertical="center"/>
      <protection locked="0"/>
    </xf>
    <xf numFmtId="14" fontId="8" fillId="8" borderId="12" xfId="0" applyNumberFormat="1" applyFont="1" applyFill="1" applyBorder="1" applyAlignment="1" applyProtection="1">
      <alignment horizontal="right" vertical="center"/>
      <protection locked="0"/>
    </xf>
    <xf numFmtId="169" fontId="8" fillId="8" borderId="12" xfId="0" applyNumberFormat="1" applyFont="1" applyFill="1" applyBorder="1" applyAlignment="1" applyProtection="1">
      <alignment horizontal="right" vertical="center"/>
      <protection locked="0"/>
    </xf>
    <xf numFmtId="0" fontId="0" fillId="8" borderId="12" xfId="0" applyFill="1" applyBorder="1" applyAlignment="1" applyProtection="1">
      <alignment horizontal="right" vertical="center"/>
      <protection locked="0"/>
    </xf>
    <xf numFmtId="0" fontId="21" fillId="0" borderId="0" xfId="0" applyFont="1" applyAlignment="1">
      <alignment readingOrder="2"/>
    </xf>
    <xf numFmtId="0" fontId="0" fillId="0" borderId="0" xfId="0" applyAlignment="1">
      <alignment readingOrder="2"/>
    </xf>
    <xf numFmtId="0" fontId="39" fillId="0" borderId="0" xfId="0" applyFont="1" applyAlignment="1">
      <alignment horizontal="right" wrapText="1" readingOrder="2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0" fontId="0" fillId="0" borderId="0" xfId="0" applyAlignment="1">
      <alignment wrapText="1" readingOrder="2"/>
    </xf>
    <xf numFmtId="0" fontId="39" fillId="0" borderId="0" xfId="0" applyFont="1" applyAlignment="1">
      <alignment horizontal="right" readingOrder="2"/>
    </xf>
    <xf numFmtId="0" fontId="40" fillId="7" borderId="1" xfId="0" applyFont="1" applyFill="1" applyBorder="1" applyAlignment="1" applyProtection="1">
      <alignment horizontal="left" vertical="center"/>
      <protection hidden="1"/>
    </xf>
    <xf numFmtId="0" fontId="11" fillId="0" borderId="0" xfId="0" applyFont="1" applyAlignment="1">
      <alignment readingOrder="2"/>
    </xf>
    <xf numFmtId="0" fontId="8" fillId="0" borderId="0" xfId="0" applyFont="1" applyAlignment="1" applyProtection="1">
      <alignment horizontal="right" vertical="center" readingOrder="1"/>
      <protection locked="0"/>
    </xf>
    <xf numFmtId="0" fontId="0" fillId="0" borderId="0" xfId="0" applyAlignment="1" applyProtection="1">
      <alignment horizontal="right" readingOrder="2"/>
      <protection locked="0"/>
    </xf>
    <xf numFmtId="0" fontId="0" fillId="0" borderId="11" xfId="0" applyBorder="1" applyAlignment="1" applyProtection="1">
      <alignment readingOrder="2"/>
      <protection locked="0"/>
    </xf>
    <xf numFmtId="0" fontId="11" fillId="7" borderId="0" xfId="0" applyFont="1" applyFill="1" applyAlignment="1">
      <alignment horizontal="center" vertical="center"/>
    </xf>
    <xf numFmtId="0" fontId="8" fillId="0" borderId="10" xfId="0" applyFont="1" applyBorder="1" applyAlignment="1" applyProtection="1">
      <alignment horizontal="right" readingOrder="2"/>
      <protection locked="0"/>
    </xf>
    <xf numFmtId="0" fontId="34" fillId="7" borderId="0" xfId="0" applyFont="1" applyFill="1" applyAlignment="1">
      <alignment horizontal="right" vertical="center"/>
    </xf>
    <xf numFmtId="0" fontId="32" fillId="12" borderId="0" xfId="0" applyFont="1" applyFill="1" applyAlignment="1">
      <alignment horizontal="right" vertical="top" wrapText="1"/>
    </xf>
    <xf numFmtId="0" fontId="46" fillId="0" borderId="0" xfId="0" applyFont="1" applyAlignment="1">
      <alignment horizontal="right" vertical="top"/>
    </xf>
    <xf numFmtId="0" fontId="32" fillId="12" borderId="15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3" fillId="9" borderId="12" xfId="0" applyFont="1" applyFill="1" applyBorder="1" applyAlignment="1" applyProtection="1">
      <alignment horizontal="right" vertical="center" wrapText="1" readingOrder="2"/>
      <protection locked="0"/>
    </xf>
    <xf numFmtId="0" fontId="23" fillId="9" borderId="13" xfId="0" applyFont="1" applyFill="1" applyBorder="1" applyAlignment="1" applyProtection="1">
      <alignment horizontal="right" vertical="center" wrapText="1" readingOrder="2"/>
      <protection locked="0"/>
    </xf>
    <xf numFmtId="0" fontId="49" fillId="0" borderId="0" xfId="0" applyFont="1" applyAlignment="1" applyProtection="1">
      <alignment horizontal="right" readingOrder="2"/>
      <protection locked="0"/>
    </xf>
    <xf numFmtId="0" fontId="50" fillId="0" borderId="0" xfId="0" applyFont="1" applyAlignment="1" applyProtection="1">
      <alignment horizontal="right" readingOrder="2"/>
      <protection locked="0"/>
    </xf>
    <xf numFmtId="0" fontId="13" fillId="0" borderId="0" xfId="0" applyFont="1" applyAlignment="1" applyProtection="1">
      <alignment horizontal="right" wrapText="1" readingOrder="2"/>
      <protection locked="0"/>
    </xf>
    <xf numFmtId="0" fontId="13" fillId="0" borderId="0" xfId="0" applyFont="1" applyAlignment="1" applyProtection="1">
      <alignment readingOrder="2"/>
      <protection locked="0"/>
    </xf>
    <xf numFmtId="0" fontId="13" fillId="0" borderId="14" xfId="0" applyFont="1" applyBorder="1" applyAlignment="1" applyProtection="1">
      <alignment readingOrder="2"/>
      <protection locked="0"/>
    </xf>
    <xf numFmtId="0" fontId="13" fillId="0" borderId="0" xfId="0" applyFont="1" applyAlignment="1" applyProtection="1">
      <alignment horizontal="right" readingOrder="2"/>
      <protection locked="0"/>
    </xf>
    <xf numFmtId="0" fontId="13" fillId="0" borderId="11" xfId="0" applyFont="1" applyBorder="1" applyAlignment="1" applyProtection="1">
      <alignment readingOrder="2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51" fillId="0" borderId="0" xfId="0" applyFont="1" applyAlignment="1" applyProtection="1">
      <alignment horizontal="right" readingOrder="2"/>
      <protection locked="0"/>
    </xf>
    <xf numFmtId="0" fontId="52" fillId="0" borderId="0" xfId="0" applyFont="1" applyAlignment="1" applyProtection="1">
      <alignment horizontal="right" wrapText="1" readingOrder="2"/>
      <protection locked="0"/>
    </xf>
    <xf numFmtId="0" fontId="41" fillId="0" borderId="0" xfId="0" applyFont="1" applyAlignment="1" applyProtection="1">
      <alignment horizontal="right" wrapText="1" readingOrder="2"/>
      <protection locked="0"/>
    </xf>
    <xf numFmtId="49" fontId="43" fillId="14" borderId="0" xfId="0" applyNumberFormat="1" applyFont="1" applyFill="1" applyAlignment="1">
      <alignment horizontal="center" vertical="center"/>
    </xf>
    <xf numFmtId="0" fontId="19" fillId="7" borderId="0" xfId="0" applyFont="1" applyFill="1" applyAlignment="1" applyProtection="1">
      <alignment horizontal="right" vertical="center"/>
      <protection hidden="1"/>
    </xf>
    <xf numFmtId="0" fontId="0" fillId="7" borderId="0" xfId="0" applyFill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49" fontId="0" fillId="0" borderId="0" xfId="0" applyNumberFormat="1" applyAlignment="1">
      <alignment horizontal="right"/>
    </xf>
    <xf numFmtId="49" fontId="11" fillId="0" borderId="0" xfId="0" applyNumberFormat="1" applyFont="1" applyAlignment="1">
      <alignment horizontal="right"/>
    </xf>
    <xf numFmtId="0" fontId="11" fillId="0" borderId="0" xfId="0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0" fontId="13" fillId="0" borderId="0" xfId="0" quotePrefix="1" applyFont="1" applyAlignment="1" applyProtection="1">
      <alignment readingOrder="2"/>
      <protection locked="0"/>
    </xf>
    <xf numFmtId="0" fontId="53" fillId="0" borderId="0" xfId="0" applyFont="1"/>
    <xf numFmtId="0" fontId="55" fillId="0" borderId="0" xfId="0" applyFont="1" applyAlignment="1">
      <alignment wrapText="1"/>
    </xf>
    <xf numFmtId="14" fontId="55" fillId="0" borderId="0" xfId="0" applyNumberFormat="1" applyFont="1" applyAlignment="1">
      <alignment wrapText="1"/>
    </xf>
    <xf numFmtId="4" fontId="55" fillId="0" borderId="0" xfId="0" applyNumberFormat="1" applyFont="1" applyAlignment="1">
      <alignment wrapText="1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164" fontId="55" fillId="0" borderId="0" xfId="0" applyNumberFormat="1" applyFont="1" applyAlignment="1">
      <alignment wrapText="1"/>
    </xf>
    <xf numFmtId="0" fontId="56" fillId="0" borderId="0" xfId="0" applyFont="1" applyAlignment="1">
      <alignment wrapText="1"/>
    </xf>
    <xf numFmtId="49" fontId="11" fillId="7" borderId="0" xfId="0" applyNumberFormat="1" applyFont="1" applyFill="1" applyProtection="1">
      <protection locked="0"/>
    </xf>
    <xf numFmtId="0" fontId="2" fillId="0" borderId="0" xfId="3" applyAlignment="1">
      <alignment wrapText="1"/>
    </xf>
    <xf numFmtId="0" fontId="2" fillId="7" borderId="0" xfId="3" applyFill="1" applyAlignment="1">
      <alignment horizontal="right"/>
    </xf>
    <xf numFmtId="0" fontId="2" fillId="7" borderId="0" xfId="3" applyFill="1"/>
    <xf numFmtId="0" fontId="60" fillId="7" borderId="0" xfId="3" applyFont="1" applyFill="1" applyAlignment="1">
      <alignment horizontal="right"/>
    </xf>
    <xf numFmtId="0" fontId="2" fillId="0" borderId="0" xfId="3"/>
    <xf numFmtId="0" fontId="2" fillId="0" borderId="0" xfId="3" applyAlignment="1">
      <alignment horizontal="right"/>
    </xf>
    <xf numFmtId="0" fontId="60" fillId="0" borderId="0" xfId="3" applyFont="1" applyAlignment="1">
      <alignment horizontal="right"/>
    </xf>
    <xf numFmtId="0" fontId="57" fillId="15" borderId="16" xfId="0" applyFont="1" applyFill="1" applyBorder="1" applyAlignment="1">
      <alignment horizontal="right" vertical="top"/>
    </xf>
    <xf numFmtId="0" fontId="57" fillId="15" borderId="28" xfId="0" applyFont="1" applyFill="1" applyBorder="1" applyAlignment="1">
      <alignment horizontal="right" vertical="top"/>
    </xf>
    <xf numFmtId="0" fontId="57" fillId="15" borderId="16" xfId="0" quotePrefix="1" applyFont="1" applyFill="1" applyBorder="1" applyAlignment="1">
      <alignment horizontal="right" vertical="top"/>
    </xf>
    <xf numFmtId="0" fontId="63" fillId="0" borderId="0" xfId="0" applyFont="1" applyAlignment="1">
      <alignment horizontal="right"/>
    </xf>
    <xf numFmtId="0" fontId="63" fillId="0" borderId="0" xfId="0" applyFont="1"/>
    <xf numFmtId="0" fontId="0" fillId="0" borderId="10" xfId="0" applyBorder="1"/>
    <xf numFmtId="0" fontId="1" fillId="0" borderId="0" xfId="3" applyFont="1"/>
    <xf numFmtId="171" fontId="13" fillId="2" borderId="2" xfId="0" applyNumberFormat="1" applyFont="1" applyFill="1" applyBorder="1" applyAlignment="1" applyProtection="1">
      <alignment horizontal="right" vertical="center" readingOrder="1"/>
      <protection hidden="1"/>
    </xf>
    <xf numFmtId="171" fontId="14" fillId="4" borderId="4" xfId="0" applyNumberFormat="1" applyFont="1" applyFill="1" applyBorder="1" applyAlignment="1" applyProtection="1">
      <alignment horizontal="right" vertical="center" readingOrder="2"/>
      <protection hidden="1"/>
    </xf>
    <xf numFmtId="0" fontId="0" fillId="0" borderId="31" xfId="0" applyBorder="1"/>
    <xf numFmtId="0" fontId="64" fillId="0" borderId="0" xfId="0" applyFont="1"/>
    <xf numFmtId="172" fontId="65" fillId="15" borderId="16" xfId="0" applyNumberFormat="1" applyFont="1" applyFill="1" applyBorder="1" applyAlignment="1">
      <alignment horizontal="left" vertical="top" wrapText="1"/>
    </xf>
    <xf numFmtId="172" fontId="65" fillId="15" borderId="30" xfId="0" applyNumberFormat="1" applyFont="1" applyFill="1" applyBorder="1" applyAlignment="1">
      <alignment horizontal="left" vertical="top" wrapText="1"/>
    </xf>
    <xf numFmtId="172" fontId="65" fillId="15" borderId="29" xfId="0" applyNumberFormat="1" applyFont="1" applyFill="1" applyBorder="1" applyAlignment="1">
      <alignment horizontal="left" vertical="top" wrapText="1"/>
    </xf>
    <xf numFmtId="0" fontId="58" fillId="0" borderId="11" xfId="3" applyFont="1" applyBorder="1" applyAlignment="1" applyProtection="1">
      <alignment vertical="top" wrapText="1"/>
      <protection locked="0"/>
    </xf>
    <xf numFmtId="0" fontId="58" fillId="0" borderId="19" xfId="3" applyFont="1" applyBorder="1" applyAlignment="1" applyProtection="1">
      <alignment vertical="top" wrapText="1"/>
      <protection locked="0"/>
    </xf>
    <xf numFmtId="0" fontId="58" fillId="0" borderId="23" xfId="3" applyFont="1" applyBorder="1" applyAlignment="1" applyProtection="1">
      <alignment vertical="top" wrapText="1"/>
      <protection locked="0"/>
    </xf>
    <xf numFmtId="0" fontId="58" fillId="0" borderId="24" xfId="3" applyFont="1" applyBorder="1" applyAlignment="1" applyProtection="1">
      <alignment vertical="top" wrapText="1"/>
      <protection locked="0"/>
    </xf>
    <xf numFmtId="0" fontId="58" fillId="15" borderId="23" xfId="3" applyFont="1" applyFill="1" applyBorder="1" applyAlignment="1" applyProtection="1">
      <alignment vertical="top" wrapText="1"/>
      <protection locked="0"/>
    </xf>
    <xf numFmtId="0" fontId="58" fillId="15" borderId="24" xfId="3" applyFont="1" applyFill="1" applyBorder="1" applyAlignment="1" applyProtection="1">
      <alignment vertical="top" wrapText="1"/>
      <protection locked="0"/>
    </xf>
    <xf numFmtId="0" fontId="58" fillId="16" borderId="23" xfId="3" applyFont="1" applyFill="1" applyBorder="1" applyAlignment="1" applyProtection="1">
      <alignment vertical="top" wrapText="1"/>
      <protection locked="0"/>
    </xf>
    <xf numFmtId="0" fontId="58" fillId="0" borderId="27" xfId="3" applyFont="1" applyBorder="1" applyAlignment="1" applyProtection="1">
      <alignment vertical="top" wrapText="1"/>
      <protection locked="0"/>
    </xf>
    <xf numFmtId="0" fontId="58" fillId="16" borderId="24" xfId="3" applyFont="1" applyFill="1" applyBorder="1" applyAlignment="1" applyProtection="1">
      <alignment vertical="top" wrapText="1"/>
      <protection locked="0"/>
    </xf>
    <xf numFmtId="0" fontId="58" fillId="0" borderId="20" xfId="3" applyFont="1" applyBorder="1" applyAlignment="1" applyProtection="1">
      <alignment vertical="top" wrapText="1"/>
      <protection locked="0"/>
    </xf>
    <xf numFmtId="0" fontId="62" fillId="0" borderId="11" xfId="3" applyFont="1" applyBorder="1" applyAlignment="1" applyProtection="1">
      <alignment wrapText="1"/>
      <protection locked="0"/>
    </xf>
    <xf numFmtId="0" fontId="62" fillId="0" borderId="18" xfId="3" applyFont="1" applyBorder="1" applyAlignment="1" applyProtection="1">
      <alignment wrapText="1"/>
      <protection locked="0"/>
    </xf>
    <xf numFmtId="0" fontId="59" fillId="0" borderId="18" xfId="3" applyFont="1" applyBorder="1" applyAlignment="1" applyProtection="1">
      <alignment wrapText="1"/>
      <protection locked="0"/>
    </xf>
    <xf numFmtId="0" fontId="2" fillId="0" borderId="20" xfId="3" applyBorder="1"/>
    <xf numFmtId="0" fontId="2" fillId="0" borderId="27" xfId="3" applyBorder="1"/>
    <xf numFmtId="0" fontId="2" fillId="0" borderId="26" xfId="3" applyBorder="1"/>
    <xf numFmtId="0" fontId="2" fillId="0" borderId="22" xfId="3" applyBorder="1"/>
    <xf numFmtId="0" fontId="2" fillId="0" borderId="17" xfId="3" applyBorder="1"/>
    <xf numFmtId="0" fontId="2" fillId="0" borderId="21" xfId="3" applyBorder="1"/>
    <xf numFmtId="0" fontId="2" fillId="0" borderId="25" xfId="3" applyBorder="1"/>
    <xf numFmtId="0" fontId="68" fillId="17" borderId="17" xfId="3" applyFont="1" applyFill="1" applyBorder="1" applyAlignment="1">
      <alignment horizontal="center" vertical="top" wrapText="1"/>
    </xf>
    <xf numFmtId="0" fontId="69" fillId="17" borderId="11" xfId="3" applyFont="1" applyFill="1" applyBorder="1" applyProtection="1">
      <protection hidden="1"/>
    </xf>
    <xf numFmtId="170" fontId="67" fillId="0" borderId="11" xfId="3" applyNumberFormat="1" applyFont="1" applyBorder="1" applyProtection="1">
      <protection hidden="1"/>
    </xf>
    <xf numFmtId="0" fontId="66" fillId="7" borderId="0" xfId="3" applyFont="1" applyFill="1" applyProtection="1">
      <protection hidden="1"/>
    </xf>
    <xf numFmtId="0" fontId="69" fillId="18" borderId="11" xfId="3" applyFont="1" applyFill="1" applyBorder="1" applyProtection="1">
      <protection hidden="1"/>
    </xf>
    <xf numFmtId="0" fontId="66" fillId="7" borderId="11" xfId="3" applyFont="1" applyFill="1" applyBorder="1" applyProtection="1">
      <protection hidden="1"/>
    </xf>
    <xf numFmtId="170" fontId="67" fillId="7" borderId="11" xfId="3" applyNumberFormat="1" applyFont="1" applyFill="1" applyBorder="1" applyProtection="1">
      <protection hidden="1"/>
    </xf>
    <xf numFmtId="0" fontId="2" fillId="7" borderId="0" xfId="3" applyFill="1" applyAlignment="1" applyProtection="1">
      <alignment horizontal="right"/>
      <protection hidden="1"/>
    </xf>
    <xf numFmtId="0" fontId="2" fillId="7" borderId="0" xfId="3" applyFill="1" applyProtection="1">
      <protection hidden="1"/>
    </xf>
    <xf numFmtId="0" fontId="60" fillId="7" borderId="0" xfId="3" applyFont="1" applyFill="1" applyAlignment="1" applyProtection="1">
      <alignment horizontal="right"/>
      <protection hidden="1"/>
    </xf>
    <xf numFmtId="0" fontId="68" fillId="17" borderId="15" xfId="3" applyFont="1" applyFill="1" applyBorder="1" applyAlignment="1" applyProtection="1">
      <alignment horizontal="right" vertical="top"/>
      <protection hidden="1"/>
    </xf>
    <xf numFmtId="170" fontId="61" fillId="7" borderId="15" xfId="3" applyNumberFormat="1" applyFont="1" applyFill="1" applyBorder="1" applyProtection="1">
      <protection hidden="1"/>
    </xf>
    <xf numFmtId="0" fontId="68" fillId="18" borderId="15" xfId="3" applyFont="1" applyFill="1" applyBorder="1" applyAlignment="1" applyProtection="1">
      <alignment horizontal="right"/>
      <protection hidden="1"/>
    </xf>
    <xf numFmtId="0" fontId="59" fillId="0" borderId="0" xfId="3" applyFont="1" applyAlignment="1" applyProtection="1">
      <alignment horizontal="right"/>
      <protection hidden="1"/>
    </xf>
    <xf numFmtId="170" fontId="59" fillId="7" borderId="0" xfId="3" applyNumberFormat="1" applyFont="1" applyFill="1" applyProtection="1">
      <protection hidden="1"/>
    </xf>
    <xf numFmtId="0" fontId="70" fillId="17" borderId="15" xfId="3" applyFont="1" applyFill="1" applyBorder="1" applyAlignment="1" applyProtection="1">
      <alignment horizontal="right"/>
      <protection hidden="1"/>
    </xf>
    <xf numFmtId="0" fontId="58" fillId="0" borderId="0" xfId="3" applyFont="1" applyAlignment="1" applyProtection="1">
      <alignment horizontal="right" vertical="top"/>
      <protection hidden="1"/>
    </xf>
    <xf numFmtId="170" fontId="59" fillId="7" borderId="15" xfId="3" applyNumberFormat="1" applyFont="1" applyFill="1" applyBorder="1" applyProtection="1">
      <protection hidden="1"/>
    </xf>
    <xf numFmtId="0" fontId="68" fillId="18" borderId="17" xfId="3" applyFont="1" applyFill="1" applyBorder="1" applyAlignment="1">
      <alignment horizontal="center" vertical="top" wrapText="1"/>
    </xf>
    <xf numFmtId="0" fontId="57" fillId="19" borderId="16" xfId="0" applyFont="1" applyFill="1" applyBorder="1" applyAlignment="1">
      <alignment horizontal="right" vertical="top"/>
    </xf>
    <xf numFmtId="0" fontId="23" fillId="9" borderId="0" xfId="0" applyFont="1" applyFill="1" applyAlignment="1" applyProtection="1">
      <alignment horizontal="right" vertical="center" wrapText="1" readingOrder="2"/>
      <protection locked="0"/>
    </xf>
    <xf numFmtId="0" fontId="32" fillId="12" borderId="0" xfId="0" applyFont="1" applyFill="1" applyAlignment="1">
      <alignment horizontal="right" vertical="center" wrapText="1"/>
    </xf>
    <xf numFmtId="0" fontId="10" fillId="13" borderId="0" xfId="0" applyFont="1" applyFill="1" applyAlignment="1">
      <alignment horizontal="right" vertical="center" wrapText="1" readingOrder="2"/>
    </xf>
    <xf numFmtId="0" fontId="20" fillId="0" borderId="0" xfId="0" applyFont="1" applyAlignment="1" applyProtection="1">
      <alignment horizontal="center"/>
      <protection locked="0"/>
    </xf>
    <xf numFmtId="0" fontId="0" fillId="0" borderId="39" xfId="0" applyBorder="true" applyAlignment="true">
      <alignment horizontal="right"/>
    </xf>
    <xf numFmtId="4" fontId="0" fillId="0" borderId="39" xfId="0" applyBorder="true" applyAlignment="true" applyNumberFormat="true">
      <alignment horizontal="right"/>
    </xf>
    <xf numFmtId="0" fontId="72" fillId="21" borderId="39" xfId="0" applyBorder="true" applyAlignment="true" applyFill="true" applyFont="true">
      <alignment horizontal="center" vertical="center"/>
    </xf>
    <xf numFmtId="173" fontId="0" fillId="0" borderId="39" xfId="0" applyBorder="true" applyAlignment="true" applyNumberFormat="true">
      <alignment horizontal="right"/>
    </xf>
    <xf numFmtId="0" fontId="0" fillId="23" borderId="39" xfId="0" applyBorder="true" applyAlignment="true" applyFill="true">
      <alignment horizontal="right"/>
    </xf>
    <xf numFmtId="0" fontId="0" fillId="25" borderId="39" xfId="0" applyBorder="true" applyAlignment="true" applyFill="true">
      <alignment horizontal="right"/>
    </xf>
    <xf numFmtId="0" fontId="0" fillId="27" borderId="39" xfId="0" applyBorder="true" applyAlignment="true" applyFill="true">
      <alignment horizontal="right"/>
    </xf>
    <xf numFmtId="0" fontId="0" fillId="29" borderId="39" xfId="0" applyBorder="true" applyAlignment="true" applyFill="true">
      <alignment horizontal="right"/>
    </xf>
    <xf numFmtId="0" fontId="0" fillId="31" borderId="39" xfId="0" applyBorder="true" applyAlignment="true" applyFill="true">
      <alignment horizontal="right"/>
    </xf>
    <xf numFmtId="0" fontId="0" fillId="33" borderId="39" xfId="0" applyBorder="true" applyAlignment="true" applyFill="true">
      <alignment horizontal="right"/>
    </xf>
    <xf numFmtId="173" fontId="0" fillId="23" borderId="39" xfId="0" applyBorder="true" applyAlignment="true" applyNumberFormat="true" applyFill="true">
      <alignment horizontal="right"/>
    </xf>
    <xf numFmtId="173" fontId="0" fillId="25" borderId="39" xfId="0" applyBorder="true" applyAlignment="true" applyNumberFormat="true" applyFill="true">
      <alignment horizontal="right"/>
    </xf>
    <xf numFmtId="173" fontId="0" fillId="29" borderId="39" xfId="0" applyBorder="true" applyAlignment="true" applyNumberFormat="true" applyFill="true">
      <alignment horizontal="right"/>
    </xf>
    <xf numFmtId="173" fontId="0" fillId="27" borderId="39" xfId="0" applyBorder="true" applyAlignment="true" applyFill="true" applyNumberFormat="true">
      <alignment horizontal="right"/>
    </xf>
    <xf numFmtId="173" fontId="0" fillId="31" borderId="39" xfId="0" applyBorder="true" applyAlignment="true" applyFill="true" applyNumberFormat="true">
      <alignment horizontal="right"/>
    </xf>
    <xf numFmtId="173" fontId="0" fillId="33" borderId="39" xfId="0" applyBorder="true" applyAlignment="true" applyFill="true" applyNumberFormat="true">
      <alignment horizontal="right"/>
    </xf>
    <xf numFmtId="4" fontId="0" fillId="23" borderId="39" xfId="0" applyBorder="true" applyAlignment="true" applyFill="true" applyNumberFormat="true">
      <alignment horizontal="right"/>
    </xf>
    <xf numFmtId="4" fontId="0" fillId="25" borderId="39" xfId="0" applyBorder="true" applyAlignment="true" applyFill="true" applyNumberFormat="true">
      <alignment horizontal="right"/>
    </xf>
    <xf numFmtId="4" fontId="0" fillId="29" borderId="39" xfId="0" applyBorder="true" applyAlignment="true" applyFill="true" applyNumberFormat="true">
      <alignment horizontal="right"/>
    </xf>
    <xf numFmtId="4" fontId="0" fillId="27" borderId="39" xfId="0" applyBorder="true" applyAlignment="true" applyFill="true" applyNumberFormat="true">
      <alignment horizontal="right"/>
    </xf>
    <xf numFmtId="4" fontId="0" fillId="31" borderId="39" xfId="0" applyBorder="true" applyAlignment="true" applyFill="true" applyNumberFormat="true">
      <alignment horizontal="right"/>
    </xf>
    <xf numFmtId="4" fontId="0" fillId="33" borderId="39" xfId="0" applyBorder="true" applyAlignment="true" applyFill="true" applyNumberFormat="true">
      <alignment horizontal="right"/>
    </xf>
    <xf numFmtId="0" fontId="0" fillId="23" borderId="39" xfId="0" applyBorder="true" applyAlignment="true" applyFill="true">
      <alignment horizontal="right"/>
    </xf>
    <xf numFmtId="174" fontId="0" fillId="23" borderId="39" xfId="0" applyBorder="true" applyAlignment="true" applyFill="true" applyNumberFormat="true">
      <alignment horizontal="right"/>
    </xf>
    <xf numFmtId="0" fontId="0" fillId="29" borderId="39" xfId="0" applyBorder="true" applyAlignment="true" applyFill="true">
      <alignment horizontal="right"/>
    </xf>
    <xf numFmtId="174" fontId="0" fillId="29" borderId="39" xfId="0" applyBorder="true" applyAlignment="true" applyFill="true" applyNumberFormat="true">
      <alignment horizontal="right"/>
    </xf>
    <xf numFmtId="0" fontId="0" fillId="27" borderId="39" xfId="0" applyBorder="true" applyAlignment="true" applyFill="true">
      <alignment horizontal="right"/>
    </xf>
    <xf numFmtId="174" fontId="0" fillId="27" borderId="39" xfId="0" applyBorder="true" applyAlignment="true" applyFill="true" applyNumberFormat="true">
      <alignment horizontal="right"/>
    </xf>
    <xf numFmtId="0" fontId="0" fillId="36" borderId="39" xfId="0" applyBorder="true" applyAlignment="true" applyFill="true">
      <alignment horizontal="center"/>
    </xf>
    <xf numFmtId="0" fontId="0" fillId="0" borderId="39" xfId="0" applyBorder="true" applyAlignment="true">
      <alignment horizontal="right" wrapText="true"/>
    </xf>
    <xf numFmtId="0" fontId="0" fillId="0" borderId="39" xfId="0" applyBorder="true" applyAlignment="true">
      <alignment horizontal="right"/>
    </xf>
    <xf numFmtId="4" fontId="0" fillId="0" borderId="39" xfId="0" applyBorder="true" applyAlignment="true" applyNumberFormat="true">
      <alignment horizontal="right"/>
    </xf>
    <xf numFmtId="0" fontId="73" fillId="21" borderId="39" xfId="0" applyBorder="true" applyAlignment="true" applyFill="true" applyFont="true">
      <alignment horizontal="center" vertical="center"/>
    </xf>
    <xf numFmtId="173" fontId="0" fillId="0" borderId="39" xfId="0" applyBorder="true" applyAlignment="true" applyNumberFormat="true">
      <alignment horizontal="right"/>
    </xf>
    <xf numFmtId="0" fontId="0" fillId="23" borderId="39" xfId="0" applyBorder="true" applyAlignment="true" applyFill="true">
      <alignment horizontal="right"/>
    </xf>
    <xf numFmtId="0" fontId="0" fillId="25" borderId="39" xfId="0" applyBorder="true" applyAlignment="true" applyFill="true">
      <alignment horizontal="right"/>
    </xf>
    <xf numFmtId="0" fontId="0" fillId="27" borderId="39" xfId="0" applyBorder="true" applyAlignment="true" applyFill="true">
      <alignment horizontal="right"/>
    </xf>
    <xf numFmtId="0" fontId="0" fillId="29" borderId="39" xfId="0" applyBorder="true" applyAlignment="true" applyFill="true">
      <alignment horizontal="right"/>
    </xf>
    <xf numFmtId="0" fontId="0" fillId="31" borderId="39" xfId="0" applyBorder="true" applyAlignment="true" applyFill="true">
      <alignment horizontal="right"/>
    </xf>
    <xf numFmtId="0" fontId="0" fillId="33" borderId="39" xfId="0" applyBorder="true" applyAlignment="true" applyFill="true">
      <alignment horizontal="right"/>
    </xf>
    <xf numFmtId="173" fontId="0" fillId="23" borderId="39" xfId="0" applyBorder="true" applyAlignment="true" applyNumberFormat="true" applyFill="true">
      <alignment horizontal="right"/>
    </xf>
    <xf numFmtId="173" fontId="0" fillId="25" borderId="39" xfId="0" applyBorder="true" applyAlignment="true" applyNumberFormat="true" applyFill="true">
      <alignment horizontal="right"/>
    </xf>
    <xf numFmtId="173" fontId="0" fillId="29" borderId="39" xfId="0" applyBorder="true" applyAlignment="true" applyNumberFormat="true" applyFill="true">
      <alignment horizontal="right"/>
    </xf>
    <xf numFmtId="173" fontId="0" fillId="27" borderId="39" xfId="0" applyBorder="true" applyAlignment="true" applyFill="true" applyNumberFormat="true">
      <alignment horizontal="right"/>
    </xf>
    <xf numFmtId="173" fontId="0" fillId="31" borderId="39" xfId="0" applyBorder="true" applyAlignment="true" applyFill="true" applyNumberFormat="true">
      <alignment horizontal="right"/>
    </xf>
    <xf numFmtId="173" fontId="0" fillId="33" borderId="39" xfId="0" applyBorder="true" applyAlignment="true" applyFill="true" applyNumberFormat="true">
      <alignment horizontal="right"/>
    </xf>
    <xf numFmtId="4" fontId="0" fillId="23" borderId="39" xfId="0" applyBorder="true" applyAlignment="true" applyFill="true" applyNumberFormat="true">
      <alignment horizontal="right"/>
    </xf>
    <xf numFmtId="4" fontId="0" fillId="25" borderId="39" xfId="0" applyBorder="true" applyAlignment="true" applyFill="true" applyNumberFormat="true">
      <alignment horizontal="right"/>
    </xf>
    <xf numFmtId="4" fontId="0" fillId="29" borderId="39" xfId="0" applyBorder="true" applyAlignment="true" applyFill="true" applyNumberFormat="true">
      <alignment horizontal="right"/>
    </xf>
    <xf numFmtId="4" fontId="0" fillId="27" borderId="39" xfId="0" applyBorder="true" applyAlignment="true" applyFill="true" applyNumberFormat="true">
      <alignment horizontal="right"/>
    </xf>
    <xf numFmtId="4" fontId="0" fillId="31" borderId="39" xfId="0" applyBorder="true" applyAlignment="true" applyFill="true" applyNumberFormat="true">
      <alignment horizontal="right"/>
    </xf>
    <xf numFmtId="4" fontId="0" fillId="33" borderId="39" xfId="0" applyBorder="true" applyAlignment="true" applyFill="true" applyNumberFormat="true">
      <alignment horizontal="right"/>
    </xf>
    <xf numFmtId="0" fontId="0" fillId="23" borderId="39" xfId="0" applyBorder="true" applyAlignment="true" applyFill="true">
      <alignment horizontal="right"/>
    </xf>
    <xf numFmtId="174" fontId="0" fillId="23" borderId="39" xfId="0" applyBorder="true" applyAlignment="true" applyFill="true" applyNumberFormat="true">
      <alignment horizontal="right"/>
    </xf>
    <xf numFmtId="0" fontId="0" fillId="29" borderId="39" xfId="0" applyBorder="true" applyAlignment="true" applyFill="true">
      <alignment horizontal="right"/>
    </xf>
    <xf numFmtId="174" fontId="0" fillId="29" borderId="39" xfId="0" applyBorder="true" applyAlignment="true" applyFill="true" applyNumberFormat="true">
      <alignment horizontal="right"/>
    </xf>
    <xf numFmtId="0" fontId="0" fillId="27" borderId="39" xfId="0" applyBorder="true" applyAlignment="true" applyFill="true">
      <alignment horizontal="right"/>
    </xf>
    <xf numFmtId="174" fontId="0" fillId="27" borderId="39" xfId="0" applyBorder="true" applyAlignment="true" applyFill="true" applyNumberFormat="true">
      <alignment horizontal="right"/>
    </xf>
    <xf numFmtId="0" fontId="0" fillId="36" borderId="39" xfId="0" applyBorder="true" applyAlignment="true" applyFill="true">
      <alignment horizontal="center"/>
    </xf>
    <xf numFmtId="0" fontId="0" fillId="0" borderId="39" xfId="0" applyBorder="true" applyAlignment="true">
      <alignment horizontal="right" wrapText="true"/>
    </xf>
    <xf numFmtId="0" fontId="74" fillId="0" borderId="0" xfId="0" applyFill="true" applyBorder="true" applyNumberFormat="true" applyFont="true"/>
    <xf numFmtId="0" fontId="75" fillId="0" borderId="0" xfId="0" applyFill="true" applyBorder="true" applyNumberFormat="true" applyFont="true"/>
    <xf numFmtId="0" fontId="76" fillId="0" borderId="0" xfId="0" applyFill="true" applyBorder="true" applyNumberFormat="true" applyFont="true"/>
    <xf numFmtId="0" fontId="77" fillId="0" borderId="0" xfId="0" applyFill="true" applyBorder="true" applyNumberFormat="true" applyFont="true"/>
    <xf numFmtId="0" fontId="78" fillId="0" borderId="0" xfId="0" applyFill="true" applyBorder="true" applyNumberFormat="true" applyFont="true"/>
    <xf numFmtId="0" fontId="79" fillId="0" borderId="0" xfId="0" applyFill="true" applyBorder="true" applyNumberFormat="true" applyFont="true"/>
    <xf numFmtId="0" fontId="80" fillId="0" borderId="0" xfId="0" applyFill="true" applyBorder="true" applyNumberFormat="true" applyFont="true"/>
    <xf numFmtId="0" fontId="81" fillId="0" borderId="0" xfId="0" applyFill="true" applyBorder="true" applyNumberFormat="true" applyFont="true"/>
    <xf numFmtId="0" fontId="82" fillId="0" borderId="0" xfId="0" applyFill="true" applyBorder="true" applyNumberFormat="true" applyFont="true"/>
    <xf numFmtId="0" fontId="83" fillId="0" borderId="0" xfId="0" applyFill="true" applyBorder="true" applyNumberFormat="true" applyFont="true"/>
    <xf numFmtId="0" fontId="84" fillId="0" borderId="0" xfId="0" applyFill="true" applyBorder="true" applyNumberFormat="true" applyFont="true"/>
    <xf numFmtId="0" fontId="85" fillId="0" borderId="0" xfId="0" applyFill="true" applyBorder="true" applyNumberFormat="true" applyFont="true"/>
    <xf numFmtId="0" fontId="86" fillId="0" borderId="0" xfId="0" applyFill="true" applyBorder="true" applyNumberFormat="true" applyFont="true"/>
    <xf numFmtId="0" fontId="87" fillId="0" borderId="0" xfId="0" applyFill="true" applyBorder="true" applyNumberFormat="true" applyFont="true"/>
    <xf numFmtId="0" fontId="88" fillId="0" borderId="0" xfId="0" applyFill="true" applyBorder="true" applyNumberFormat="true" applyFont="true"/>
    <xf numFmtId="0" fontId="89" fillId="0" borderId="0" xfId="0" applyFill="true" applyBorder="true" applyNumberFormat="true" applyFont="true"/>
    <xf numFmtId="0" fontId="90" fillId="0" borderId="0" xfId="0" applyFill="true" applyBorder="true" applyNumberFormat="true" applyFont="true"/>
    <xf numFmtId="0" fontId="91" fillId="0" borderId="0" xfId="0" applyFill="true" applyBorder="true" applyNumberFormat="true" applyFont="true"/>
    <xf numFmtId="0" fontId="92" fillId="0" borderId="0" xfId="0" applyFill="true" applyBorder="true" applyNumberFormat="true" applyFont="true"/>
    <xf numFmtId="0" fontId="93" fillId="0" borderId="0" xfId="0" applyFill="true" applyBorder="true" applyNumberFormat="true" applyFont="true"/>
    <xf numFmtId="0" fontId="94" fillId="0" borderId="0" xfId="0" applyFill="true" applyBorder="true" applyNumberFormat="true" applyFont="true"/>
    <xf numFmtId="0" fontId="95" fillId="0" borderId="0" xfId="0" applyFill="true" applyBorder="true" applyNumberFormat="true" applyFont="true"/>
    <xf numFmtId="0" fontId="96" fillId="0" borderId="0" xfId="0" applyFill="true" applyBorder="true" applyNumberFormat="true" applyFont="true"/>
    <xf numFmtId="0" fontId="97" fillId="0" borderId="0" xfId="0" applyFill="true" applyBorder="true" applyNumberFormat="true" applyFont="true"/>
    <xf numFmtId="0" fontId="98" fillId="0" borderId="0" xfId="0" applyFill="true" applyBorder="true" applyNumberFormat="true" applyFont="true"/>
    <xf numFmtId="0" fontId="99" fillId="0" borderId="0" xfId="0" applyFill="true" applyBorder="true" applyNumberFormat="true" applyFont="true"/>
    <xf numFmtId="0" fontId="100" fillId="0" borderId="0" xfId="0" applyFill="true" applyBorder="true" applyNumberFormat="true" applyFont="true"/>
    <xf numFmtId="0" fontId="101" fillId="0" borderId="0" xfId="0" applyFill="true" applyBorder="true" applyNumberFormat="true" applyFont="true"/>
    <xf numFmtId="0" fontId="102" fillId="0" borderId="0" xfId="0" applyFill="true" applyBorder="true" applyNumberFormat="true" applyFont="true"/>
    <xf numFmtId="0" fontId="103" fillId="0" borderId="0" xfId="0" applyFill="true" applyBorder="true" applyNumberFormat="true" applyFont="true"/>
    <xf numFmtId="0" fontId="104" fillId="0" borderId="0" xfId="0" applyFill="true" applyBorder="true" applyNumberFormat="true" applyFont="true"/>
    <xf numFmtId="0" fontId="105" fillId="0" borderId="0" xfId="0" applyFill="true" applyBorder="true" applyNumberFormat="true" applyFont="true"/>
    <xf numFmtId="0" fontId="106" fillId="0" borderId="0" xfId="0" applyFill="true" applyBorder="true" applyNumberFormat="true" applyFont="true"/>
    <xf numFmtId="0" fontId="107" fillId="0" borderId="0" xfId="0" applyFill="true" applyBorder="true" applyNumberFormat="true" applyFont="true"/>
    <xf numFmtId="0" fontId="108" fillId="0" borderId="0" xfId="0" applyFill="true" applyBorder="true" applyNumberFormat="true" applyFont="true"/>
    <xf numFmtId="0" fontId="109" fillId="0" borderId="0" xfId="0" applyFill="true" applyBorder="true" applyNumberFormat="true" applyFont="true"/>
    <xf numFmtId="0" fontId="110" fillId="0" borderId="0" xfId="0" applyFill="true" applyBorder="true" applyNumberFormat="true" applyFont="true"/>
    <xf numFmtId="0" fontId="111" fillId="0" borderId="0" xfId="0" applyFill="true" applyBorder="true" applyNumberFormat="true" applyFont="true"/>
    <xf numFmtId="0" fontId="112" fillId="0" borderId="0" xfId="0" applyFill="true" applyBorder="true" applyNumberFormat="true" applyFont="true"/>
    <xf numFmtId="0" fontId="113" fillId="0" borderId="0" xfId="0" applyFill="true" applyBorder="true" applyNumberFormat="true" applyFont="true"/>
    <xf numFmtId="0" fontId="114" fillId="0" borderId="0" xfId="0" applyFill="true" applyBorder="true" applyNumberFormat="true" applyFont="true"/>
    <xf numFmtId="0" fontId="115" fillId="0" borderId="0" xfId="0" applyFill="true" applyBorder="true" applyNumberFormat="true" applyFont="true"/>
    <xf numFmtId="0" fontId="116" fillId="0" borderId="0" xfId="0" applyFill="true" applyBorder="true" applyNumberFormat="true" applyFont="true"/>
    <xf numFmtId="0" fontId="117" fillId="0" borderId="0" xfId="0" applyFill="true" applyBorder="true" applyNumberFormat="true" applyFont="true"/>
    <xf numFmtId="0" fontId="118" fillId="0" borderId="0" xfId="0" applyFill="true" applyBorder="true" applyNumberFormat="true" applyFont="true"/>
    <xf numFmtId="0" fontId="119" fillId="0" borderId="0" xfId="0" applyFill="true" applyBorder="true" applyNumberFormat="true" applyFont="true"/>
    <xf numFmtId="0" fontId="120" fillId="0" borderId="0" xfId="0" applyFill="true" applyBorder="true" applyNumberFormat="true" applyFont="true"/>
    <xf numFmtId="0" fontId="121" fillId="0" borderId="0" xfId="0" applyFill="true" applyBorder="true" applyNumberFormat="true" applyFont="true"/>
    <xf numFmtId="0" fontId="122" fillId="0" borderId="0" xfId="0" applyFill="true" applyBorder="true" applyNumberFormat="true" applyFont="true"/>
    <xf numFmtId="0" fontId="123" fillId="0" borderId="0" xfId="0" applyFill="true" applyBorder="true" applyNumberFormat="true" applyFont="true"/>
    <xf numFmtId="0" fontId="124" fillId="0" borderId="0" xfId="0" applyFill="true" applyBorder="true" applyNumberFormat="true" applyFont="true"/>
    <xf numFmtId="0" fontId="125" fillId="0" borderId="0" xfId="0" applyFill="true" applyBorder="true" applyNumberFormat="true" applyFont="true"/>
    <xf numFmtId="0" fontId="126" fillId="0" borderId="0" xfId="0" applyFill="true" applyBorder="true" applyNumberFormat="true" applyFont="true"/>
    <xf numFmtId="0" fontId="127" fillId="0" borderId="0" xfId="0" applyFill="true" applyBorder="true" applyNumberFormat="true" applyFont="true"/>
    <xf numFmtId="0" fontId="128" fillId="0" borderId="0" xfId="0" applyFill="true" applyBorder="true" applyNumberFormat="true" applyFont="true"/>
    <xf numFmtId="0" fontId="129" fillId="0" borderId="0" xfId="0" applyFill="true" applyBorder="true" applyNumberFormat="true" applyFont="true"/>
    <xf numFmtId="0" fontId="130" fillId="0" borderId="0" xfId="0" applyFill="true" applyBorder="true" applyNumberFormat="true" applyFont="true"/>
    <xf numFmtId="0" fontId="131" fillId="0" borderId="0" xfId="0" applyFill="true" applyBorder="true" applyNumberFormat="true" applyFont="true"/>
    <xf numFmtId="0" fontId="132" fillId="0" borderId="0" xfId="0" applyFill="true" applyBorder="true" applyNumberFormat="true" applyFont="true"/>
    <xf numFmtId="0" fontId="133" fillId="0" borderId="0" xfId="0" applyFill="true" applyBorder="true" applyNumberFormat="true" applyFont="true"/>
    <xf numFmtId="0" fontId="134" fillId="0" borderId="0" xfId="0" applyFill="true" applyBorder="true" applyNumberFormat="true" applyFont="true"/>
    <xf numFmtId="0" fontId="135" fillId="0" borderId="0" xfId="0" applyFill="true" applyBorder="true" applyNumberFormat="true" applyFont="true"/>
    <xf numFmtId="0" fontId="136" fillId="0" borderId="0" xfId="0" applyFill="true" applyBorder="true" applyNumberFormat="true" applyFont="true"/>
    <xf numFmtId="0" fontId="137" fillId="0" borderId="0" xfId="0" applyFill="true" applyBorder="true" applyNumberFormat="true" applyFont="true"/>
    <xf numFmtId="0" fontId="138" fillId="0" borderId="0" xfId="0" applyFill="true" applyBorder="true" applyNumberFormat="true" applyFont="true"/>
    <xf numFmtId="0" fontId="139" fillId="0" borderId="0" xfId="0" applyFill="true" applyBorder="true" applyNumberFormat="true" applyFont="true"/>
    <xf numFmtId="0" fontId="140" fillId="0" borderId="0" xfId="0" applyFill="true" applyBorder="true" applyNumberFormat="true" applyFont="true"/>
    <xf numFmtId="0" fontId="141" fillId="0" borderId="0" xfId="0" applyFill="true" applyBorder="true" applyNumberFormat="true" applyFont="true"/>
    <xf numFmtId="0" fontId="142" fillId="0" borderId="0" xfId="0" applyFill="true" applyBorder="true" applyNumberFormat="true" applyFont="true"/>
    <xf numFmtId="0" fontId="143" fillId="0" borderId="0" xfId="0" applyFill="true" applyBorder="true" applyNumberFormat="true" applyFont="true"/>
    <xf numFmtId="0" fontId="144" fillId="0" borderId="0" xfId="0" applyFill="true" applyBorder="true" applyNumberFormat="true" applyFont="true"/>
    <xf numFmtId="0" fontId="145" fillId="0" borderId="0" xfId="0" applyFill="true" applyBorder="true" applyNumberFormat="true" applyFont="true"/>
    <xf numFmtId="0" fontId="146" fillId="0" borderId="0" xfId="0" applyFill="true" applyBorder="true" applyNumberFormat="true" applyFont="true"/>
    <xf numFmtId="0" fontId="147" fillId="0" borderId="0" xfId="0" applyFill="true" applyBorder="true" applyNumberFormat="true" applyFont="true"/>
    <xf numFmtId="0" fontId="148" fillId="0" borderId="0" xfId="0" applyFill="true" applyBorder="true" applyNumberFormat="true" applyFont="true"/>
    <xf numFmtId="0" fontId="149" fillId="0" borderId="0" xfId="0" applyFill="true" applyBorder="true" applyNumberFormat="true" applyFont="true"/>
    <xf numFmtId="0" fontId="150" fillId="0" borderId="0" xfId="0" applyFill="true" applyBorder="true" applyNumberFormat="true" applyFont="true"/>
    <xf numFmtId="0" fontId="151" fillId="0" borderId="0" xfId="0" applyFill="true" applyBorder="true" applyNumberFormat="true" applyFont="true"/>
    <xf numFmtId="0" fontId="152" fillId="0" borderId="0" xfId="0" applyFill="true" applyBorder="true" applyNumberFormat="true" applyFont="true"/>
    <xf numFmtId="0" fontId="153" fillId="0" borderId="0" xfId="0" applyFill="true" applyBorder="true" applyNumberFormat="true" applyFont="true"/>
    <xf numFmtId="0" fontId="154" fillId="0" borderId="0" xfId="0" applyFill="true" applyBorder="true" applyNumberFormat="true" applyFont="true"/>
    <xf numFmtId="0" fontId="155" fillId="0" borderId="0" xfId="0" applyFill="true" applyBorder="true" applyNumberFormat="true" applyFont="true"/>
    <xf numFmtId="0" fontId="156" fillId="0" borderId="0" xfId="0" applyFill="true" applyBorder="true" applyNumberFormat="true" applyFont="true"/>
    <xf numFmtId="0" fontId="157" fillId="0" borderId="0" xfId="0" applyFill="true" applyBorder="true" applyNumberFormat="true" applyFont="true"/>
    <xf numFmtId="0" fontId="158" fillId="0" borderId="0" xfId="0" applyFill="true" applyBorder="true" applyNumberFormat="true" applyFont="true"/>
    <xf numFmtId="0" fontId="159" fillId="0" borderId="0" xfId="0" applyFill="true" applyBorder="true" applyNumberFormat="true" applyFont="true"/>
    <xf numFmtId="0" fontId="160" fillId="0" borderId="0" xfId="0" applyFill="true" applyBorder="true" applyNumberFormat="true" applyFont="true"/>
    <xf numFmtId="0" fontId="161" fillId="0" borderId="0" xfId="0" applyFill="true" applyBorder="true" applyNumberFormat="true" applyFont="true"/>
    <xf numFmtId="0" fontId="162" fillId="0" borderId="0" xfId="0" applyFill="true" applyBorder="true" applyNumberFormat="true" applyFont="true"/>
    <xf numFmtId="0" fontId="163" fillId="0" borderId="0" xfId="0" applyFill="true" applyBorder="true" applyNumberFormat="true" applyFont="true"/>
    <xf numFmtId="0" fontId="164" fillId="0" borderId="0" xfId="0" applyFill="true" applyBorder="true" applyNumberFormat="true" applyFont="true"/>
    <xf numFmtId="0" fontId="165" fillId="0" borderId="0" xfId="0" applyFill="true" applyBorder="true" applyNumberFormat="true" applyFont="true"/>
    <xf numFmtId="0" fontId="166" fillId="0" borderId="0" xfId="0" applyFill="true" applyBorder="true" applyNumberFormat="true" applyFont="true"/>
    <xf numFmtId="0" fontId="167" fillId="0" borderId="0" xfId="0" applyFill="true" applyBorder="true" applyNumberFormat="true" applyFont="true"/>
    <xf numFmtId="0" fontId="168" fillId="0" borderId="0" xfId="0" applyFill="true" applyBorder="true" applyNumberFormat="true" applyFont="true"/>
    <xf numFmtId="0" fontId="169" fillId="0" borderId="0" xfId="0" applyFill="true" applyBorder="true" applyNumberFormat="true" applyFont="true"/>
    <xf numFmtId="0" fontId="170" fillId="0" borderId="0" xfId="0" applyFill="true" applyBorder="true" applyNumberFormat="true" applyFont="true"/>
    <xf numFmtId="0" fontId="171" fillId="0" borderId="0" xfId="0" applyFill="true" applyBorder="true" applyNumberFormat="true" applyFont="true"/>
    <xf numFmtId="0" fontId="172" fillId="0" borderId="0" xfId="0" applyFill="true" applyBorder="true" applyNumberFormat="true" applyFont="true"/>
    <xf numFmtId="0" fontId="173" fillId="0" borderId="0" xfId="0" applyFill="true" applyBorder="true" applyNumberFormat="true" applyFont="true"/>
    <xf numFmtId="0" fontId="174" fillId="0" borderId="0" xfId="0" applyFill="true" applyBorder="true" applyNumberFormat="true" applyFont="true"/>
    <xf numFmtId="0" fontId="175" fillId="0" borderId="0" xfId="0" applyFill="true" applyBorder="true" applyNumberFormat="true" applyFont="true"/>
    <xf numFmtId="0" fontId="176" fillId="0" borderId="0" xfId="0" applyFill="true" applyBorder="true" applyNumberFormat="true" applyFont="true"/>
    <xf numFmtId="0" fontId="177" fillId="0" borderId="0" xfId="0" applyFill="true" applyBorder="true" applyNumberFormat="true" applyFont="true"/>
    <xf numFmtId="0" fontId="178" fillId="0" borderId="0" xfId="0" applyFill="true" applyBorder="true" applyNumberFormat="true" applyFont="true"/>
    <xf numFmtId="0" fontId="179" fillId="0" borderId="0" xfId="0" applyFill="true" applyBorder="true" applyNumberFormat="true" applyFont="true"/>
    <xf numFmtId="0" fontId="180" fillId="0" borderId="0" xfId="0" applyFill="true" applyBorder="true" applyNumberFormat="true" applyFont="true"/>
    <xf numFmtId="0" fontId="181" fillId="0" borderId="0" xfId="0" applyFill="true" applyBorder="true" applyNumberFormat="true" applyFont="true"/>
    <xf numFmtId="0" fontId="182" fillId="0" borderId="0" xfId="0" applyFill="true" applyBorder="true" applyNumberFormat="true" applyFont="true"/>
    <xf numFmtId="0" fontId="183" fillId="0" borderId="0" xfId="0" applyFill="true" applyBorder="true" applyNumberFormat="true" applyFont="true"/>
    <xf numFmtId="0" fontId="184" fillId="0" borderId="0" xfId="0" applyFill="true" applyBorder="true" applyNumberFormat="true" applyFont="true"/>
    <xf numFmtId="0" fontId="185" fillId="0" borderId="0" xfId="0" applyFill="true" applyBorder="true" applyNumberFormat="true" applyFont="true"/>
    <xf numFmtId="0" fontId="186" fillId="0" borderId="0" xfId="0" applyFill="true" applyBorder="true" applyNumberFormat="true" applyFont="true"/>
    <xf numFmtId="0" fontId="187" fillId="0" borderId="0" xfId="0" applyFill="true" applyBorder="true" applyNumberFormat="true" applyFont="true"/>
    <xf numFmtId="0" fontId="188" fillId="0" borderId="0" xfId="0" applyFill="true" applyBorder="true" applyNumberFormat="true" applyFont="true"/>
    <xf numFmtId="0" fontId="189" fillId="0" borderId="0" xfId="0" applyFill="true" applyBorder="true" applyNumberFormat="true" applyFont="true"/>
    <xf numFmtId="0" fontId="190" fillId="0" borderId="0" xfId="0" applyFill="true" applyBorder="true" applyNumberFormat="true" applyFont="true"/>
    <xf numFmtId="0" fontId="191" fillId="0" borderId="0" xfId="0" applyFill="true" applyBorder="true" applyNumberFormat="true" applyFont="true"/>
    <xf numFmtId="0" fontId="192" fillId="0" borderId="0" xfId="0" applyFill="true" applyBorder="true" applyNumberFormat="true" applyFont="true"/>
    <xf numFmtId="0" fontId="193" fillId="0" borderId="0" xfId="0" applyFill="true" applyBorder="true" applyNumberFormat="true" applyFont="true"/>
    <xf numFmtId="0" fontId="194" fillId="0" borderId="0" xfId="0" applyFill="true" applyBorder="true" applyNumberFormat="true" applyFont="true"/>
    <xf numFmtId="0" fontId="195" fillId="0" borderId="0" xfId="0" applyFill="true" applyBorder="true" applyNumberFormat="true" applyFont="true"/>
    <xf numFmtId="0" fontId="196" fillId="0" borderId="0" xfId="0" applyFill="true" applyBorder="true" applyNumberFormat="true" applyFont="true"/>
    <xf numFmtId="0" fontId="197" fillId="0" borderId="0" xfId="0" applyFill="true" applyBorder="true" applyNumberFormat="true" applyFont="true"/>
    <xf numFmtId="0" fontId="198" fillId="0" borderId="0" xfId="0" applyFill="true" applyBorder="true" applyNumberFormat="true" applyFont="true"/>
    <xf numFmtId="0" fontId="199" fillId="0" borderId="0" xfId="0" applyFill="true" applyBorder="true" applyNumberFormat="true" applyFont="true"/>
    <xf numFmtId="0" fontId="200" fillId="0" borderId="0" xfId="0" applyFill="true" applyBorder="true" applyNumberFormat="true" applyFont="true"/>
    <xf numFmtId="0" fontId="201" fillId="0" borderId="0" xfId="0" applyFill="true" applyBorder="true" applyNumberFormat="true" applyFont="true"/>
    <xf numFmtId="0" fontId="202" fillId="0" borderId="0" xfId="0" applyFill="true" applyBorder="true" applyNumberFormat="true" applyFont="true"/>
    <xf numFmtId="0" fontId="203" fillId="0" borderId="0" xfId="0" applyFill="true" applyBorder="true" applyNumberFormat="true" applyFont="true"/>
    <xf numFmtId="0" fontId="204" fillId="0" borderId="0" xfId="0" applyFill="true" applyBorder="true" applyNumberFormat="true" applyFont="true"/>
    <xf numFmtId="0" fontId="205" fillId="0" borderId="0" xfId="0" applyFill="true" applyBorder="true" applyNumberFormat="true" applyFont="true"/>
    <xf numFmtId="0" fontId="206" fillId="0" borderId="0" xfId="0" applyFill="true" applyBorder="true" applyNumberFormat="true" applyFont="true"/>
    <xf numFmtId="0" fontId="207" fillId="0" borderId="0" xfId="0" applyFill="true" applyBorder="true" applyNumberFormat="true" applyFont="true"/>
    <xf numFmtId="0" fontId="208" fillId="0" borderId="0" xfId="0" applyFill="true" applyBorder="true" applyNumberFormat="true" applyFont="true"/>
    <xf numFmtId="0" fontId="209" fillId="0" borderId="0" xfId="0" applyFill="true" applyBorder="true" applyNumberFormat="true" applyFont="true"/>
    <xf numFmtId="0" fontId="210" fillId="0" borderId="0" xfId="0" applyFill="true" applyBorder="true" applyNumberFormat="true" applyFont="true"/>
    <xf numFmtId="0" fontId="211" fillId="0" borderId="0" xfId="0" applyFill="true" applyBorder="true" applyNumberFormat="true" applyFont="true"/>
    <xf numFmtId="0" fontId="212" fillId="0" borderId="0" xfId="0" applyFill="true" applyBorder="true" applyNumberFormat="true" applyFont="true"/>
    <xf numFmtId="0" fontId="213" fillId="0" borderId="0" xfId="0" applyFill="true" applyBorder="true" applyNumberFormat="true" applyFont="true"/>
    <xf numFmtId="0" fontId="214" fillId="0" borderId="0" xfId="0" applyFill="true" applyBorder="true" applyNumberFormat="true" applyFont="true"/>
    <xf numFmtId="0" fontId="215" fillId="0" borderId="0" xfId="0" applyFill="true" applyBorder="true" applyNumberFormat="true" applyFont="true"/>
    <xf numFmtId="0" fontId="216" fillId="0" borderId="0" xfId="0" applyFill="true" applyBorder="true" applyNumberFormat="true" applyFont="true"/>
    <xf numFmtId="0" fontId="217" fillId="0" borderId="0" xfId="0" applyFill="true" applyBorder="true" applyNumberFormat="true" applyFont="true"/>
    <xf numFmtId="0" fontId="218" fillId="0" borderId="0" xfId="0" applyFill="true" applyBorder="true" applyNumberFormat="true" applyFont="true"/>
    <xf numFmtId="0" fontId="219" fillId="0" borderId="0" xfId="0" applyFill="true" applyBorder="true" applyNumberFormat="true" applyFont="true"/>
    <xf numFmtId="0" fontId="220" fillId="0" borderId="0" xfId="0" applyFill="true" applyBorder="true" applyNumberFormat="true" applyFont="true"/>
    <xf numFmtId="0" fontId="221" fillId="0" borderId="0" xfId="0" applyFill="true" applyBorder="true" applyNumberFormat="true" applyFont="true"/>
    <xf numFmtId="0" fontId="222" fillId="0" borderId="0" xfId="0" applyFill="true" applyBorder="true" applyNumberFormat="true" applyFont="true"/>
    <xf numFmtId="0" fontId="223" fillId="0" borderId="0" xfId="0" applyFill="true" applyBorder="true" applyNumberFormat="true" applyFont="true"/>
    <xf numFmtId="0" fontId="224" fillId="0" borderId="0" xfId="0" applyFill="true" applyBorder="true" applyNumberFormat="true" applyFont="true"/>
    <xf numFmtId="0" fontId="225" fillId="0" borderId="0" xfId="0" applyFill="true" applyBorder="true" applyNumberFormat="true" applyFont="true"/>
    <xf numFmtId="0" fontId="226" fillId="0" borderId="0" xfId="0" applyFill="true" applyBorder="true" applyNumberFormat="true" applyFont="true"/>
    <xf numFmtId="0" fontId="227" fillId="0" borderId="0" xfId="0" applyFill="true" applyBorder="true" applyNumberFormat="true" applyFont="true"/>
    <xf numFmtId="0" fontId="228" fillId="0" borderId="0" xfId="0" applyFill="true" applyBorder="true" applyNumberFormat="true" applyFont="true"/>
    <xf numFmtId="0" fontId="229" fillId="0" borderId="0" xfId="0" applyFill="true" applyBorder="true" applyNumberFormat="true" applyFont="true"/>
    <xf numFmtId="0" fontId="230" fillId="0" borderId="0" xfId="0" applyFill="true" applyBorder="true" applyNumberFormat="true" applyFont="true"/>
    <xf numFmtId="0" fontId="231" fillId="0" borderId="0" xfId="0" applyFill="true" applyBorder="true" applyNumberFormat="true" applyFont="true"/>
    <xf numFmtId="0" fontId="232" fillId="0" borderId="0" xfId="0" applyFill="true" applyBorder="true" applyNumberFormat="true" applyFont="true"/>
    <xf numFmtId="0" fontId="233" fillId="0" borderId="0" xfId="0" applyFill="true" applyBorder="true" applyNumberFormat="true" applyFont="true"/>
    <xf numFmtId="0" fontId="234" fillId="0" borderId="0" xfId="0" applyFill="true" applyBorder="true" applyNumberFormat="true" applyFont="true"/>
    <xf numFmtId="0" fontId="235" fillId="0" borderId="0" xfId="0" applyFill="true" applyBorder="true" applyNumberFormat="true" applyFont="true"/>
    <xf numFmtId="0" fontId="236" fillId="0" borderId="0" xfId="0" applyFill="true" applyBorder="true" applyNumberFormat="true" applyFont="true"/>
    <xf numFmtId="0" fontId="237" fillId="0" borderId="0" xfId="0" applyFill="true" applyBorder="true" applyNumberFormat="true" applyFont="true"/>
    <xf numFmtId="0" fontId="238" fillId="0" borderId="0" xfId="0" applyFill="true" applyBorder="true" applyNumberFormat="true" applyFont="true"/>
    <xf numFmtId="0" fontId="239" fillId="0" borderId="0" xfId="0" applyFill="true" applyBorder="true" applyNumberFormat="true" applyFont="true"/>
    <xf numFmtId="0" fontId="240" fillId="0" borderId="0" xfId="0" applyFill="true" applyBorder="true" applyNumberFormat="true" applyFont="true"/>
    <xf numFmtId="0" fontId="241" fillId="0" borderId="0" xfId="0" applyFill="true" applyBorder="true" applyNumberFormat="true" applyFont="true"/>
    <xf numFmtId="0" fontId="242" fillId="0" borderId="0" xfId="0" applyFill="true" applyBorder="true" applyNumberFormat="true" applyFont="true"/>
    <xf numFmtId="0" fontId="243" fillId="0" borderId="0" xfId="0" applyFill="true" applyBorder="true" applyNumberFormat="true" applyFont="true"/>
    <xf numFmtId="0" fontId="244" fillId="0" borderId="0" xfId="0" applyFill="true" applyBorder="true" applyNumberFormat="true" applyFont="true"/>
    <xf numFmtId="0" fontId="245" fillId="0" borderId="0" xfId="0" applyFill="true" applyBorder="true" applyNumberFormat="true" applyFont="true"/>
    <xf numFmtId="0" fontId="246" fillId="0" borderId="0" xfId="0" applyFill="true" applyBorder="true" applyNumberFormat="true" applyFont="true"/>
    <xf numFmtId="0" fontId="247" fillId="0" borderId="0" xfId="0" applyFill="true" applyBorder="true" applyNumberFormat="true" applyFont="true"/>
    <xf numFmtId="0" fontId="248" fillId="0" borderId="0" xfId="0" applyFill="true" applyBorder="true" applyNumberFormat="true" applyFont="true"/>
    <xf numFmtId="0" fontId="249" fillId="0" borderId="0" xfId="0" applyFill="true" applyBorder="true" applyNumberFormat="true" applyFont="true"/>
    <xf numFmtId="0" fontId="250" fillId="0" borderId="0" xfId="0" applyFill="true" applyBorder="true" applyNumberFormat="true" applyFont="true"/>
    <xf numFmtId="0" fontId="251" fillId="0" borderId="0" xfId="0" applyFill="true" applyBorder="true" applyNumberFormat="true" applyFont="true"/>
    <xf numFmtId="0" fontId="252" fillId="0" borderId="0" xfId="0" applyFill="true" applyBorder="true" applyNumberFormat="true" applyFont="true"/>
    <xf numFmtId="0" fontId="253" fillId="0" borderId="0" xfId="0" applyFill="true" applyBorder="true" applyNumberFormat="true" applyFont="true"/>
    <xf numFmtId="0" fontId="254" fillId="0" borderId="0" xfId="0" applyFill="true" applyBorder="true" applyNumberFormat="true" applyFont="true"/>
    <xf numFmtId="0" fontId="255" fillId="0" borderId="0" xfId="0" applyFill="true" applyBorder="true" applyNumberFormat="true" applyFont="true"/>
    <xf numFmtId="0" fontId="256" fillId="0" borderId="0" xfId="0" applyFill="true" applyBorder="true" applyNumberFormat="true" applyFont="true"/>
    <xf numFmtId="0" fontId="257" fillId="0" borderId="0" xfId="0" applyFill="true" applyBorder="true" applyNumberFormat="true" applyFont="true"/>
    <xf numFmtId="0" fontId="258" fillId="0" borderId="0" xfId="0" applyFill="true" applyBorder="true" applyNumberFormat="true" applyFont="true"/>
    <xf numFmtId="0" fontId="259" fillId="0" borderId="0" xfId="0" applyFill="true" applyBorder="true" applyNumberFormat="true" applyFont="true"/>
    <xf numFmtId="0" fontId="260" fillId="0" borderId="0" xfId="0" applyFill="true" applyBorder="true" applyNumberFormat="true" applyFont="true"/>
    <xf numFmtId="0" fontId="261" fillId="0" borderId="0" xfId="0" applyFill="true" applyBorder="true" applyNumberFormat="true" applyFont="true"/>
    <xf numFmtId="0" fontId="262" fillId="0" borderId="0" xfId="0" applyFill="true" applyBorder="true" applyNumberFormat="true" applyFont="true"/>
    <xf numFmtId="0" fontId="263" fillId="0" borderId="0" xfId="0" applyFill="true" applyBorder="true" applyNumberFormat="true" applyFont="true"/>
    <xf numFmtId="0" fontId="264" fillId="0" borderId="0" xfId="0" applyFill="true" applyBorder="true" applyNumberFormat="true" applyFont="true"/>
    <xf numFmtId="0" fontId="265" fillId="0" borderId="0" xfId="0" applyFill="true" applyBorder="true" applyNumberFormat="true" applyFont="true"/>
    <xf numFmtId="0" fontId="266" fillId="0" borderId="0" xfId="0" applyFill="true" applyBorder="true" applyNumberFormat="true" applyFont="true"/>
    <xf numFmtId="0" fontId="267" fillId="0" borderId="0" xfId="0" applyFill="true" applyBorder="true" applyNumberFormat="true" applyFont="true"/>
    <xf numFmtId="0" fontId="268" fillId="0" borderId="0" xfId="0" applyFill="true" applyBorder="true" applyNumberFormat="true" applyFont="true"/>
    <xf numFmtId="0" fontId="269" fillId="0" borderId="0" xfId="0" applyFill="true" applyBorder="true" applyNumberFormat="true" applyFont="true"/>
    <xf numFmtId="0" fontId="270" fillId="0" borderId="0" xfId="0" applyFill="true" applyBorder="true" applyNumberFormat="true" applyFont="true"/>
    <xf numFmtId="0" fontId="271" fillId="0" borderId="0" xfId="0" applyFill="true" applyBorder="true" applyNumberFormat="true" applyFont="true"/>
    <xf numFmtId="0" fontId="272" fillId="0" borderId="0" xfId="0" applyFill="true" applyBorder="true" applyNumberFormat="true" applyFont="true"/>
    <xf numFmtId="0" fontId="273" fillId="0" borderId="0" xfId="0" applyFill="true" applyBorder="true" applyNumberFormat="true" applyFont="true"/>
    <xf numFmtId="0" fontId="274" fillId="0" borderId="0" xfId="0" applyFill="true" applyBorder="true" applyNumberFormat="true" applyFont="true"/>
    <xf numFmtId="0" fontId="275" fillId="0" borderId="0" xfId="0" applyFill="true" applyBorder="true" applyNumberFormat="true" applyFont="true"/>
    <xf numFmtId="0" fontId="276" fillId="0" borderId="0" xfId="0" applyFill="true" applyBorder="true" applyNumberFormat="true" applyFont="true"/>
    <xf numFmtId="0" fontId="277" fillId="0" borderId="0" xfId="0" applyFill="true" applyBorder="true" applyNumberFormat="true" applyFont="true"/>
    <xf numFmtId="0" fontId="278" fillId="0" borderId="0" xfId="0" applyFill="true" applyBorder="true" applyNumberFormat="true" applyFont="true"/>
    <xf numFmtId="0" fontId="279" fillId="0" borderId="0" xfId="0" applyFill="true" applyBorder="true" applyNumberFormat="true" applyFont="true"/>
    <xf numFmtId="0" fontId="280" fillId="0" borderId="0" xfId="0" applyFill="true" applyBorder="true" applyNumberFormat="true" applyFont="true"/>
    <xf numFmtId="0" fontId="281" fillId="0" borderId="0" xfId="0" applyFill="true" applyBorder="true" applyNumberFormat="true" applyFont="true"/>
    <xf numFmtId="0" fontId="282" fillId="0" borderId="0" xfId="0" applyFill="true" applyBorder="true" applyNumberFormat="true" applyFont="true"/>
    <xf numFmtId="0" fontId="283" fillId="0" borderId="0" xfId="0" applyFill="true" applyBorder="true" applyNumberFormat="true" applyFont="true"/>
    <xf numFmtId="0" fontId="284" fillId="0" borderId="0" xfId="0" applyFill="true" applyBorder="true" applyNumberFormat="true" applyFont="true"/>
    <xf numFmtId="0" fontId="285" fillId="0" borderId="0" xfId="0" applyFill="true" applyBorder="true" applyNumberFormat="true" applyFont="true"/>
    <xf numFmtId="0" fontId="286" fillId="0" borderId="0" xfId="0" applyFill="true" applyBorder="true" applyNumberFormat="true" applyFont="true"/>
    <xf numFmtId="0" fontId="287" fillId="0" borderId="0" xfId="0" applyFill="true" applyBorder="true" applyNumberFormat="true" applyFont="true"/>
    <xf numFmtId="0" fontId="288" fillId="0" borderId="0" xfId="0" applyFill="true" applyBorder="true" applyNumberFormat="true" applyFont="true"/>
    <xf numFmtId="0" fontId="289" fillId="0" borderId="0" xfId="0" applyFill="true" applyBorder="true" applyNumberFormat="true" applyFont="true"/>
    <xf numFmtId="0" fontId="290" fillId="0" borderId="0" xfId="0" applyFill="true" applyBorder="true" applyNumberFormat="true" applyFont="true"/>
    <xf numFmtId="0" fontId="291" fillId="0" borderId="0" xfId="0" applyFill="true" applyBorder="true" applyNumberFormat="true" applyFont="true"/>
    <xf numFmtId="0" fontId="292" fillId="0" borderId="0" xfId="0" applyFill="true" applyBorder="true" applyNumberFormat="true" applyFont="true"/>
    <xf numFmtId="0" fontId="293" fillId="0" borderId="0" xfId="0" applyFill="true" applyBorder="true" applyNumberFormat="true" applyFont="true"/>
    <xf numFmtId="0" fontId="294" fillId="0" borderId="0" xfId="0" applyFill="true" applyBorder="true" applyNumberFormat="true" applyFont="true"/>
    <xf numFmtId="0" fontId="295" fillId="0" borderId="0" xfId="0" applyFill="true" applyBorder="true" applyNumberFormat="true" applyFont="true"/>
    <xf numFmtId="0" fontId="296" fillId="0" borderId="0" xfId="0" applyFill="true" applyBorder="true" applyNumberFormat="true" applyFont="true"/>
    <xf numFmtId="0" fontId="297" fillId="0" borderId="0" xfId="0" applyFill="true" applyBorder="true" applyNumberFormat="true" applyFont="true"/>
    <xf numFmtId="0" fontId="298" fillId="0" borderId="0" xfId="0" applyFill="true" applyBorder="true" applyNumberFormat="true" applyFont="true"/>
    <xf numFmtId="0" fontId="299" fillId="0" borderId="0" xfId="0" applyFill="true" applyBorder="true" applyNumberFormat="true" applyFont="true"/>
    <xf numFmtId="0" fontId="300" fillId="0" borderId="0" xfId="0" applyFill="true" applyBorder="true" applyNumberFormat="true" applyFont="true"/>
    <xf numFmtId="0" fontId="301" fillId="0" borderId="0" xfId="0" applyFill="true" applyBorder="true" applyNumberFormat="true" applyFont="true"/>
    <xf numFmtId="0" fontId="302" fillId="0" borderId="0" xfId="0" applyFill="true" applyBorder="true" applyNumberFormat="true" applyFont="true"/>
    <xf numFmtId="0" fontId="303" fillId="0" borderId="0" xfId="0" applyFill="true" applyBorder="true" applyNumberFormat="true" applyFont="true"/>
    <xf numFmtId="0" fontId="304" fillId="0" borderId="0" xfId="0" applyFill="true" applyBorder="true" applyNumberFormat="true" applyFont="true"/>
    <xf numFmtId="0" fontId="305" fillId="0" borderId="0" xfId="0" applyFill="true" applyBorder="true" applyNumberFormat="true" applyFont="true"/>
    <xf numFmtId="0" fontId="306" fillId="0" borderId="0" xfId="0" applyFill="true" applyBorder="true" applyNumberFormat="true" applyFont="true"/>
    <xf numFmtId="0" fontId="307" fillId="0" borderId="0" xfId="0" applyFill="true" applyBorder="true" applyNumberFormat="true" applyFont="true"/>
    <xf numFmtId="0" fontId="308" fillId="0" borderId="0" xfId="0" applyFill="true" applyBorder="true" applyNumberFormat="true" applyFont="true"/>
    <xf numFmtId="0" fontId="309" fillId="0" borderId="0" xfId="0" applyFill="true" applyBorder="true" applyNumberFormat="true" applyFont="true"/>
    <xf numFmtId="0" fontId="310" fillId="0" borderId="0" xfId="0" applyFill="true" applyBorder="true" applyNumberFormat="true" applyFont="true"/>
    <xf numFmtId="0" fontId="311" fillId="0" borderId="0" xfId="0" applyFill="true" applyBorder="true" applyNumberFormat="true" applyFont="true"/>
    <xf numFmtId="0" fontId="312" fillId="0" borderId="0" xfId="0" applyFill="true" applyBorder="true" applyNumberFormat="true" applyFont="true"/>
    <xf numFmtId="0" fontId="313" fillId="0" borderId="0" xfId="0" applyFill="true" applyBorder="true" applyNumberFormat="true" applyFont="true"/>
    <xf numFmtId="0" fontId="314" fillId="0" borderId="0" xfId="0" applyFill="true" applyBorder="true" applyNumberFormat="true" applyFont="true"/>
    <xf numFmtId="0" fontId="315" fillId="0" borderId="0" xfId="0" applyFill="true" applyBorder="true" applyNumberFormat="true" applyFont="true"/>
    <xf numFmtId="0" fontId="316" fillId="0" borderId="0" xfId="0" applyFill="true" applyBorder="true" applyNumberFormat="true" applyFont="true"/>
    <xf numFmtId="0" fontId="317" fillId="0" borderId="0" xfId="0" applyFill="true" applyBorder="true" applyNumberFormat="true" applyFont="true"/>
    <xf numFmtId="0" fontId="318" fillId="0" borderId="0" xfId="0" applyFill="true" applyBorder="true" applyNumberFormat="true" applyFont="true"/>
    <xf numFmtId="0" fontId="319" fillId="0" borderId="0" xfId="0" applyFill="true" applyBorder="true" applyNumberFormat="true" applyFont="true"/>
    <xf numFmtId="0" fontId="320" fillId="0" borderId="0" xfId="0" applyFill="true" applyBorder="true" applyNumberFormat="true" applyFont="true"/>
    <xf numFmtId="0" fontId="321" fillId="0" borderId="0" xfId="0" applyFill="true" applyBorder="true" applyNumberFormat="true" applyFont="true"/>
    <xf numFmtId="0" fontId="322" fillId="0" borderId="0" xfId="0" applyFill="true" applyBorder="true" applyNumberFormat="true" applyFont="true"/>
    <xf numFmtId="0" fontId="323" fillId="0" borderId="0" xfId="0" applyFill="true" applyBorder="true" applyNumberFormat="true" applyFont="true"/>
    <xf numFmtId="0" fontId="324" fillId="0" borderId="0" xfId="0" applyFill="true" applyBorder="true" applyNumberFormat="true" applyFont="true"/>
    <xf numFmtId="0" fontId="325" fillId="0" borderId="0" xfId="0" applyFill="true" applyBorder="true" applyNumberFormat="true" applyFont="true"/>
    <xf numFmtId="0" fontId="326" fillId="0" borderId="0" xfId="0" applyFill="true" applyBorder="true" applyNumberFormat="true" applyFont="true"/>
    <xf numFmtId="0" fontId="327" fillId="0" borderId="0" xfId="0" applyFill="true" applyBorder="true" applyNumberFormat="true" applyFont="true"/>
    <xf numFmtId="0" fontId="328" fillId="0" borderId="0" xfId="0" applyFill="true" applyBorder="true" applyNumberFormat="true" applyFont="true"/>
    <xf numFmtId="0" fontId="329" fillId="0" borderId="0" xfId="0" applyFill="true" applyBorder="true" applyNumberFormat="true" applyFont="true"/>
    <xf numFmtId="0" fontId="330" fillId="0" borderId="0" xfId="0" applyFill="true" applyBorder="true" applyNumberFormat="true" applyFont="true"/>
    <xf numFmtId="0" fontId="331" fillId="0" borderId="0" xfId="0" applyFill="true" applyBorder="true" applyNumberFormat="true" applyFont="true"/>
    <xf numFmtId="0" fontId="332" fillId="0" borderId="0" xfId="0" applyFill="true" applyBorder="true" applyNumberFormat="true" applyFont="true"/>
    <xf numFmtId="0" fontId="333" fillId="0" borderId="0" xfId="0" applyFill="true" applyBorder="true" applyNumberFormat="true" applyFont="true"/>
    <xf numFmtId="0" fontId="334" fillId="0" borderId="0" xfId="0" applyFill="true" applyBorder="true" applyNumberFormat="true" applyFont="true"/>
    <xf numFmtId="0" fontId="335" fillId="0" borderId="0" xfId="0" applyFill="true" applyBorder="true" applyNumberFormat="true" applyFont="true"/>
    <xf numFmtId="0" fontId="336" fillId="0" borderId="0" xfId="0" applyFill="true" applyBorder="true" applyNumberFormat="true" applyFont="true"/>
    <xf numFmtId="0" fontId="337" fillId="0" borderId="0" xfId="0" applyFill="true" applyBorder="true" applyNumberFormat="true" applyFont="true"/>
    <xf numFmtId="0" fontId="338" fillId="0" borderId="0" xfId="0" applyFill="true" applyBorder="true" applyNumberFormat="true" applyFont="true"/>
    <xf numFmtId="0" fontId="339" fillId="0" borderId="0" xfId="0" applyFill="true" applyBorder="true" applyNumberFormat="true" applyFont="true"/>
    <xf numFmtId="0" fontId="340" fillId="0" borderId="0" xfId="0" applyFill="true" applyBorder="true" applyNumberFormat="true" applyFont="true"/>
    <xf numFmtId="0" fontId="341" fillId="0" borderId="0" xfId="0" applyFill="true" applyBorder="true" applyNumberFormat="true" applyFont="true"/>
    <xf numFmtId="0" fontId="342" fillId="0" borderId="0" xfId="0" applyFill="true" applyBorder="true" applyNumberFormat="true" applyFont="true"/>
    <xf numFmtId="0" fontId="343" fillId="0" borderId="0" xfId="0" applyFill="true" applyBorder="true" applyNumberFormat="true" applyFont="true"/>
    <xf numFmtId="0" fontId="344" fillId="0" borderId="0" xfId="0" applyFill="true" applyBorder="true" applyNumberFormat="true" applyFont="true"/>
    <xf numFmtId="0" fontId="345" fillId="0" borderId="0" xfId="0" applyFill="true" applyBorder="true" applyNumberFormat="true" applyFont="true"/>
    <xf numFmtId="0" fontId="346" fillId="0" borderId="0" xfId="0" applyFill="true" applyBorder="true" applyNumberFormat="true" applyFont="true"/>
    <xf numFmtId="0" fontId="347" fillId="0" borderId="0" xfId="0" applyFill="true" applyBorder="true" applyNumberFormat="true" applyFont="true"/>
    <xf numFmtId="0" fontId="348" fillId="0" borderId="0" xfId="0" applyFill="true" applyBorder="true" applyNumberFormat="true" applyFont="true"/>
    <xf numFmtId="0" fontId="349" fillId="0" borderId="0" xfId="0" applyFill="true" applyBorder="true" applyNumberFormat="true" applyFont="true"/>
    <xf numFmtId="0" fontId="350" fillId="0" borderId="0" xfId="0" applyFill="true" applyBorder="true" applyNumberFormat="true" applyFont="true"/>
    <xf numFmtId="0" fontId="351" fillId="0" borderId="0" xfId="0" applyFill="true" applyBorder="true" applyNumberFormat="true" applyFont="true"/>
    <xf numFmtId="0" fontId="352" fillId="0" borderId="0" xfId="0" applyFill="true" applyBorder="true" applyNumberFormat="true" applyFont="true"/>
    <xf numFmtId="0" fontId="353" fillId="0" borderId="0" xfId="0" applyFill="true" applyBorder="true" applyNumberFormat="true" applyFont="true"/>
    <xf numFmtId="0" fontId="354" fillId="0" borderId="0" xfId="0" applyFill="true" applyBorder="true" applyNumberFormat="true" applyFont="true"/>
    <xf numFmtId="0" fontId="355" fillId="0" borderId="0" xfId="0" applyFill="true" applyBorder="true" applyNumberFormat="true" applyFont="true"/>
    <xf numFmtId="0" fontId="356" fillId="0" borderId="0" xfId="0" applyFill="true" applyBorder="true" applyNumberFormat="true" applyFont="true"/>
    <xf numFmtId="0" fontId="357" fillId="0" borderId="0" xfId="0" applyFill="true" applyBorder="true" applyNumberFormat="true" applyFont="true"/>
    <xf numFmtId="0" fontId="358" fillId="0" borderId="0" xfId="0" applyFill="true" applyBorder="true" applyNumberFormat="true" applyFont="true"/>
    <xf numFmtId="0" fontId="359" fillId="0" borderId="0" xfId="0" applyFill="true" applyBorder="true" applyNumberFormat="true" applyFont="true"/>
    <xf numFmtId="0" fontId="360" fillId="0" borderId="0" xfId="0" applyFill="true" applyBorder="true" applyNumberFormat="true" applyFont="true"/>
    <xf numFmtId="0" fontId="361" fillId="0" borderId="0" xfId="0" applyFill="true" applyBorder="true" applyNumberFormat="true" applyFont="true"/>
    <xf numFmtId="0" fontId="362" fillId="0" borderId="0" xfId="0" applyFill="true" applyBorder="true" applyNumberFormat="true" applyFont="true"/>
    <xf numFmtId="0" fontId="363" fillId="0" borderId="0" xfId="0" applyFill="true" applyBorder="true" applyNumberFormat="true" applyFont="true"/>
    <xf numFmtId="0" fontId="364" fillId="0" borderId="0" xfId="0" applyFill="true" applyBorder="true" applyNumberFormat="true" applyFont="true"/>
    <xf numFmtId="0" fontId="365" fillId="0" borderId="0" xfId="0" applyFill="true" applyBorder="true" applyNumberFormat="true" applyFont="true"/>
    <xf numFmtId="0" fontId="366" fillId="0" borderId="0" xfId="0" applyFill="true" applyBorder="true" applyNumberFormat="true" applyFont="true"/>
    <xf numFmtId="0" fontId="367" fillId="0" borderId="0" xfId="0" applyFill="true" applyBorder="true" applyNumberFormat="true" applyFont="true"/>
    <xf numFmtId="0" fontId="368" fillId="0" borderId="0" xfId="0" applyFill="true" applyBorder="true" applyNumberFormat="true" applyFont="true"/>
    <xf numFmtId="0" fontId="369" fillId="0" borderId="0" xfId="0" applyFill="true" applyBorder="true" applyNumberFormat="true" applyFont="true"/>
    <xf numFmtId="0" fontId="370" fillId="0" borderId="0" xfId="0" applyFill="true" applyBorder="true" applyNumberFormat="true" applyFont="true"/>
    <xf numFmtId="0" fontId="371" fillId="0" borderId="0" xfId="0" applyFill="true" applyBorder="true" applyNumberFormat="true" applyFont="true"/>
    <xf numFmtId="0" fontId="372" fillId="0" borderId="0" xfId="0" applyFill="true" applyBorder="true" applyNumberFormat="true" applyFont="true"/>
    <xf numFmtId="0" fontId="373" fillId="0" borderId="0" xfId="0" applyFill="true" applyBorder="true" applyNumberFormat="true" applyFont="true"/>
    <xf numFmtId="0" fontId="374" fillId="0" borderId="0" xfId="0" applyFill="true" applyBorder="true" applyNumberFormat="true" applyFont="true"/>
    <xf numFmtId="0" fontId="375" fillId="0" borderId="0" xfId="0" applyFill="true" applyBorder="true" applyNumberFormat="true" applyFont="true"/>
    <xf numFmtId="0" fontId="376" fillId="0" borderId="0" xfId="0" applyFill="true" applyBorder="true" applyNumberFormat="true" applyFont="true"/>
    <xf numFmtId="0" fontId="377" fillId="0" borderId="0" xfId="0" applyFill="true" applyBorder="true" applyNumberFormat="true" applyFont="true"/>
    <xf numFmtId="0" fontId="378" fillId="0" borderId="0" xfId="0" applyFill="true" applyBorder="true" applyNumberFormat="true" applyFont="true"/>
    <xf numFmtId="0" fontId="379" fillId="0" borderId="0" xfId="0" applyFill="true" applyBorder="true" applyNumberFormat="true" applyFont="true"/>
    <xf numFmtId="0" fontId="380" fillId="0" borderId="0" xfId="0" applyFill="true" applyBorder="true" applyNumberFormat="true" applyFont="true"/>
    <xf numFmtId="0" fontId="381" fillId="0" borderId="0" xfId="0" applyFill="true" applyBorder="true" applyNumberFormat="true" applyFont="true"/>
    <xf numFmtId="0" fontId="382" fillId="0" borderId="0" xfId="0" applyFill="true" applyBorder="true" applyNumberFormat="true" applyFont="true"/>
    <xf numFmtId="0" fontId="383" fillId="0" borderId="0" xfId="0" applyFill="true" applyBorder="true" applyNumberFormat="true" applyFont="true"/>
    <xf numFmtId="0" fontId="384" fillId="0" borderId="0" xfId="0" applyFill="true" applyBorder="true" applyNumberFormat="true" applyFont="true"/>
    <xf numFmtId="0" fontId="385" fillId="0" borderId="0" xfId="0" applyFill="true" applyBorder="true" applyNumberFormat="true" applyFont="true"/>
    <xf numFmtId="0" fontId="386" fillId="0" borderId="0" xfId="0" applyFill="true" applyBorder="true" applyNumberFormat="true" applyFont="true"/>
    <xf numFmtId="0" fontId="387" fillId="0" borderId="0" xfId="0" applyFill="true" applyBorder="true" applyNumberFormat="true" applyFont="true"/>
    <xf numFmtId="0" fontId="388" fillId="0" borderId="0" xfId="0" applyFill="true" applyBorder="true" applyNumberFormat="true" applyFont="true"/>
    <xf numFmtId="0" fontId="389" fillId="0" borderId="0" xfId="0" applyFill="true" applyBorder="true" applyNumberFormat="true" applyFont="true"/>
    <xf numFmtId="0" fontId="390" fillId="0" borderId="0" xfId="0" applyFill="true" applyBorder="true" applyNumberFormat="true" applyFont="true"/>
    <xf numFmtId="0" fontId="391" fillId="0" borderId="0" xfId="0" applyFill="true" applyBorder="true" applyNumberFormat="true" applyFont="true"/>
    <xf numFmtId="0" fontId="392" fillId="0" borderId="0" xfId="0" applyFill="true" applyBorder="true" applyNumberFormat="true" applyFont="true"/>
    <xf numFmtId="0" fontId="393" fillId="0" borderId="0" xfId="0" applyFill="true" applyBorder="true" applyNumberFormat="true" applyFont="true"/>
    <xf numFmtId="0" fontId="394" fillId="0" borderId="0" xfId="0" applyFill="true" applyBorder="true" applyNumberFormat="true" applyFont="true"/>
    <xf numFmtId="0" fontId="395" fillId="0" borderId="0" xfId="0" applyFill="true" applyBorder="true" applyNumberFormat="true" applyFont="true"/>
    <xf numFmtId="0" fontId="396" fillId="0" borderId="0" xfId="0" applyFill="true" applyBorder="true" applyNumberFormat="true" applyFont="true"/>
    <xf numFmtId="0" fontId="397" fillId="0" borderId="0" xfId="0" applyFill="true" applyBorder="true" applyNumberFormat="true" applyFont="true"/>
    <xf numFmtId="0" fontId="398" fillId="0" borderId="0" xfId="0" applyFill="true" applyBorder="true" applyNumberFormat="true" applyFont="true"/>
    <xf numFmtId="0" fontId="399" fillId="0" borderId="0" xfId="0" applyFill="true" applyBorder="true" applyNumberFormat="true" applyFont="true"/>
    <xf numFmtId="0" fontId="400" fillId="0" borderId="0" xfId="0" applyFill="true" applyBorder="true" applyNumberFormat="true" applyFont="true"/>
    <xf numFmtId="0" fontId="401" fillId="0" borderId="0" xfId="0" applyFill="true" applyBorder="true" applyNumberFormat="true" applyFont="true"/>
    <xf numFmtId="0" fontId="402" fillId="0" borderId="0" xfId="0" applyFill="true" applyBorder="true" applyNumberFormat="true" applyFont="true"/>
    <xf numFmtId="0" fontId="403" fillId="0" borderId="0" xfId="0" applyFill="true" applyBorder="true" applyNumberFormat="true" applyFont="true"/>
    <xf numFmtId="0" fontId="404" fillId="0" borderId="0" xfId="0" applyFill="true" applyBorder="true" applyNumberFormat="true" applyFont="true"/>
    <xf numFmtId="0" fontId="405" fillId="0" borderId="0" xfId="0" applyFill="true" applyBorder="true" applyNumberFormat="true" applyFont="true"/>
    <xf numFmtId="0" fontId="406" fillId="0" borderId="0" xfId="0" applyFill="true" applyBorder="true" applyNumberFormat="true" applyFont="true"/>
    <xf numFmtId="0" fontId="407" fillId="0" borderId="0" xfId="0" applyFill="true" applyBorder="true" applyNumberFormat="true" applyFont="true"/>
    <xf numFmtId="0" fontId="408" fillId="0" borderId="0" xfId="0" applyFill="true" applyBorder="true" applyNumberFormat="true" applyFont="true"/>
    <xf numFmtId="0" fontId="409" fillId="0" borderId="0" xfId="0" applyFill="true" applyBorder="true" applyNumberFormat="true" applyFont="true"/>
    <xf numFmtId="0" fontId="410" fillId="0" borderId="0" xfId="0" applyFill="true" applyBorder="true" applyNumberFormat="true" applyFont="true"/>
    <xf numFmtId="0" fontId="411" fillId="0" borderId="0" xfId="0" applyFill="true" applyBorder="true" applyNumberFormat="true" applyFont="true"/>
    <xf numFmtId="0" fontId="412" fillId="0" borderId="0" xfId="0" applyFill="true" applyBorder="true" applyNumberFormat="true" applyFont="true"/>
    <xf numFmtId="0" fontId="413" fillId="0" borderId="0" xfId="0" applyFill="true" applyBorder="true" applyNumberFormat="true" applyFont="true"/>
    <xf numFmtId="0" fontId="414" fillId="0" borderId="0" xfId="0" applyFill="true" applyBorder="true" applyNumberFormat="true" applyFont="true"/>
    <xf numFmtId="0" fontId="415" fillId="0" borderId="0" xfId="0" applyFill="true" applyBorder="true" applyNumberFormat="true" applyFont="true"/>
    <xf numFmtId="0" fontId="416" fillId="0" borderId="0" xfId="0" applyFill="true" applyBorder="true" applyNumberFormat="true" applyFont="true"/>
    <xf numFmtId="0" fontId="417" fillId="0" borderId="0" xfId="0" applyFill="true" applyBorder="true" applyNumberFormat="true" applyFont="true"/>
    <xf numFmtId="0" fontId="418" fillId="0" borderId="0" xfId="0" applyFill="true" applyBorder="true" applyNumberFormat="true" applyFont="true"/>
    <xf numFmtId="0" fontId="419" fillId="0" borderId="0" xfId="0" applyFill="true" applyBorder="true" applyNumberFormat="true" applyFont="true"/>
    <xf numFmtId="0" fontId="420" fillId="0" borderId="0" xfId="0" applyFill="true" applyBorder="true" applyNumberFormat="true" applyFont="true"/>
    <xf numFmtId="0" fontId="421" fillId="0" borderId="0" xfId="0" applyFill="true" applyBorder="true" applyNumberFormat="true" applyFont="true"/>
    <xf numFmtId="0" fontId="422" fillId="0" borderId="0" xfId="0" applyFill="true" applyBorder="true" applyNumberFormat="true" applyFont="true"/>
    <xf numFmtId="0" fontId="423" fillId="0" borderId="0" xfId="0" applyFill="true" applyBorder="true" applyNumberFormat="true" applyFont="true"/>
    <xf numFmtId="0" fontId="424" fillId="0" borderId="0" xfId="0" applyFill="true" applyBorder="true" applyNumberFormat="true" applyFont="true"/>
    <xf numFmtId="0" fontId="425" fillId="0" borderId="0" xfId="0" applyFill="true" applyBorder="true" applyNumberFormat="true" applyFont="true"/>
    <xf numFmtId="0" fontId="426" fillId="0" borderId="0" xfId="0" applyFill="true" applyBorder="true" applyNumberFormat="true" applyFont="true"/>
    <xf numFmtId="0" fontId="427" fillId="0" borderId="0" xfId="0" applyFill="true" applyBorder="true" applyNumberFormat="true" applyFont="true"/>
    <xf numFmtId="0" fontId="428" fillId="0" borderId="0" xfId="0" applyFill="true" applyBorder="true" applyNumberFormat="true" applyFont="true"/>
    <xf numFmtId="0" fontId="429" fillId="0" borderId="0" xfId="0" applyFill="true" applyBorder="true" applyNumberFormat="true" applyFont="true"/>
    <xf numFmtId="0" fontId="430" fillId="0" borderId="0" xfId="0" applyFill="true" applyBorder="true" applyNumberFormat="true" applyFont="true"/>
    <xf numFmtId="0" fontId="431" fillId="0" borderId="0" xfId="0" applyFill="true" applyBorder="true" applyNumberFormat="true" applyFont="true"/>
    <xf numFmtId="0" fontId="432" fillId="0" borderId="0" xfId="0" applyFill="true" applyBorder="true" applyNumberFormat="true" applyFont="true"/>
    <xf numFmtId="0" fontId="433" fillId="0" borderId="0" xfId="0" applyFill="true" applyBorder="true" applyNumberFormat="true" applyFont="true"/>
    <xf numFmtId="0" fontId="434" fillId="0" borderId="0" xfId="0" applyFill="true" applyBorder="true" applyNumberFormat="true" applyFont="true"/>
    <xf numFmtId="0" fontId="435" fillId="0" borderId="0" xfId="0" applyFill="true" applyBorder="true" applyNumberFormat="true" applyFont="true"/>
    <xf numFmtId="0" fontId="436" fillId="0" borderId="0" xfId="0" applyFill="true" applyBorder="true" applyNumberFormat="true" applyFont="true"/>
    <xf numFmtId="0" fontId="437" fillId="0" borderId="0" xfId="0" applyFill="true" applyBorder="true" applyNumberFormat="true" applyFont="true"/>
    <xf numFmtId="0" fontId="438" fillId="0" borderId="0" xfId="0" applyFill="true" applyBorder="true" applyNumberFormat="true" applyFont="true"/>
    <xf numFmtId="0" fontId="439" fillId="0" borderId="0" xfId="0" applyFill="true" applyBorder="true" applyNumberFormat="true" applyFont="true"/>
    <xf numFmtId="0" fontId="440" fillId="0" borderId="0" xfId="0" applyFill="true" applyBorder="true" applyNumberFormat="true" applyFont="true"/>
    <xf numFmtId="0" fontId="441" fillId="0" borderId="0" xfId="0" applyFill="true" applyBorder="true" applyNumberFormat="true" applyFont="true"/>
    <xf numFmtId="0" fontId="442" fillId="0" borderId="0" xfId="0" applyFill="true" applyBorder="true" applyNumberFormat="true" applyFont="true"/>
    <xf numFmtId="0" fontId="443" fillId="0" borderId="0" xfId="0" applyFill="true" applyBorder="true" applyNumberFormat="true" applyFont="true"/>
    <xf numFmtId="0" fontId="444" fillId="0" borderId="0" xfId="0" applyFill="true" applyBorder="true" applyNumberFormat="true" applyFont="true"/>
    <xf numFmtId="0" fontId="445" fillId="0" borderId="0" xfId="0" applyFill="true" applyBorder="true" applyNumberFormat="true" applyFont="true"/>
    <xf numFmtId="0" fontId="446" fillId="0" borderId="0" xfId="0" applyFill="true" applyBorder="true" applyNumberFormat="true" applyFont="true"/>
    <xf numFmtId="0" fontId="447" fillId="0" borderId="0" xfId="0" applyFill="true" applyBorder="true" applyNumberFormat="true" applyFont="true"/>
    <xf numFmtId="0" fontId="448" fillId="0" borderId="0" xfId="0" applyFill="true" applyBorder="true" applyNumberFormat="true" applyFont="true"/>
    <xf numFmtId="0" fontId="449" fillId="0" borderId="0" xfId="0" applyFill="true" applyBorder="true" applyNumberFormat="true" applyFont="true"/>
    <xf numFmtId="0" fontId="450" fillId="0" borderId="0" xfId="0" applyFill="true" applyBorder="true" applyNumberFormat="true" applyFont="true"/>
    <xf numFmtId="0" fontId="451" fillId="0" borderId="0" xfId="0" applyFill="true" applyBorder="true" applyNumberFormat="true" applyFont="true"/>
    <xf numFmtId="0" fontId="452" fillId="0" borderId="0" xfId="0" applyFill="true" applyBorder="true" applyNumberFormat="true" applyFont="true"/>
    <xf numFmtId="0" fontId="453" fillId="0" borderId="0" xfId="0" applyFill="true" applyBorder="true" applyNumberFormat="true" applyFont="true"/>
    <xf numFmtId="0" fontId="454" fillId="0" borderId="0" xfId="0" applyFill="true" applyBorder="true" applyNumberFormat="true" applyFont="true"/>
    <xf numFmtId="0" fontId="455" fillId="0" borderId="0" xfId="0" applyFill="true" applyBorder="true" applyNumberFormat="true" applyFont="true"/>
    <xf numFmtId="0" fontId="456" fillId="0" borderId="0" xfId="0" applyFill="true" applyBorder="true" applyNumberFormat="true" applyFont="true"/>
    <xf numFmtId="0" fontId="457" fillId="0" borderId="0" xfId="0" applyFill="true" applyBorder="true" applyNumberFormat="true" applyFont="true"/>
    <xf numFmtId="0" fontId="458" fillId="0" borderId="0" xfId="0" applyFill="true" applyBorder="true" applyNumberFormat="true" applyFont="true"/>
    <xf numFmtId="0" fontId="459" fillId="0" borderId="0" xfId="0" applyFill="true" applyBorder="true" applyNumberFormat="true" applyFont="true"/>
    <xf numFmtId="0" fontId="460" fillId="0" borderId="0" xfId="0" applyFill="true" applyBorder="true" applyNumberFormat="true" applyFont="true"/>
    <xf numFmtId="0" fontId="461" fillId="0" borderId="0" xfId="0" applyFill="true" applyBorder="true" applyNumberFormat="true" applyFont="true"/>
    <xf numFmtId="0" fontId="462" fillId="0" borderId="0" xfId="0" applyFill="true" applyBorder="true" applyNumberFormat="true" applyFont="true"/>
    <xf numFmtId="0" fontId="463" fillId="0" borderId="0" xfId="0" applyFill="true" applyBorder="true" applyNumberFormat="true" applyFont="true"/>
    <xf numFmtId="0" fontId="464" fillId="0" borderId="0" xfId="0" applyFill="true" applyBorder="true" applyNumberFormat="true" applyFont="true"/>
    <xf numFmtId="0" fontId="465" fillId="0" borderId="0" xfId="0" applyFill="true" applyBorder="true" applyNumberFormat="true" applyFont="true"/>
    <xf numFmtId="0" fontId="466" fillId="0" borderId="0" xfId="0" applyFill="true" applyBorder="true" applyNumberFormat="true" applyFont="true"/>
    <xf numFmtId="0" fontId="467" fillId="0" borderId="0" xfId="0" applyFill="true" applyBorder="true" applyNumberFormat="true" applyFont="true"/>
    <xf numFmtId="0" fontId="468" fillId="0" borderId="0" xfId="0" applyFill="true" applyBorder="true" applyNumberFormat="true" applyFont="true"/>
    <xf numFmtId="0" fontId="469" fillId="0" borderId="0" xfId="0" applyFill="true" applyBorder="true" applyNumberFormat="true" applyFont="true"/>
    <xf numFmtId="0" fontId="470" fillId="0" borderId="0" xfId="0" applyFill="true" applyBorder="true" applyNumberFormat="true" applyFont="true"/>
    <xf numFmtId="0" fontId="471" fillId="0" borderId="0" xfId="0" applyFill="true" applyBorder="true" applyNumberFormat="true" applyFont="true"/>
    <xf numFmtId="0" fontId="472" fillId="0" borderId="0" xfId="0" applyFill="true" applyBorder="true" applyNumberFormat="true" applyFont="true"/>
    <xf numFmtId="0" fontId="473" fillId="0" borderId="0" xfId="0" applyFill="true" applyBorder="true" applyNumberFormat="true" applyFont="true"/>
    <xf numFmtId="0" fontId="474" fillId="0" borderId="0" xfId="0" applyFill="true" applyBorder="true" applyNumberFormat="true" applyFont="true"/>
    <xf numFmtId="0" fontId="475" fillId="0" borderId="0" xfId="0" applyFill="true" applyBorder="true" applyNumberFormat="true" applyFont="true"/>
    <xf numFmtId="0" fontId="476" fillId="0" borderId="0" xfId="0" applyFill="true" applyBorder="true" applyNumberFormat="true" applyFont="true"/>
    <xf numFmtId="0" fontId="477" fillId="0" borderId="0" xfId="0" applyFill="true" applyBorder="true" applyNumberFormat="true" applyFont="true"/>
    <xf numFmtId="0" fontId="478" fillId="0" borderId="0" xfId="0" applyFill="true" applyBorder="true" applyNumberFormat="true" applyFont="true"/>
    <xf numFmtId="0" fontId="479" fillId="0" borderId="0" xfId="0" applyFill="true" applyBorder="true" applyNumberFormat="true" applyFont="true"/>
    <xf numFmtId="0" fontId="480" fillId="0" borderId="0" xfId="0" applyFill="true" applyBorder="true" applyNumberFormat="true" applyFont="true"/>
    <xf numFmtId="0" fontId="481" fillId="0" borderId="0" xfId="0" applyFill="true" applyBorder="true" applyNumberFormat="true" applyFont="true"/>
    <xf numFmtId="0" fontId="482" fillId="0" borderId="0" xfId="0" applyFill="true" applyBorder="true" applyNumberFormat="true" applyFont="true"/>
    <xf numFmtId="0" fontId="483" fillId="0" borderId="0" xfId="0" applyFill="true" applyBorder="true" applyNumberFormat="true" applyFont="true"/>
    <xf numFmtId="0" fontId="484" fillId="0" borderId="0" xfId="0" applyFill="true" applyBorder="true" applyNumberFormat="true" applyFont="true"/>
    <xf numFmtId="0" fontId="485" fillId="0" borderId="0" xfId="0" applyFill="true" applyBorder="true" applyNumberFormat="true" applyFont="true"/>
    <xf numFmtId="0" fontId="486" fillId="0" borderId="0" xfId="0" applyFill="true" applyBorder="true" applyNumberFormat="true" applyFont="true"/>
    <xf numFmtId="0" fontId="487" fillId="0" borderId="0" xfId="0" applyFill="true" applyBorder="true" applyNumberFormat="true" applyFont="true"/>
    <xf numFmtId="0" fontId="488" fillId="0" borderId="0" xfId="0" applyFill="true" applyBorder="true" applyNumberFormat="true" applyFont="true"/>
    <xf numFmtId="0" fontId="489" fillId="0" borderId="0" xfId="0" applyFill="true" applyBorder="true" applyNumberFormat="true" applyFont="true"/>
    <xf numFmtId="0" fontId="490" fillId="0" borderId="0" xfId="0" applyFill="true" applyBorder="true" applyNumberFormat="true" applyFont="true"/>
    <xf numFmtId="0" fontId="491" fillId="0" borderId="0" xfId="0" applyFill="true" applyBorder="true" applyNumberFormat="true" applyFont="true"/>
    <xf numFmtId="0" fontId="492" fillId="0" borderId="0" xfId="0" applyFill="true" applyBorder="true" applyNumberFormat="true" applyFont="true"/>
    <xf numFmtId="0" fontId="493" fillId="0" borderId="0" xfId="0" applyFill="true" applyBorder="true" applyNumberFormat="true" applyFont="true"/>
    <xf numFmtId="0" fontId="494" fillId="0" borderId="0" xfId="0" applyFill="true" applyBorder="true" applyNumberFormat="true" applyFont="true"/>
    <xf numFmtId="0" fontId="495" fillId="0" borderId="0" xfId="0" applyFill="true" applyBorder="true" applyNumberFormat="true" applyFont="true"/>
    <xf numFmtId="0" fontId="496" fillId="0" borderId="0" xfId="0" applyFill="true" applyBorder="true" applyNumberFormat="true" applyFont="true"/>
    <xf numFmtId="0" fontId="497" fillId="0" borderId="0" xfId="0" applyFill="true" applyBorder="true" applyNumberFormat="true" applyFont="true"/>
    <xf numFmtId="0" fontId="498" fillId="0" borderId="0" xfId="0" applyFill="true" applyBorder="true" applyNumberFormat="true" applyFont="true"/>
    <xf numFmtId="0" fontId="499" fillId="0" borderId="0" xfId="0" applyFill="true" applyBorder="true" applyNumberFormat="true" applyFont="true"/>
    <xf numFmtId="0" fontId="500" fillId="0" borderId="0" xfId="0" applyFill="true" applyBorder="true" applyNumberFormat="true" applyFont="true"/>
    <xf numFmtId="0" fontId="501" fillId="0" borderId="0" xfId="0" applyFill="true" applyBorder="true" applyNumberFormat="true" applyFont="true"/>
    <xf numFmtId="0" fontId="502" fillId="0" borderId="0" xfId="0" applyFill="true" applyBorder="true" applyNumberFormat="true" applyFont="true"/>
    <xf numFmtId="0" fontId="503" fillId="0" borderId="0" xfId="0" applyFill="true" applyBorder="true" applyNumberFormat="true" applyFont="true"/>
    <xf numFmtId="0" fontId="504" fillId="0" borderId="0" xfId="0" applyFill="true" applyBorder="true" applyNumberFormat="true" applyFont="true"/>
    <xf numFmtId="0" fontId="505" fillId="0" borderId="0" xfId="0" applyFill="true" applyBorder="true" applyNumberFormat="true" applyFont="true"/>
    <xf numFmtId="0" fontId="506" fillId="0" borderId="0" xfId="0" applyFill="true" applyBorder="true" applyNumberFormat="true" applyFont="true"/>
    <xf numFmtId="0" fontId="507" fillId="0" borderId="0" xfId="0" applyFill="true" applyBorder="true" applyNumberFormat="true" applyFont="true"/>
    <xf numFmtId="0" fontId="508" fillId="0" borderId="0" xfId="0" applyFill="true" applyBorder="true" applyNumberFormat="true" applyFont="true"/>
    <xf numFmtId="0" fontId="509" fillId="0" borderId="0" xfId="0" applyFill="true" applyBorder="true" applyNumberFormat="true" applyFont="true"/>
    <xf numFmtId="0" fontId="510" fillId="0" borderId="0" xfId="0" applyFill="true" applyBorder="true" applyNumberFormat="true" applyFont="true"/>
    <xf numFmtId="0" fontId="511" fillId="0" borderId="0" xfId="0" applyFill="true" applyBorder="true" applyNumberFormat="true" applyFont="true"/>
    <xf numFmtId="0" fontId="512" fillId="0" borderId="0" xfId="0" applyFill="true" applyBorder="true" applyNumberFormat="true" applyFont="true"/>
    <xf numFmtId="0" fontId="513" fillId="0" borderId="0" xfId="0" applyFill="true" applyBorder="true" applyNumberFormat="true" applyFont="true"/>
    <xf numFmtId="0" fontId="514" fillId="0" borderId="0" xfId="0" applyFill="true" applyBorder="true" applyNumberFormat="true" applyFont="true"/>
    <xf numFmtId="0" fontId="515" fillId="0" borderId="0" xfId="0" applyFill="true" applyBorder="true" applyNumberFormat="true" applyFont="true"/>
    <xf numFmtId="0" fontId="516" fillId="0" borderId="0" xfId="0" applyFill="true" applyBorder="true" applyNumberFormat="true" applyFont="true"/>
    <xf numFmtId="0" fontId="517" fillId="0" borderId="0" xfId="0" applyFill="true" applyBorder="true" applyNumberFormat="true" applyFont="true"/>
    <xf numFmtId="0" fontId="518" fillId="0" borderId="0" xfId="0" applyFill="true" applyBorder="true" applyNumberFormat="true" applyFont="true"/>
    <xf numFmtId="0" fontId="519" fillId="0" borderId="0" xfId="0" applyFill="true" applyBorder="true" applyNumberFormat="true" applyFont="true"/>
    <xf numFmtId="0" fontId="520" fillId="0" borderId="0" xfId="0" applyFill="true" applyBorder="true" applyNumberFormat="true" applyFont="true"/>
    <xf numFmtId="0" fontId="521" fillId="0" borderId="0" xfId="0" applyFill="true" applyBorder="true" applyNumberFormat="true" applyFont="true"/>
    <xf numFmtId="0" fontId="522" fillId="0" borderId="0" xfId="0" applyFill="true" applyBorder="true" applyNumberFormat="true" applyFont="true"/>
    <xf numFmtId="0" fontId="523" fillId="0" borderId="0" xfId="0" applyFill="true" applyBorder="true" applyNumberFormat="true" applyFont="true"/>
    <xf numFmtId="0" fontId="524" fillId="0" borderId="0" xfId="0" applyFill="true" applyBorder="true" applyNumberFormat="true" applyFont="true"/>
    <xf numFmtId="0" fontId="525" fillId="0" borderId="0" xfId="0" applyFill="true" applyBorder="true" applyNumberFormat="true" applyFont="true"/>
    <xf numFmtId="0" fontId="526" fillId="0" borderId="0" xfId="0" applyFill="true" applyBorder="true" applyNumberFormat="true" applyFont="true"/>
    <xf numFmtId="0" fontId="527" fillId="0" borderId="0" xfId="0" applyFill="true" applyBorder="true" applyNumberFormat="true" applyFont="true"/>
    <xf numFmtId="0" fontId="528" fillId="0" borderId="0" xfId="0" applyFill="true" applyBorder="true" applyNumberFormat="true" applyFont="true"/>
    <xf numFmtId="0" fontId="529" fillId="0" borderId="0" xfId="0" applyFill="true" applyBorder="true" applyNumberFormat="true" applyFont="true"/>
    <xf numFmtId="0" fontId="530" fillId="0" borderId="0" xfId="0" applyFill="true" applyBorder="true" applyNumberFormat="true" applyFont="true"/>
    <xf numFmtId="0" fontId="531" fillId="0" borderId="0" xfId="0" applyFill="true" applyBorder="true" applyNumberFormat="true" applyFont="true"/>
    <xf numFmtId="0" fontId="532" fillId="0" borderId="0" xfId="0" applyFill="true" applyBorder="true" applyNumberFormat="true" applyFont="true"/>
    <xf numFmtId="0" fontId="533" fillId="0" borderId="0" xfId="0" applyFill="true" applyBorder="true" applyNumberFormat="true" applyFont="true"/>
    <xf numFmtId="0" fontId="534" fillId="0" borderId="0" xfId="0" applyFill="true" applyBorder="true" applyNumberFormat="true" applyFont="true"/>
    <xf numFmtId="0" fontId="535" fillId="0" borderId="0" xfId="0" applyFill="true" applyBorder="true" applyNumberFormat="true" applyFont="true"/>
    <xf numFmtId="0" fontId="536" fillId="0" borderId="0" xfId="0" applyFill="true" applyBorder="true" applyNumberFormat="true" applyFont="true"/>
    <xf numFmtId="0" fontId="537" fillId="0" borderId="0" xfId="0" applyFill="true" applyBorder="true" applyNumberFormat="true" applyFont="true"/>
    <xf numFmtId="0" fontId="538" fillId="0" borderId="0" xfId="0" applyFill="true" applyBorder="true" applyNumberFormat="true" applyFont="true"/>
    <xf numFmtId="0" fontId="539" fillId="0" borderId="0" xfId="0" applyFill="true" applyBorder="true" applyNumberFormat="true" applyFont="true"/>
    <xf numFmtId="0" fontId="540" fillId="0" borderId="0" xfId="0" applyFill="true" applyBorder="true" applyNumberFormat="true" applyFont="true"/>
    <xf numFmtId="0" fontId="541" fillId="0" borderId="0" xfId="0" applyFill="true" applyBorder="true" applyNumberFormat="true" applyFont="true"/>
    <xf numFmtId="0" fontId="542" fillId="0" borderId="0" xfId="0" applyFill="true" applyBorder="true" applyNumberFormat="true" applyFont="true"/>
    <xf numFmtId="0" fontId="543" fillId="0" borderId="0" xfId="0" applyFill="true" applyBorder="true" applyNumberFormat="true" applyFont="true"/>
    <xf numFmtId="0" fontId="544" fillId="0" borderId="0" xfId="0" applyFill="true" applyBorder="true" applyNumberFormat="true" applyFont="true"/>
    <xf numFmtId="0" fontId="545" fillId="0" borderId="0" xfId="0" applyFill="true" applyBorder="true" applyNumberFormat="true" applyFont="true"/>
    <xf numFmtId="0" fontId="546" fillId="0" borderId="0" xfId="0" applyFill="true" applyBorder="true" applyNumberFormat="true" applyFont="true"/>
    <xf numFmtId="0" fontId="547" fillId="0" borderId="0" xfId="0" applyFill="true" applyBorder="true" applyNumberFormat="true" applyFont="true"/>
    <xf numFmtId="0" fontId="548" fillId="0" borderId="0" xfId="0" applyFill="true" applyBorder="true" applyNumberFormat="true" applyFont="true"/>
    <xf numFmtId="0" fontId="549" fillId="0" borderId="0" xfId="0" applyFill="true" applyBorder="true" applyNumberFormat="true" applyFont="true"/>
    <xf numFmtId="0" fontId="550" fillId="0" borderId="0" xfId="0" applyFill="true" applyBorder="true" applyNumberFormat="true" applyFont="true"/>
    <xf numFmtId="0" fontId="551" fillId="0" borderId="0" xfId="0" applyFill="true" applyBorder="true" applyNumberFormat="true" applyFont="true"/>
    <xf numFmtId="0" fontId="552" fillId="0" borderId="0" xfId="0" applyFill="true" applyBorder="true" applyNumberFormat="true" applyFont="true"/>
    <xf numFmtId="0" fontId="553" fillId="0" borderId="0" xfId="0" applyFill="true" applyBorder="true" applyNumberFormat="true" applyFont="true"/>
    <xf numFmtId="0" fontId="554" fillId="0" borderId="0" xfId="0" applyFill="true" applyBorder="true" applyNumberFormat="true" applyFont="true"/>
    <xf numFmtId="0" fontId="555" fillId="0" borderId="0" xfId="0" applyFill="true" applyBorder="true" applyNumberFormat="true" applyFont="true"/>
    <xf numFmtId="0" fontId="556" fillId="0" borderId="0" xfId="0" applyFill="true" applyBorder="true" applyNumberFormat="true" applyFont="true"/>
    <xf numFmtId="0" fontId="557" fillId="0" borderId="0" xfId="0" applyFill="true" applyBorder="true" applyNumberFormat="true" applyFont="true"/>
    <xf numFmtId="0" fontId="558" fillId="0" borderId="0" xfId="0" applyFill="true" applyBorder="true" applyNumberFormat="true" applyFont="true"/>
    <xf numFmtId="0" fontId="559" fillId="0" borderId="0" xfId="0" applyFill="true" applyBorder="true" applyNumberFormat="true" applyFont="true"/>
    <xf numFmtId="0" fontId="560" fillId="0" borderId="0" xfId="0" applyFill="true" applyBorder="true" applyNumberFormat="true" applyFont="true"/>
    <xf numFmtId="0" fontId="561" fillId="0" borderId="0" xfId="0" applyFill="true" applyBorder="true" applyNumberFormat="true" applyFont="true"/>
    <xf numFmtId="0" fontId="562" fillId="0" borderId="0" xfId="0" applyFill="true" applyBorder="true" applyNumberFormat="true" applyFont="true"/>
    <xf numFmtId="0" fontId="563" fillId="0" borderId="0" xfId="0" applyFill="true" applyBorder="true" applyNumberFormat="true" applyFont="true"/>
    <xf numFmtId="0" fontId="564" fillId="0" borderId="0" xfId="0" applyFill="true" applyBorder="true" applyNumberFormat="true" applyFont="true"/>
    <xf numFmtId="0" fontId="565" fillId="0" borderId="0" xfId="0" applyFill="true" applyBorder="true" applyNumberFormat="true" applyFont="true"/>
    <xf numFmtId="0" fontId="566" fillId="0" borderId="0" xfId="0" applyFill="true" applyBorder="true" applyNumberFormat="true" applyFont="true"/>
    <xf numFmtId="0" fontId="567" fillId="0" borderId="0" xfId="0" applyFill="true" applyBorder="true" applyNumberFormat="true" applyFont="true"/>
    <xf numFmtId="0" fontId="568" fillId="0" borderId="0" xfId="0" applyFill="true" applyBorder="true" applyNumberFormat="true" applyFont="true"/>
    <xf numFmtId="0" fontId="569" fillId="0" borderId="0" xfId="0" applyFill="true" applyBorder="true" applyNumberFormat="true" applyFont="true"/>
    <xf numFmtId="0" fontId="570" fillId="0" borderId="0" xfId="0" applyFill="true" applyBorder="true" applyNumberFormat="true" applyFont="true"/>
    <xf numFmtId="0" fontId="571" fillId="0" borderId="0" xfId="0" applyFill="true" applyBorder="true" applyNumberFormat="true" applyFont="true"/>
    <xf numFmtId="0" fontId="572" fillId="0" borderId="0" xfId="0" applyFill="true" applyBorder="true" applyNumberFormat="true" applyFont="true"/>
    <xf numFmtId="0" fontId="573" fillId="0" borderId="0" xfId="0" applyFill="true" applyBorder="true" applyNumberFormat="true" applyFont="true"/>
    <xf numFmtId="0" fontId="574" fillId="0" borderId="0" xfId="0" applyFill="true" applyBorder="true" applyNumberFormat="true" applyFont="true"/>
    <xf numFmtId="0" fontId="575" fillId="0" borderId="0" xfId="0" applyFill="true" applyBorder="true" applyNumberFormat="true" applyFont="true"/>
    <xf numFmtId="0" fontId="576" fillId="0" borderId="0" xfId="0" applyFill="true" applyBorder="true" applyNumberFormat="true" applyFont="true"/>
    <xf numFmtId="0" fontId="577" fillId="0" borderId="0" xfId="0" applyFill="true" applyBorder="true" applyNumberFormat="true" applyFont="true"/>
    <xf numFmtId="0" fontId="578" fillId="0" borderId="0" xfId="0" applyFill="true" applyBorder="true" applyNumberFormat="true" applyFont="true"/>
    <xf numFmtId="0" fontId="579" fillId="0" borderId="0" xfId="0" applyFill="true" applyBorder="true" applyNumberFormat="true" applyFont="true"/>
    <xf numFmtId="0" fontId="580" fillId="0" borderId="0" xfId="0" applyFill="true" applyBorder="true" applyNumberFormat="true" applyFont="true"/>
    <xf numFmtId="0" fontId="581" fillId="0" borderId="0" xfId="0" applyFill="true" applyBorder="true" applyNumberFormat="true" applyFont="true"/>
    <xf numFmtId="0" fontId="582" fillId="0" borderId="0" xfId="0" applyFill="true" applyBorder="true" applyNumberFormat="true" applyFont="true"/>
    <xf numFmtId="0" fontId="583" fillId="0" borderId="0" xfId="0" applyFill="true" applyBorder="true" applyNumberFormat="true" applyFont="true"/>
    <xf numFmtId="0" fontId="584" fillId="0" borderId="0" xfId="0" applyFill="true" applyBorder="true" applyNumberFormat="true" applyFont="true"/>
    <xf numFmtId="0" fontId="585" fillId="0" borderId="0" xfId="0" applyFill="true" applyBorder="true" applyNumberFormat="true" applyFont="true"/>
    <xf numFmtId="0" fontId="586" fillId="0" borderId="0" xfId="0" applyFill="true" applyBorder="true" applyNumberFormat="true" applyFont="true"/>
    <xf numFmtId="0" fontId="587" fillId="0" borderId="0" xfId="0" applyFill="true" applyBorder="true" applyNumberFormat="true" applyFont="true"/>
    <xf numFmtId="0" fontId="588" fillId="0" borderId="0" xfId="0" applyFill="true" applyBorder="true" applyNumberFormat="true" applyFont="true"/>
    <xf numFmtId="0" fontId="589" fillId="0" borderId="0" xfId="0" applyFill="true" applyBorder="true" applyNumberFormat="true" applyFont="true"/>
    <xf numFmtId="0" fontId="590" fillId="0" borderId="0" xfId="0" applyFill="true" applyBorder="true" applyNumberFormat="true" applyFont="true"/>
    <xf numFmtId="0" fontId="591" fillId="0" borderId="0" xfId="0" applyFill="true" applyBorder="true" applyNumberFormat="true" applyFont="true"/>
    <xf numFmtId="0" fontId="592" fillId="0" borderId="0" xfId="0" applyFill="true" applyBorder="true" applyNumberFormat="true" applyFont="true"/>
    <xf numFmtId="0" fontId="593" fillId="0" borderId="0" xfId="0" applyFill="true" applyBorder="true" applyNumberFormat="true" applyFont="true"/>
    <xf numFmtId="0" fontId="594" fillId="0" borderId="0" xfId="0" applyFill="true" applyBorder="true" applyNumberFormat="true" applyFont="true"/>
    <xf numFmtId="0" fontId="595" fillId="0" borderId="0" xfId="0" applyFill="true" applyBorder="true" applyNumberFormat="true" applyFont="true"/>
    <xf numFmtId="0" fontId="596" fillId="0" borderId="0" xfId="0" applyFill="true" applyBorder="true" applyNumberFormat="true" applyFont="true"/>
    <xf numFmtId="0" fontId="597" fillId="0" borderId="0" xfId="0" applyFill="true" applyBorder="true" applyNumberFormat="true" applyFont="true"/>
    <xf numFmtId="0" fontId="598" fillId="0" borderId="0" xfId="0" applyFill="true" applyBorder="true" applyNumberFormat="true" applyFont="true"/>
    <xf numFmtId="0" fontId="599" fillId="0" borderId="0" xfId="0" applyFill="true" applyBorder="true" applyNumberFormat="true" applyFont="true"/>
    <xf numFmtId="0" fontId="600" fillId="0" borderId="0" xfId="0" applyFill="true" applyBorder="true" applyNumberFormat="true" applyFont="true"/>
    <xf numFmtId="0" fontId="601" fillId="0" borderId="0" xfId="0" applyFill="true" applyBorder="true" applyNumberFormat="true" applyFont="true"/>
    <xf numFmtId="0" fontId="602" fillId="0" borderId="0" xfId="0" applyFill="true" applyBorder="true" applyNumberFormat="true" applyFont="true"/>
    <xf numFmtId="0" fontId="603" fillId="0" borderId="0" xfId="0" applyFill="true" applyBorder="true" applyNumberFormat="true" applyFont="true"/>
    <xf numFmtId="0" fontId="604" fillId="0" borderId="0" xfId="0" applyFill="true" applyBorder="true" applyNumberFormat="true" applyFont="true"/>
    <xf numFmtId="0" fontId="605" fillId="0" borderId="0" xfId="0" applyFill="true" applyBorder="true" applyNumberFormat="true" applyFont="true"/>
    <xf numFmtId="0" fontId="606" fillId="0" borderId="0" xfId="0" applyFill="true" applyBorder="true" applyNumberFormat="true" applyFont="true"/>
    <xf numFmtId="0" fontId="607" fillId="0" borderId="0" xfId="0" applyFill="true" applyBorder="true" applyNumberFormat="true" applyFont="true"/>
    <xf numFmtId="0" fontId="608" fillId="0" borderId="0" xfId="0" applyFill="true" applyBorder="true" applyNumberFormat="true" applyFont="true"/>
    <xf numFmtId="0" fontId="609" fillId="0" borderId="0" xfId="0" applyFill="true" applyBorder="true" applyNumberFormat="true" applyFont="true"/>
    <xf numFmtId="0" fontId="610" fillId="0" borderId="0" xfId="0" applyFill="true" applyBorder="true" applyNumberFormat="true" applyFont="true"/>
    <xf numFmtId="0" fontId="611" fillId="0" borderId="0" xfId="0" applyFill="true" applyBorder="true" applyNumberFormat="true" applyFont="true"/>
    <xf numFmtId="0" fontId="612" fillId="0" borderId="0" xfId="0" applyFill="true" applyBorder="true" applyNumberFormat="true" applyFont="true"/>
    <xf numFmtId="0" fontId="613" fillId="0" borderId="0" xfId="0" applyFill="true" applyBorder="true" applyNumberFormat="true" applyFont="true"/>
    <xf numFmtId="0" fontId="614" fillId="0" borderId="0" xfId="0" applyFill="true" applyBorder="true" applyNumberFormat="true" applyFont="true"/>
    <xf numFmtId="0" fontId="615" fillId="0" borderId="0" xfId="0" applyFill="true" applyBorder="true" applyNumberFormat="true" applyFont="true"/>
    <xf numFmtId="0" fontId="616" fillId="0" borderId="0" xfId="0" applyFill="true" applyBorder="true" applyNumberFormat="true" applyFont="true"/>
    <xf numFmtId="0" fontId="617" fillId="0" borderId="0" xfId="0" applyFill="true" applyBorder="true" applyNumberFormat="true" applyFont="true"/>
    <xf numFmtId="0" fontId="618" fillId="0" borderId="0" xfId="0" applyFill="true" applyBorder="true" applyNumberFormat="true" applyFont="true"/>
    <xf numFmtId="0" fontId="619" fillId="0" borderId="0" xfId="0" applyFill="true" applyBorder="true" applyNumberFormat="true" applyFont="true"/>
    <xf numFmtId="0" fontId="620" fillId="0" borderId="0" xfId="0" applyFill="true" applyBorder="true" applyNumberFormat="true" applyFont="true"/>
    <xf numFmtId="0" fontId="621" fillId="0" borderId="0" xfId="0" applyFill="true" applyBorder="true" applyNumberFormat="true" applyFont="true"/>
    <xf numFmtId="0" fontId="622" fillId="0" borderId="0" xfId="0" applyFill="true" applyBorder="true" applyNumberFormat="true" applyFont="true"/>
    <xf numFmtId="0" fontId="623" fillId="0" borderId="0" xfId="0" applyFill="true" applyBorder="true" applyNumberFormat="true" applyFont="true"/>
    <xf numFmtId="0" fontId="624" fillId="0" borderId="0" xfId="0" applyFill="true" applyBorder="true" applyNumberFormat="true" applyFont="true"/>
    <xf numFmtId="0" fontId="625" fillId="0" borderId="0" xfId="0" applyFill="true" applyBorder="true" applyNumberFormat="true" applyFont="true"/>
    <xf numFmtId="0" fontId="626" fillId="0" borderId="0" xfId="0" applyFill="true" applyBorder="true" applyNumberFormat="true" applyFont="true"/>
    <xf numFmtId="0" fontId="627" fillId="0" borderId="0" xfId="0" applyFill="true" applyBorder="true" applyNumberFormat="true" applyFont="true"/>
    <xf numFmtId="0" fontId="628" fillId="0" borderId="0" xfId="0" applyFill="true" applyBorder="true" applyNumberFormat="true" applyFont="true"/>
    <xf numFmtId="0" fontId="629" fillId="0" borderId="0" xfId="0" applyFill="true" applyBorder="true" applyNumberFormat="true" applyFont="true"/>
    <xf numFmtId="0" fontId="630" fillId="0" borderId="0" xfId="0" applyFill="true" applyBorder="true" applyNumberFormat="true" applyFont="true"/>
    <xf numFmtId="0" fontId="631" fillId="0" borderId="0" xfId="0" applyFill="true" applyBorder="true" applyNumberFormat="true" applyFont="true"/>
    <xf numFmtId="0" fontId="632" fillId="0" borderId="0" xfId="0" applyFill="true" applyBorder="true" applyNumberFormat="true" applyFont="true"/>
    <xf numFmtId="0" fontId="633" fillId="0" borderId="0" xfId="0" applyFill="true" applyBorder="true" applyNumberFormat="true" applyFont="true"/>
    <xf numFmtId="0" fontId="634" fillId="0" borderId="0" xfId="0" applyFill="true" applyBorder="true" applyNumberFormat="true" applyFont="true"/>
    <xf numFmtId="0" fontId="635" fillId="0" borderId="0" xfId="0" applyFill="true" applyBorder="true" applyNumberFormat="true" applyFont="true"/>
    <xf numFmtId="0" fontId="636" fillId="0" borderId="0" xfId="0" applyFill="true" applyBorder="true" applyNumberFormat="true" applyFont="true"/>
    <xf numFmtId="0" fontId="637" fillId="0" borderId="0" xfId="0" applyFill="true" applyBorder="true" applyNumberFormat="true" applyFont="true"/>
    <xf numFmtId="0" fontId="638" fillId="0" borderId="0" xfId="0" applyFill="true" applyBorder="true" applyNumberFormat="true" applyFont="true"/>
    <xf numFmtId="0" fontId="639" fillId="0" borderId="0" xfId="0" applyFill="true" applyBorder="true" applyNumberFormat="true" applyFont="true"/>
    <xf numFmtId="0" fontId="640" fillId="0" borderId="0" xfId="0" applyFill="true" applyBorder="true" applyNumberFormat="true" applyFont="true"/>
    <xf numFmtId="0" fontId="641" fillId="0" borderId="0" xfId="0" applyFill="true" applyBorder="true" applyNumberFormat="true" applyFont="true"/>
    <xf numFmtId="0" fontId="642" fillId="0" borderId="0" xfId="0" applyFill="true" applyBorder="true" applyNumberFormat="true" applyFont="true"/>
    <xf numFmtId="0" fontId="643" fillId="0" borderId="0" xfId="0" applyFill="true" applyBorder="true" applyNumberFormat="true" applyFont="true"/>
    <xf numFmtId="0" fontId="644" fillId="0" borderId="0" xfId="0" applyFill="true" applyBorder="true" applyNumberFormat="true" applyFont="true"/>
    <xf numFmtId="0" fontId="645" fillId="0" borderId="0" xfId="0" applyFill="true" applyBorder="true" applyNumberFormat="true" applyFont="true"/>
    <xf numFmtId="0" fontId="646" fillId="0" borderId="0" xfId="0" applyFill="true" applyBorder="true" applyNumberFormat="true" applyFont="true"/>
    <xf numFmtId="0" fontId="647" fillId="0" borderId="0" xfId="0" applyFill="true" applyBorder="true" applyNumberFormat="true" applyFont="true"/>
    <xf numFmtId="0" fontId="648" fillId="0" borderId="0" xfId="0" applyFill="true" applyBorder="true" applyNumberFormat="true" applyFont="true"/>
    <xf numFmtId="0" fontId="649" fillId="0" borderId="0" xfId="0" applyFill="true" applyBorder="true" applyNumberFormat="true" applyFont="true"/>
    <xf numFmtId="0" fontId="650" fillId="0" borderId="0" xfId="0" applyFill="true" applyBorder="true" applyNumberFormat="true" applyFont="true"/>
    <xf numFmtId="0" fontId="651" fillId="0" borderId="0" xfId="0" applyFill="true" applyBorder="true" applyNumberFormat="true" applyFont="true"/>
    <xf numFmtId="0" fontId="652" fillId="0" borderId="0" xfId="0" applyFill="true" applyBorder="true" applyNumberFormat="true" applyFont="true"/>
    <xf numFmtId="0" fontId="653" fillId="0" borderId="0" xfId="0" applyFill="true" applyBorder="true" applyNumberFormat="true" applyFont="true"/>
    <xf numFmtId="0" fontId="654" fillId="0" borderId="0" xfId="0" applyFill="true" applyBorder="true" applyNumberFormat="true" applyFont="true"/>
    <xf numFmtId="0" fontId="655" fillId="0" borderId="0" xfId="0" applyFill="true" applyBorder="true" applyNumberFormat="true" applyFont="true"/>
    <xf numFmtId="0" fontId="656" fillId="0" borderId="0" xfId="0" applyFill="true" applyBorder="true" applyNumberFormat="true" applyFont="true"/>
    <xf numFmtId="0" fontId="657" fillId="0" borderId="0" xfId="0" applyFill="true" applyBorder="true" applyNumberFormat="true" applyFont="true"/>
    <xf numFmtId="0" fontId="658" fillId="0" borderId="0" xfId="0" applyFill="true" applyBorder="true" applyNumberFormat="true" applyFont="true"/>
    <xf numFmtId="0" fontId="659" fillId="0" borderId="0" xfId="0" applyFill="true" applyBorder="true" applyNumberFormat="true" applyFont="true"/>
    <xf numFmtId="0" fontId="660" fillId="0" borderId="0" xfId="0" applyFill="true" applyBorder="true" applyNumberFormat="true" applyFont="true"/>
    <xf numFmtId="0" fontId="661" fillId="0" borderId="0" xfId="0" applyFill="true" applyBorder="true" applyNumberFormat="true" applyFont="true"/>
    <xf numFmtId="0" fontId="662" fillId="0" borderId="0" xfId="0" applyFill="true" applyBorder="true" applyNumberFormat="true" applyFont="true"/>
    <xf numFmtId="0" fontId="663" fillId="0" borderId="0" xfId="0" applyFill="true" applyBorder="true" applyNumberFormat="true" applyFont="true"/>
    <xf numFmtId="0" fontId="664" fillId="0" borderId="0" xfId="0" applyFill="true" applyBorder="true" applyNumberFormat="true" applyFont="true"/>
    <xf numFmtId="0" fontId="665" fillId="0" borderId="0" xfId="0" applyFill="true" applyBorder="true" applyNumberFormat="true" applyFont="true"/>
    <xf numFmtId="0" fontId="666" fillId="0" borderId="0" xfId="0" applyFill="true" applyBorder="true" applyNumberFormat="true" applyFont="true"/>
    <xf numFmtId="0" fontId="667" fillId="0" borderId="0" xfId="0" applyFill="true" applyBorder="true" applyNumberFormat="true" applyFont="true"/>
    <xf numFmtId="0" fontId="668" fillId="0" borderId="0" xfId="0" applyFill="true" applyBorder="true" applyNumberFormat="true" applyFont="true"/>
    <xf numFmtId="0" fontId="669" fillId="0" borderId="0" xfId="0" applyFill="true" applyBorder="true" applyNumberFormat="true" applyFont="true"/>
    <xf numFmtId="0" fontId="670" fillId="0" borderId="0" xfId="0" applyFill="true" applyBorder="true" applyNumberFormat="true" applyFont="true"/>
    <xf numFmtId="0" fontId="671" fillId="0" borderId="0" xfId="0" applyFill="true" applyBorder="true" applyNumberFormat="true" applyFont="true"/>
    <xf numFmtId="0" fontId="672" fillId="0" borderId="0" xfId="0" applyFill="true" applyBorder="true" applyNumberFormat="true" applyFont="true"/>
    <xf numFmtId="0" fontId="673" fillId="0" borderId="0" xfId="0" applyFill="true" applyBorder="true" applyNumberFormat="true" applyFont="true"/>
    <xf numFmtId="0" fontId="674" fillId="0" borderId="0" xfId="0" applyFill="true" applyBorder="true" applyNumberFormat="true" applyFont="true"/>
    <xf numFmtId="0" fontId="675" fillId="0" borderId="0" xfId="0" applyFill="true" applyBorder="true" applyNumberFormat="true" applyFont="true"/>
    <xf numFmtId="0" fontId="676" fillId="0" borderId="0" xfId="0" applyFill="true" applyBorder="true" applyNumberFormat="true" applyFont="true"/>
    <xf numFmtId="0" fontId="677" fillId="0" borderId="0" xfId="0" applyFill="true" applyBorder="true" applyNumberFormat="true" applyFont="true"/>
    <xf numFmtId="0" fontId="678" fillId="0" borderId="0" xfId="0" applyFill="true" applyBorder="true" applyNumberFormat="true" applyFont="true"/>
    <xf numFmtId="0" fontId="679" fillId="0" borderId="0" xfId="0" applyFill="true" applyBorder="true" applyNumberFormat="true" applyFont="true"/>
    <xf numFmtId="0" fontId="680" fillId="0" borderId="0" xfId="0" applyFill="true" applyBorder="true" applyNumberFormat="true" applyFont="true"/>
    <xf numFmtId="0" fontId="681" fillId="0" borderId="0" xfId="0" applyFill="true" applyBorder="true" applyNumberFormat="true" applyFont="true"/>
    <xf numFmtId="0" fontId="682" fillId="0" borderId="0" xfId="0" applyFill="true" applyBorder="true" applyNumberFormat="true" applyFont="true"/>
    <xf numFmtId="0" fontId="683" fillId="0" borderId="0" xfId="0" applyFill="true" applyBorder="true" applyNumberFormat="true" applyFont="true"/>
    <xf numFmtId="0" fontId="684" fillId="0" borderId="0" xfId="0" applyFill="true" applyBorder="true" applyNumberFormat="true" applyFont="true"/>
    <xf numFmtId="0" fontId="685" fillId="0" borderId="0" xfId="0" applyFill="true" applyBorder="true" applyNumberFormat="true" applyFont="true"/>
    <xf numFmtId="0" fontId="686" fillId="0" borderId="0" xfId="0" applyFill="true" applyBorder="true" applyNumberFormat="true" applyFont="true"/>
    <xf numFmtId="0" fontId="687" fillId="0" borderId="0" xfId="0" applyFill="true" applyBorder="true" applyNumberFormat="true" applyFont="true"/>
    <xf numFmtId="0" fontId="688" fillId="0" borderId="0" xfId="0" applyFill="true" applyBorder="true" applyNumberFormat="true" applyFont="true"/>
    <xf numFmtId="0" fontId="689" fillId="0" borderId="0" xfId="0" applyFill="true" applyBorder="true" applyNumberFormat="true" applyFont="true"/>
    <xf numFmtId="0" fontId="690" fillId="0" borderId="0" xfId="0" applyFill="true" applyBorder="true" applyNumberFormat="true" applyFont="true"/>
    <xf numFmtId="0" fontId="691" fillId="0" borderId="0" xfId="0" applyFill="true" applyBorder="true" applyNumberFormat="true" applyFont="true"/>
    <xf numFmtId="0" fontId="692" fillId="0" borderId="0" xfId="0" applyFill="true" applyBorder="true" applyNumberFormat="true" applyFont="true"/>
    <xf numFmtId="0" fontId="693" fillId="0" borderId="0" xfId="0" applyFill="true" applyBorder="true" applyNumberFormat="true" applyFont="true"/>
    <xf numFmtId="0" fontId="694" fillId="0" borderId="0" xfId="0" applyFill="true" applyBorder="true" applyNumberFormat="true" applyFont="true"/>
    <xf numFmtId="0" fontId="695" fillId="0" borderId="0" xfId="0" applyFill="true" applyBorder="true" applyNumberFormat="true" applyFont="true"/>
    <xf numFmtId="0" fontId="696" fillId="0" borderId="0" xfId="0" applyFill="true" applyBorder="true" applyNumberFormat="true" applyFont="true"/>
    <xf numFmtId="0" fontId="697" fillId="0" borderId="0" xfId="0" applyFill="true" applyBorder="true" applyNumberFormat="true" applyFont="true"/>
    <xf numFmtId="0" fontId="698" fillId="0" borderId="0" xfId="0" applyFill="true" applyBorder="true" applyNumberFormat="true" applyFont="true"/>
    <xf numFmtId="0" fontId="699" fillId="0" borderId="0" xfId="0" applyFill="true" applyBorder="true" applyNumberFormat="true" applyFont="true"/>
    <xf numFmtId="0" fontId="700" fillId="0" borderId="0" xfId="0" applyFill="true" applyBorder="true" applyNumberFormat="true" applyFont="true"/>
    <xf numFmtId="0" fontId="701" fillId="0" borderId="0" xfId="0" applyFill="true" applyBorder="true" applyNumberFormat="true" applyFont="true"/>
    <xf numFmtId="0" fontId="702" fillId="0" borderId="0" xfId="0" applyFill="true" applyBorder="true" applyNumberFormat="true" applyFont="true"/>
    <xf numFmtId="0" fontId="703" fillId="0" borderId="0" xfId="0" applyFill="true" applyBorder="true" applyNumberFormat="true" applyFont="true"/>
    <xf numFmtId="0" fontId="704" fillId="0" borderId="0" xfId="0" applyFill="true" applyBorder="true" applyNumberFormat="true" applyFont="true"/>
    <xf numFmtId="0" fontId="705" fillId="0" borderId="0" xfId="0" applyFill="true" applyBorder="true" applyNumberFormat="true" applyFont="true"/>
    <xf numFmtId="0" fontId="706" fillId="0" borderId="0" xfId="0" applyFill="true" applyBorder="true" applyNumberFormat="true" applyFont="true"/>
    <xf numFmtId="0" fontId="707" fillId="0" borderId="0" xfId="0" applyFill="true" applyBorder="true" applyNumberFormat="true" applyFont="true"/>
    <xf numFmtId="0" fontId="708" fillId="0" borderId="0" xfId="0" applyFill="true" applyBorder="true" applyNumberFormat="true" applyFont="true"/>
    <xf numFmtId="0" fontId="709" fillId="0" borderId="0" xfId="0" applyFill="true" applyBorder="true" applyNumberFormat="true" applyFont="true"/>
    <xf numFmtId="0" fontId="710" fillId="0" borderId="0" xfId="0" applyFill="true" applyBorder="true" applyNumberFormat="true" applyFont="true"/>
    <xf numFmtId="0" fontId="711" fillId="0" borderId="0" xfId="0" applyFill="true" applyBorder="true" applyNumberFormat="true" applyFont="true"/>
    <xf numFmtId="0" fontId="712" fillId="0" borderId="0" xfId="0" applyFill="true" applyBorder="true" applyNumberFormat="true" applyFont="true"/>
    <xf numFmtId="0" fontId="713" fillId="0" borderId="0" xfId="0" applyFill="true" applyBorder="true" applyNumberFormat="true" applyFont="true"/>
    <xf numFmtId="0" fontId="714" fillId="0" borderId="0" xfId="0" applyFill="true" applyBorder="true" applyNumberFormat="true" applyFont="true"/>
    <xf numFmtId="0" fontId="715" fillId="0" borderId="0" xfId="0" applyFill="true" applyBorder="true" applyNumberFormat="true" applyFont="true"/>
    <xf numFmtId="0" fontId="716" fillId="0" borderId="0" xfId="0" applyFill="true" applyBorder="true" applyNumberFormat="true" applyFont="true"/>
    <xf numFmtId="0" fontId="717" fillId="0" borderId="0" xfId="0" applyFill="true" applyBorder="true" applyNumberFormat="true" applyFont="true"/>
    <xf numFmtId="0" fontId="718" fillId="0" borderId="0" xfId="0" applyFill="true" applyBorder="true" applyNumberFormat="true" applyFont="true"/>
    <xf numFmtId="0" fontId="719" fillId="0" borderId="0" xfId="0" applyFill="true" applyBorder="true" applyNumberFormat="true" applyFont="true"/>
    <xf numFmtId="0" fontId="720" fillId="0" borderId="0" xfId="0" applyFill="true" applyBorder="true" applyNumberFormat="true" applyFont="true"/>
    <xf numFmtId="0" fontId="721" fillId="0" borderId="0" xfId="0" applyFill="true" applyBorder="true" applyNumberFormat="true" applyFont="true"/>
    <xf numFmtId="0" fontId="722" fillId="0" borderId="0" xfId="0" applyFill="true" applyBorder="true" applyNumberFormat="true" applyFont="true"/>
    <xf numFmtId="0" fontId="723" fillId="0" borderId="0" xfId="0" applyFill="true" applyBorder="true" applyNumberFormat="true" applyFont="true"/>
    <xf numFmtId="0" fontId="724" fillId="0" borderId="0" xfId="0" applyFill="true" applyBorder="true" applyNumberFormat="true" applyFont="true"/>
    <xf numFmtId="0" fontId="725" fillId="0" borderId="0" xfId="0" applyFill="true" applyBorder="true" applyNumberFormat="true" applyFont="true"/>
    <xf numFmtId="0" fontId="726" fillId="0" borderId="0" xfId="0" applyFill="true" applyBorder="true" applyNumberFormat="true" applyFont="true"/>
    <xf numFmtId="0" fontId="727" fillId="0" borderId="0" xfId="0" applyFill="true" applyBorder="true" applyNumberFormat="true" applyFont="true"/>
    <xf numFmtId="0" fontId="728" fillId="0" borderId="0" xfId="0" applyFill="true" applyBorder="true" applyNumberFormat="true" applyFont="true"/>
    <xf numFmtId="0" fontId="729" fillId="0" borderId="0" xfId="0" applyFill="true" applyBorder="true" applyNumberFormat="true" applyFont="true"/>
    <xf numFmtId="0" fontId="730" fillId="0" borderId="0" xfId="0" applyFill="true" applyBorder="true" applyNumberFormat="true" applyFont="true"/>
    <xf numFmtId="0" fontId="731" fillId="0" borderId="0" xfId="0" applyFill="true" applyBorder="true" applyNumberFormat="true" applyFont="true"/>
    <xf numFmtId="0" fontId="732" fillId="0" borderId="0" xfId="0" applyFill="true" applyBorder="true" applyNumberFormat="true" applyFont="true"/>
    <xf numFmtId="0" fontId="733" fillId="0" borderId="0" xfId="0" applyFill="true" applyBorder="true" applyNumberFormat="true" applyFont="true"/>
    <xf numFmtId="0" fontId="734" fillId="0" borderId="0" xfId="0" applyFill="true" applyBorder="true" applyNumberFormat="true" applyFont="true"/>
    <xf numFmtId="0" fontId="735" fillId="0" borderId="0" xfId="0" applyFill="true" applyBorder="true" applyNumberFormat="true" applyFont="true"/>
    <xf numFmtId="0" fontId="736" fillId="0" borderId="0" xfId="0" applyFill="true" applyBorder="true" applyNumberFormat="true" applyFont="true"/>
    <xf numFmtId="0" fontId="737" fillId="0" borderId="0" xfId="0" applyFill="true" applyBorder="true" applyNumberFormat="true" applyFont="true"/>
    <xf numFmtId="0" fontId="738" fillId="0" borderId="0" xfId="0" applyFill="true" applyBorder="true" applyNumberFormat="true" applyFont="true"/>
    <xf numFmtId="0" fontId="739" fillId="0" borderId="0" xfId="0" applyFill="true" applyBorder="true" applyNumberFormat="true" applyFont="true"/>
    <xf numFmtId="0" fontId="740" fillId="0" borderId="0" xfId="0" applyFill="true" applyBorder="true" applyNumberFormat="true" applyFont="true"/>
    <xf numFmtId="0" fontId="741" fillId="0" borderId="0" xfId="0" applyFill="true" applyBorder="true" applyNumberFormat="true" applyFont="true"/>
    <xf numFmtId="0" fontId="742" fillId="0" borderId="0" xfId="0" applyFill="true" applyBorder="true" applyNumberFormat="true" applyFont="true"/>
    <xf numFmtId="0" fontId="743" fillId="0" borderId="0" xfId="0" applyFill="true" applyBorder="true" applyNumberFormat="true" applyFont="true"/>
    <xf numFmtId="0" fontId="744" fillId="0" borderId="0" xfId="0" applyFill="true" applyBorder="true" applyNumberFormat="true" applyFont="true"/>
    <xf numFmtId="0" fontId="745" fillId="0" borderId="0" xfId="0" applyFill="true" applyBorder="true" applyNumberFormat="true" applyFont="true"/>
    <xf numFmtId="0" fontId="746" fillId="0" borderId="0" xfId="0" applyFill="true" applyBorder="true" applyNumberFormat="true" applyFont="true"/>
    <xf numFmtId="0" fontId="747" fillId="0" borderId="0" xfId="0" applyFill="true" applyBorder="true" applyNumberFormat="true" applyFont="true"/>
    <xf numFmtId="0" fontId="748" fillId="0" borderId="0" xfId="0" applyFill="true" applyBorder="true" applyNumberFormat="true" applyFont="true"/>
    <xf numFmtId="0" fontId="749" fillId="0" borderId="0" xfId="0" applyFill="true" applyBorder="true" applyNumberFormat="true" applyFont="true"/>
    <xf numFmtId="0" fontId="750" fillId="0" borderId="0" xfId="0" applyFill="true" applyBorder="true" applyNumberFormat="true" applyFont="true"/>
    <xf numFmtId="0" fontId="751" fillId="0" borderId="0" xfId="0" applyFill="true" applyBorder="true" applyNumberFormat="true" applyFont="true"/>
    <xf numFmtId="0" fontId="752" fillId="0" borderId="0" xfId="0" applyFill="true" applyBorder="true" applyNumberFormat="true" applyFont="true"/>
    <xf numFmtId="0" fontId="753" fillId="0" borderId="0" xfId="0" applyFill="true" applyBorder="true" applyNumberFormat="true" applyFont="true"/>
    <xf numFmtId="0" fontId="754" fillId="0" borderId="0" xfId="0" applyFill="true" applyBorder="true" applyNumberFormat="true" applyFont="true"/>
    <xf numFmtId="0" fontId="755" fillId="0" borderId="0" xfId="0" applyFill="true" applyBorder="true" applyNumberFormat="true" applyFont="true"/>
    <xf numFmtId="0" fontId="756" fillId="0" borderId="0" xfId="0" applyFill="true" applyBorder="true" applyNumberFormat="true" applyFont="true"/>
    <xf numFmtId="0" fontId="757" fillId="0" borderId="0" xfId="0" applyFill="true" applyBorder="true" applyNumberFormat="true" applyFont="true"/>
    <xf numFmtId="0" fontId="758" fillId="0" borderId="0" xfId="0" applyFill="true" applyBorder="true" applyNumberFormat="true" applyFont="true"/>
    <xf numFmtId="0" fontId="759" fillId="0" borderId="0" xfId="0" applyFill="true" applyBorder="true" applyNumberFormat="true" applyFont="true"/>
    <xf numFmtId="0" fontId="760" fillId="0" borderId="0" xfId="0" applyFill="true" applyBorder="true" applyNumberFormat="true" applyFont="true"/>
    <xf numFmtId="0" fontId="761" fillId="0" borderId="0" xfId="0" applyFill="true" applyBorder="true" applyNumberFormat="true" applyFont="true"/>
    <xf numFmtId="0" fontId="762" fillId="0" borderId="0" xfId="0" applyFill="true" applyBorder="true" applyNumberFormat="true" applyFont="true"/>
    <xf numFmtId="0" fontId="763" fillId="0" borderId="0" xfId="0" applyFill="true" applyBorder="true" applyNumberFormat="true" applyFont="true"/>
    <xf numFmtId="0" fontId="764" fillId="0" borderId="0" xfId="0" applyFill="true" applyBorder="true" applyNumberFormat="true" applyFont="true"/>
    <xf numFmtId="0" fontId="765" fillId="0" borderId="0" xfId="0" applyFill="true" applyBorder="true" applyNumberFormat="true" applyFont="true"/>
    <xf numFmtId="0" fontId="766" fillId="0" borderId="0" xfId="0" applyFill="true" applyBorder="true" applyNumberFormat="true" applyFont="true"/>
    <xf numFmtId="0" fontId="767" fillId="0" borderId="0" xfId="0" applyFill="true" applyBorder="true" applyNumberFormat="true" applyFont="true"/>
    <xf numFmtId="0" fontId="768" fillId="0" borderId="0" xfId="0" applyFill="true" applyBorder="true" applyNumberFormat="true" applyFont="true"/>
    <xf numFmtId="0" fontId="769" fillId="0" borderId="0" xfId="0" applyFill="true" applyBorder="true" applyNumberFormat="true" applyFont="true"/>
    <xf numFmtId="0" fontId="770" fillId="0" borderId="0" xfId="0" applyFill="true" applyBorder="true" applyNumberFormat="true" applyFont="true"/>
    <xf numFmtId="0" fontId="771" fillId="0" borderId="0" xfId="0" applyFill="true" applyBorder="true" applyNumberFormat="true" applyFont="true"/>
    <xf numFmtId="0" fontId="772" fillId="0" borderId="0" xfId="0" applyFill="true" applyBorder="true" applyNumberFormat="true" applyFont="true"/>
    <xf numFmtId="0" fontId="773" fillId="0" borderId="0" xfId="0" applyFill="true" applyBorder="true" applyNumberFormat="true" applyFont="true"/>
    <xf numFmtId="0" fontId="774" fillId="0" borderId="0" xfId="0" applyFill="true" applyBorder="true" applyNumberFormat="true" applyFont="true"/>
    <xf numFmtId="0" fontId="775" fillId="0" borderId="0" xfId="0" applyFill="true" applyBorder="true" applyNumberFormat="true" applyFont="true"/>
    <xf numFmtId="0" fontId="776" fillId="0" borderId="0" xfId="0" applyFill="true" applyBorder="true" applyNumberFormat="true" applyFont="true"/>
    <xf numFmtId="0" fontId="777" fillId="0" borderId="0" xfId="0" applyFill="true" applyBorder="true" applyNumberFormat="true" applyFont="true"/>
    <xf numFmtId="0" fontId="778" fillId="0" borderId="0" xfId="0" applyFill="true" applyBorder="true" applyNumberFormat="true" applyFont="true"/>
    <xf numFmtId="0" fontId="779" fillId="0" borderId="0" xfId="0" applyFill="true" applyBorder="true" applyNumberFormat="true" applyFont="true"/>
    <xf numFmtId="0" fontId="780" fillId="0" borderId="0" xfId="0" applyFill="true" applyBorder="true" applyNumberFormat="true" applyFont="true"/>
    <xf numFmtId="0" fontId="781" fillId="0" borderId="0" xfId="0" applyFill="true" applyBorder="true" applyNumberFormat="true" applyFont="true"/>
    <xf numFmtId="0" fontId="782" fillId="0" borderId="0" xfId="0" applyFill="true" applyBorder="true" applyNumberFormat="true" applyFont="true"/>
    <xf numFmtId="0" fontId="783" fillId="0" borderId="0" xfId="0" applyFill="true" applyBorder="true" applyNumberFormat="true" applyFont="true"/>
    <xf numFmtId="0" fontId="784" fillId="0" borderId="0" xfId="0" applyFill="true" applyBorder="true" applyNumberFormat="true" applyFont="true"/>
    <xf numFmtId="0" fontId="785" fillId="0" borderId="0" xfId="0" applyFill="true" applyBorder="true" applyNumberFormat="true" applyFont="true"/>
    <xf numFmtId="0" fontId="786" fillId="0" borderId="0" xfId="0" applyFill="true" applyBorder="true" applyNumberFormat="true" applyFont="true"/>
    <xf numFmtId="0" fontId="787" fillId="0" borderId="0" xfId="0" applyFill="true" applyBorder="true" applyNumberFormat="true" applyFont="true"/>
    <xf numFmtId="0" fontId="788" fillId="0" borderId="0" xfId="0" applyFill="true" applyBorder="true" applyNumberFormat="true" applyFont="true"/>
    <xf numFmtId="0" fontId="789" fillId="0" borderId="0" xfId="0" applyFill="true" applyBorder="true" applyNumberFormat="true" applyFont="true"/>
    <xf numFmtId="0" fontId="790" fillId="0" borderId="0" xfId="0" applyFill="true" applyBorder="true" applyNumberFormat="true" applyFont="true"/>
    <xf numFmtId="0" fontId="791" fillId="0" borderId="0" xfId="0" applyFill="true" applyBorder="true" applyNumberFormat="true" applyFont="true"/>
    <xf numFmtId="0" fontId="792" fillId="0" borderId="0" xfId="0" applyFill="true" applyBorder="true" applyNumberFormat="true" applyFont="true"/>
    <xf numFmtId="0" fontId="793" fillId="0" borderId="0" xfId="0" applyFill="true" applyBorder="true" applyNumberFormat="true" applyFont="true"/>
    <xf numFmtId="0" fontId="794" fillId="0" borderId="0" xfId="0" applyFill="true" applyBorder="true" applyNumberFormat="true" applyFont="true"/>
    <xf numFmtId="0" fontId="795" fillId="0" borderId="0" xfId="0" applyFill="true" applyBorder="true" applyNumberFormat="true" applyFont="true"/>
    <xf numFmtId="0" fontId="796" fillId="0" borderId="0" xfId="0" applyFill="true" applyBorder="true" applyNumberFormat="true" applyFont="true"/>
    <xf numFmtId="0" fontId="797" fillId="0" borderId="0" xfId="0" applyFill="true" applyBorder="true" applyNumberFormat="true" applyFont="true"/>
    <xf numFmtId="0" fontId="798" fillId="0" borderId="0" xfId="0" applyFill="true" applyBorder="true" applyNumberFormat="true" applyFont="true"/>
    <xf numFmtId="0" fontId="799" fillId="0" borderId="0" xfId="0" applyFill="true" applyBorder="true" applyNumberFormat="true" applyFont="true"/>
    <xf numFmtId="0" fontId="800" fillId="0" borderId="0" xfId="0" applyFill="true" applyBorder="true" applyNumberFormat="true" applyFont="true"/>
    <xf numFmtId="0" fontId="801" fillId="0" borderId="0" xfId="0" applyFill="true" applyBorder="true" applyNumberFormat="true" applyFont="true"/>
    <xf numFmtId="0" fontId="802" fillId="0" borderId="0" xfId="0" applyFill="true" applyBorder="true" applyNumberFormat="true" applyFont="true"/>
    <xf numFmtId="0" fontId="803" fillId="0" borderId="0" xfId="0" applyFill="true" applyBorder="true" applyNumberFormat="true" applyFont="true"/>
    <xf numFmtId="0" fontId="804" fillId="0" borderId="0" xfId="0" applyFill="true" applyBorder="true" applyNumberFormat="true" applyFont="true"/>
    <xf numFmtId="0" fontId="805" fillId="0" borderId="0" xfId="0" applyFill="true" applyBorder="true" applyNumberFormat="true" applyFont="true"/>
    <xf numFmtId="0" fontId="806" fillId="0" borderId="0" xfId="0" applyFill="true" applyBorder="true" applyNumberFormat="true" applyFont="true"/>
    <xf numFmtId="0" fontId="807" fillId="0" borderId="0" xfId="0" applyFill="true" applyBorder="true" applyNumberFormat="true" applyFont="true"/>
    <xf numFmtId="0" fontId="808" fillId="0" borderId="0" xfId="0" applyFill="true" applyBorder="true" applyNumberFormat="true" applyFont="true"/>
    <xf numFmtId="0" fontId="809" fillId="0" borderId="0" xfId="0" applyFill="true" applyBorder="true" applyNumberFormat="true" applyFont="true"/>
    <xf numFmtId="0" fontId="810" fillId="0" borderId="0" xfId="0" applyFill="true" applyBorder="true" applyNumberFormat="true" applyFont="true"/>
    <xf numFmtId="0" fontId="811" fillId="0" borderId="0" xfId="0" applyFill="true" applyBorder="true" applyNumberFormat="true" applyFont="true"/>
    <xf numFmtId="0" fontId="812" fillId="0" borderId="0" xfId="0" applyFill="true" applyBorder="true" applyNumberFormat="true" applyFont="true"/>
    <xf numFmtId="0" fontId="813" fillId="0" borderId="0" xfId="0" applyFill="true" applyBorder="true" applyNumberFormat="true" applyFont="true"/>
    <xf numFmtId="0" fontId="814" fillId="0" borderId="0" xfId="0" applyFill="true" applyBorder="true" applyNumberFormat="true" applyFont="true"/>
    <xf numFmtId="0" fontId="815" fillId="0" borderId="0" xfId="0" applyFill="true" applyBorder="true" applyNumberFormat="true" applyFont="true"/>
    <xf numFmtId="0" fontId="816" fillId="0" borderId="0" xfId="0" applyFill="true" applyBorder="true" applyNumberFormat="true" applyFont="true"/>
    <xf numFmtId="0" fontId="817" fillId="0" borderId="0" xfId="0" applyFill="true" applyBorder="true" applyNumberFormat="true" applyFont="true"/>
    <xf numFmtId="0" fontId="818" fillId="0" borderId="0" xfId="0" applyFill="true" applyBorder="true" applyNumberFormat="true" applyFont="true"/>
    <xf numFmtId="0" fontId="819" fillId="0" borderId="0" xfId="0" applyFill="true" applyBorder="true" applyNumberFormat="true" applyFont="true"/>
    <xf numFmtId="0" fontId="820" fillId="0" borderId="0" xfId="0" applyFill="true" applyBorder="true" applyNumberFormat="true" applyFont="true"/>
    <xf numFmtId="0" fontId="821" fillId="0" borderId="0" xfId="0" applyFill="true" applyBorder="true" applyNumberFormat="true" applyFont="true"/>
    <xf numFmtId="0" fontId="822" fillId="0" borderId="0" xfId="0" applyFill="true" applyBorder="true" applyNumberFormat="true" applyFont="true"/>
    <xf numFmtId="0" fontId="823" fillId="0" borderId="0" xfId="0" applyFill="true" applyBorder="true" applyNumberFormat="true" applyFont="true"/>
    <xf numFmtId="0" fontId="824" fillId="0" borderId="0" xfId="0" applyFill="true" applyBorder="true" applyNumberFormat="true" applyFont="true"/>
    <xf numFmtId="0" fontId="825" fillId="0" borderId="0" xfId="0" applyFill="true" applyBorder="true" applyNumberFormat="true" applyFont="true"/>
    <xf numFmtId="0" fontId="826" fillId="0" borderId="0" xfId="0" applyFill="true" applyBorder="true" applyNumberFormat="true" applyFont="true"/>
    <xf numFmtId="0" fontId="827" fillId="0" borderId="0" xfId="0" applyFill="true" applyBorder="true" applyNumberFormat="true" applyFont="true"/>
    <xf numFmtId="0" fontId="828" fillId="0" borderId="0" xfId="0" applyFill="true" applyBorder="true" applyNumberFormat="true" applyFont="true"/>
    <xf numFmtId="0" fontId="829" fillId="0" borderId="0" xfId="0" applyFill="true" applyBorder="true" applyNumberFormat="true" applyFont="true"/>
    <xf numFmtId="0" fontId="830" fillId="0" borderId="0" xfId="0" applyFill="true" applyBorder="true" applyNumberFormat="true" applyFont="true"/>
    <xf numFmtId="0" fontId="831" fillId="0" borderId="0" xfId="0" applyFill="true" applyBorder="true" applyNumberFormat="true" applyFont="true"/>
    <xf numFmtId="0" fontId="832" fillId="0" borderId="0" xfId="0" applyFill="true" applyBorder="true" applyNumberFormat="true" applyFont="true"/>
    <xf numFmtId="0" fontId="833" fillId="0" borderId="0" xfId="0" applyFill="true" applyBorder="true" applyNumberFormat="true" applyFont="true"/>
    <xf numFmtId="0" fontId="834" fillId="0" borderId="0" xfId="0" applyFill="true" applyBorder="true" applyNumberFormat="true" applyFont="true"/>
    <xf numFmtId="0" fontId="835" fillId="0" borderId="0" xfId="0" applyFill="true" applyBorder="true" applyNumberFormat="true" applyFont="true"/>
    <xf numFmtId="0" fontId="836" fillId="0" borderId="0" xfId="0" applyFill="true" applyBorder="true" applyNumberFormat="true" applyFont="true"/>
    <xf numFmtId="0" fontId="837" fillId="0" borderId="0" xfId="0" applyFill="true" applyBorder="true" applyNumberFormat="true" applyFont="true"/>
    <xf numFmtId="0" fontId="838" fillId="0" borderId="0" xfId="0" applyFill="true" applyBorder="true" applyNumberFormat="true" applyFont="true"/>
    <xf numFmtId="0" fontId="839" fillId="0" borderId="0" xfId="0" applyFill="true" applyBorder="true" applyNumberFormat="true" applyFont="true"/>
    <xf numFmtId="0" fontId="840" fillId="0" borderId="0" xfId="0" applyFill="true" applyBorder="true" applyNumberFormat="true" applyFont="true"/>
    <xf numFmtId="0" fontId="841" fillId="0" borderId="0" xfId="0" applyFill="true" applyBorder="true" applyNumberFormat="true" applyFont="true"/>
    <xf numFmtId="0" fontId="842" fillId="0" borderId="0" xfId="0" applyFill="true" applyBorder="true" applyNumberFormat="true" applyFont="true"/>
    <xf numFmtId="0" fontId="843" fillId="0" borderId="0" xfId="0" applyFill="true" applyBorder="true" applyNumberFormat="true" applyFont="true"/>
    <xf numFmtId="0" fontId="844" fillId="0" borderId="0" xfId="0" applyFill="true" applyBorder="true" applyNumberFormat="true" applyFont="true"/>
    <xf numFmtId="0" fontId="845" fillId="0" borderId="0" xfId="0" applyFill="true" applyBorder="true" applyNumberFormat="true" applyFont="true"/>
    <xf numFmtId="0" fontId="846" fillId="0" borderId="0" xfId="0" applyFill="true" applyBorder="true" applyNumberFormat="true" applyFont="true"/>
    <xf numFmtId="0" fontId="847" fillId="0" borderId="0" xfId="0" applyFill="true" applyBorder="true" applyNumberFormat="true" applyFont="true"/>
    <xf numFmtId="0" fontId="848" fillId="0" borderId="0" xfId="0" applyFill="true" applyBorder="true" applyNumberFormat="true" applyFont="true"/>
    <xf numFmtId="0" fontId="849" fillId="0" borderId="0" xfId="0" applyFill="true" applyBorder="true" applyNumberFormat="true" applyFont="true"/>
    <xf numFmtId="0" fontId="850" fillId="0" borderId="0" xfId="0" applyFill="true" applyBorder="true" applyNumberFormat="true" applyFont="true"/>
    <xf numFmtId="0" fontId="851" fillId="0" borderId="0" xfId="0" applyFill="true" applyBorder="true" applyNumberFormat="true" applyFont="true"/>
    <xf numFmtId="0" fontId="852" fillId="0" borderId="0" xfId="0" applyFill="true" applyBorder="true" applyNumberFormat="true" applyFont="true"/>
    <xf numFmtId="0" fontId="853" fillId="0" borderId="0" xfId="0" applyFill="true" applyBorder="true" applyNumberFormat="true" applyFont="true"/>
    <xf numFmtId="0" fontId="854" fillId="0" borderId="0" xfId="0" applyFill="true" applyBorder="true" applyNumberFormat="true" applyFont="true"/>
    <xf numFmtId="0" fontId="855" fillId="0" borderId="0" xfId="0" applyFill="true" applyBorder="true" applyNumberFormat="true" applyFont="true"/>
    <xf numFmtId="0" fontId="856" fillId="0" borderId="0" xfId="0" applyFill="true" applyBorder="true" applyNumberFormat="true" applyFont="true"/>
    <xf numFmtId="0" fontId="857" fillId="0" borderId="0" xfId="0" applyFill="true" applyBorder="true" applyNumberFormat="true" applyFont="true"/>
    <xf numFmtId="0" fontId="858" fillId="0" borderId="0" xfId="0" applyFill="true" applyBorder="true" applyNumberFormat="true" applyFont="true"/>
    <xf numFmtId="0" fontId="859" fillId="0" borderId="0" xfId="0" applyFill="true" applyBorder="true" applyNumberFormat="true" applyFont="true"/>
    <xf numFmtId="0" fontId="860" fillId="0" borderId="0" xfId="0" applyFill="true" applyBorder="true" applyNumberFormat="true" applyFont="true"/>
    <xf numFmtId="0" fontId="861" fillId="0" borderId="0" xfId="0" applyFill="true" applyBorder="true" applyNumberFormat="true" applyFont="true"/>
    <xf numFmtId="0" fontId="862" fillId="0" borderId="0" xfId="0" applyFill="true" applyBorder="true" applyNumberFormat="true" applyFont="true"/>
    <xf numFmtId="0" fontId="863" fillId="0" borderId="0" xfId="0" applyFill="true" applyBorder="true" applyNumberFormat="true" applyFont="true"/>
    <xf numFmtId="0" fontId="864" fillId="0" borderId="0" xfId="0" applyFill="true" applyBorder="true" applyNumberFormat="true" applyFont="true"/>
    <xf numFmtId="0" fontId="865" fillId="0" borderId="0" xfId="0" applyFill="true" applyBorder="true" applyNumberFormat="true" applyFont="true"/>
    <xf numFmtId="0" fontId="866" fillId="0" borderId="0" xfId="0" applyFill="true" applyBorder="true" applyNumberFormat="true" applyFont="true"/>
    <xf numFmtId="0" fontId="867" fillId="0" borderId="0" xfId="0" applyFill="true" applyBorder="true" applyNumberFormat="true" applyFont="true"/>
    <xf numFmtId="0" fontId="868" fillId="0" borderId="0" xfId="0" applyFill="true" applyBorder="true" applyNumberFormat="true" applyFont="true"/>
    <xf numFmtId="0" fontId="869" fillId="0" borderId="0" xfId="0" applyFill="true" applyBorder="true" applyNumberFormat="true" applyFont="true"/>
    <xf numFmtId="0" fontId="870" fillId="0" borderId="0" xfId="0" applyFill="true" applyBorder="true" applyNumberFormat="true" applyFont="true"/>
    <xf numFmtId="0" fontId="871" fillId="0" borderId="0" xfId="0" applyFill="true" applyBorder="true" applyNumberFormat="true" applyFont="true"/>
    <xf numFmtId="0" fontId="872" fillId="0" borderId="0" xfId="0" applyFill="true" applyBorder="true" applyNumberFormat="true" applyFont="true"/>
    <xf numFmtId="0" fontId="873" fillId="0" borderId="0" xfId="0" applyFill="true" applyBorder="true" applyNumberFormat="true" applyFont="true"/>
    <xf numFmtId="0" fontId="874" fillId="0" borderId="0" xfId="0" applyFill="true" applyBorder="true" applyNumberFormat="true" applyFont="true"/>
    <xf numFmtId="0" fontId="875" fillId="0" borderId="0" xfId="0" applyFill="true" applyBorder="true" applyNumberFormat="true" applyFont="true"/>
    <xf numFmtId="0" fontId="876" fillId="0" borderId="0" xfId="0" applyFill="true" applyBorder="true" applyNumberFormat="true" applyFont="true"/>
    <xf numFmtId="0" fontId="877" fillId="0" borderId="0" xfId="0" applyFill="true" applyBorder="true" applyNumberFormat="true" applyFont="true"/>
    <xf numFmtId="0" fontId="878" fillId="0" borderId="0" xfId="0" applyFill="true" applyBorder="true" applyNumberFormat="true" applyFont="true"/>
    <xf numFmtId="0" fontId="879" fillId="0" borderId="0" xfId="0" applyFill="true" applyBorder="true" applyNumberFormat="true" applyFont="true"/>
    <xf numFmtId="0" fontId="880" fillId="0" borderId="0" xfId="0" applyFill="true" applyBorder="true" applyNumberFormat="true" applyFont="true"/>
    <xf numFmtId="0" fontId="881" fillId="0" borderId="0" xfId="0" applyFill="true" applyBorder="true" applyNumberFormat="true" applyFont="true"/>
    <xf numFmtId="0" fontId="882" fillId="0" borderId="0" xfId="0" applyFill="true" applyBorder="true" applyNumberFormat="true" applyFont="true"/>
    <xf numFmtId="0" fontId="883" fillId="0" borderId="0" xfId="0" applyFill="true" applyBorder="true" applyNumberFormat="true" applyFont="true"/>
    <xf numFmtId="0" fontId="884" fillId="0" borderId="0" xfId="0" applyFill="true" applyBorder="true" applyNumberFormat="true" applyFont="true"/>
    <xf numFmtId="0" fontId="885" fillId="0" borderId="0" xfId="0" applyFill="true" applyBorder="true" applyNumberFormat="true" applyFont="true"/>
    <xf numFmtId="0" fontId="886" fillId="0" borderId="0" xfId="0" applyFill="true" applyBorder="true" applyNumberFormat="true" applyFont="true"/>
    <xf numFmtId="0" fontId="887" fillId="0" borderId="0" xfId="0" applyFill="true" applyBorder="true" applyNumberFormat="true" applyFont="true"/>
    <xf numFmtId="0" fontId="888" fillId="0" borderId="0" xfId="0" applyFill="true" applyBorder="true" applyNumberFormat="true" applyFont="true"/>
    <xf numFmtId="0" fontId="889" fillId="0" borderId="0" xfId="0" applyFill="true" applyBorder="true" applyNumberFormat="true" applyFont="true"/>
    <xf numFmtId="0" fontId="890" fillId="0" borderId="0" xfId="0" applyFill="true" applyBorder="true" applyNumberFormat="true" applyFont="true"/>
    <xf numFmtId="0" fontId="891" fillId="0" borderId="0" xfId="0" applyFill="true" applyBorder="true" applyNumberFormat="true" applyFont="true"/>
    <xf numFmtId="0" fontId="892" fillId="0" borderId="0" xfId="0" applyFill="true" applyBorder="true" applyNumberFormat="true" applyFont="true"/>
    <xf numFmtId="0" fontId="893" fillId="0" borderId="0" xfId="0" applyFill="true" applyBorder="true" applyNumberFormat="true" applyFont="true"/>
    <xf numFmtId="0" fontId="894" fillId="0" borderId="0" xfId="0" applyFill="true" applyBorder="true" applyNumberFormat="true" applyFont="true"/>
    <xf numFmtId="0" fontId="895" fillId="0" borderId="0" xfId="0" applyFill="true" applyBorder="true" applyNumberFormat="true" applyFont="true"/>
    <xf numFmtId="0" fontId="896" fillId="0" borderId="0" xfId="0" applyFill="true" applyBorder="true" applyNumberFormat="true" applyFont="true"/>
    <xf numFmtId="0" fontId="897" fillId="0" borderId="0" xfId="0" applyFill="true" applyBorder="true" applyNumberFormat="true" applyFont="true"/>
    <xf numFmtId="0" fontId="898" fillId="0" borderId="0" xfId="0" applyFill="true" applyBorder="true" applyNumberFormat="true" applyFont="true"/>
    <xf numFmtId="0" fontId="899" fillId="0" borderId="0" xfId="0" applyFill="true" applyBorder="true" applyNumberFormat="true" applyFont="true"/>
    <xf numFmtId="0" fontId="900" fillId="0" borderId="0" xfId="0" applyFill="true" applyBorder="true" applyNumberFormat="true" applyFont="true"/>
    <xf numFmtId="0" fontId="901" fillId="0" borderId="0" xfId="0" applyFill="true" applyBorder="true" applyNumberFormat="true" applyFont="true"/>
    <xf numFmtId="0" fontId="902" fillId="0" borderId="0" xfId="0" applyFill="true" applyBorder="true" applyNumberFormat="true" applyFont="true"/>
    <xf numFmtId="0" fontId="903" fillId="0" borderId="0" xfId="0" applyFill="true" applyBorder="true" applyNumberFormat="true" applyFont="true"/>
    <xf numFmtId="0" fontId="904" fillId="0" borderId="0" xfId="0" applyFill="true" applyBorder="true" applyNumberFormat="true" applyFont="true"/>
    <xf numFmtId="0" fontId="905" fillId="0" borderId="0" xfId="0" applyFill="true" applyBorder="true" applyNumberFormat="true" applyFont="true"/>
    <xf numFmtId="0" fontId="906" fillId="0" borderId="0" xfId="0" applyFill="true" applyBorder="true" applyNumberFormat="true" applyFont="true"/>
    <xf numFmtId="0" fontId="907" fillId="0" borderId="0" xfId="0" applyFill="true" applyBorder="true" applyNumberFormat="true" applyFont="true"/>
    <xf numFmtId="0" fontId="908" fillId="0" borderId="0" xfId="0" applyFill="true" applyBorder="true" applyNumberFormat="true" applyFont="true"/>
    <xf numFmtId="0" fontId="909" fillId="0" borderId="0" xfId="0" applyFill="true" applyBorder="true" applyNumberFormat="true" applyFont="true"/>
    <xf numFmtId="0" fontId="910" fillId="0" borderId="0" xfId="0" applyFill="true" applyBorder="true" applyNumberFormat="true" applyFont="true"/>
    <xf numFmtId="0" fontId="911" fillId="0" borderId="0" xfId="0" applyFill="true" applyBorder="true" applyNumberFormat="true" applyFont="true"/>
    <xf numFmtId="0" fontId="912" fillId="0" borderId="0" xfId="0" applyFill="true" applyBorder="true" applyNumberFormat="true" applyFont="true"/>
    <xf numFmtId="0" fontId="913" fillId="0" borderId="0" xfId="0" applyFill="true" applyBorder="true" applyNumberFormat="true" applyFont="true"/>
    <xf numFmtId="0" fontId="914" fillId="0" borderId="0" xfId="0" applyFill="true" applyBorder="true" applyNumberFormat="true" applyFont="true"/>
    <xf numFmtId="0" fontId="915" fillId="0" borderId="0" xfId="0" applyFill="true" applyBorder="true" applyNumberFormat="true" applyFont="true"/>
    <xf numFmtId="0" fontId="916" fillId="0" borderId="0" xfId="0" applyFill="true" applyBorder="true" applyNumberFormat="true" applyFont="true"/>
    <xf numFmtId="0" fontId="917" fillId="0" borderId="0" xfId="0" applyFill="true" applyBorder="true" applyNumberFormat="true" applyFont="true"/>
    <xf numFmtId="0" fontId="918" fillId="0" borderId="0" xfId="0" applyFill="true" applyBorder="true" applyNumberFormat="true" applyFont="true"/>
    <xf numFmtId="0" fontId="919" fillId="0" borderId="0" xfId="0" applyFill="true" applyBorder="true" applyNumberFormat="true" applyFont="true"/>
    <xf numFmtId="0" fontId="920" fillId="0" borderId="0" xfId="0" applyFill="true" applyBorder="true" applyNumberFormat="true" applyFont="true"/>
    <xf numFmtId="0" fontId="921" fillId="0" borderId="0" xfId="0" applyFill="true" applyBorder="true" applyNumberFormat="true" applyFont="true"/>
    <xf numFmtId="0" fontId="922" fillId="0" borderId="0" xfId="0" applyFill="true" applyBorder="true" applyNumberFormat="true" applyFont="true"/>
    <xf numFmtId="0" fontId="923" fillId="0" borderId="0" xfId="0" applyFill="true" applyBorder="true" applyNumberFormat="true" applyFont="true"/>
    <xf numFmtId="0" fontId="924" fillId="0" borderId="0" xfId="0" applyFill="true" applyBorder="true" applyNumberFormat="true" applyFont="true"/>
    <xf numFmtId="0" fontId="925" fillId="0" borderId="0" xfId="0" applyFill="true" applyBorder="true" applyNumberFormat="true" applyFont="true"/>
    <xf numFmtId="0" fontId="926" fillId="0" borderId="0" xfId="0" applyFill="true" applyBorder="true" applyNumberFormat="true" applyFont="true"/>
    <xf numFmtId="0" fontId="927" fillId="0" borderId="0" xfId="0" applyFill="true" applyBorder="true" applyNumberFormat="true" applyFont="true"/>
    <xf numFmtId="0" fontId="928" fillId="0" borderId="0" xfId="0" applyFill="true" applyBorder="true" applyNumberFormat="true" applyFont="true"/>
    <xf numFmtId="0" fontId="929" fillId="0" borderId="0" xfId="0" applyFill="true" applyBorder="true" applyNumberFormat="true" applyFont="true"/>
    <xf numFmtId="0" fontId="930" fillId="0" borderId="0" xfId="0" applyFill="true" applyBorder="true" applyNumberFormat="true" applyFont="true"/>
    <xf numFmtId="0" fontId="931" fillId="0" borderId="0" xfId="0" applyFill="true" applyBorder="true" applyNumberFormat="true" applyFont="true"/>
    <xf numFmtId="0" fontId="932" fillId="0" borderId="0" xfId="0" applyFill="true" applyBorder="true" applyNumberFormat="true" applyFont="true"/>
    <xf numFmtId="0" fontId="933" fillId="0" borderId="0" xfId="0" applyFill="true" applyBorder="true" applyNumberFormat="true" applyFont="true"/>
    <xf numFmtId="0" fontId="934" fillId="0" borderId="0" xfId="0" applyFill="true" applyBorder="true" applyNumberFormat="true" applyFont="true"/>
    <xf numFmtId="0" fontId="935" fillId="0" borderId="0" xfId="0" applyFill="true" applyBorder="true" applyNumberFormat="true" applyFont="true"/>
    <xf numFmtId="0" fontId="936" fillId="0" borderId="0" xfId="0" applyFill="true" applyBorder="true" applyNumberFormat="true" applyFont="true"/>
    <xf numFmtId="0" fontId="937" fillId="0" borderId="0" xfId="0" applyFill="true" applyBorder="true" applyNumberFormat="true" applyFont="true"/>
    <xf numFmtId="0" fontId="938" fillId="0" borderId="0" xfId="0" applyFill="true" applyBorder="true" applyNumberFormat="true" applyFont="true"/>
    <xf numFmtId="0" fontId="939" fillId="0" borderId="0" xfId="0" applyFill="true" applyBorder="true" applyNumberFormat="true" applyFont="true"/>
    <xf numFmtId="0" fontId="940" fillId="0" borderId="0" xfId="0" applyFill="true" applyBorder="true" applyNumberFormat="true" applyFont="true"/>
    <xf numFmtId="0" fontId="941" fillId="0" borderId="0" xfId="0" applyFill="true" applyBorder="true" applyNumberFormat="true" applyFont="true"/>
    <xf numFmtId="0" fontId="942" fillId="0" borderId="0" xfId="0" applyFill="true" applyBorder="true" applyNumberFormat="true" applyFont="true"/>
    <xf numFmtId="0" fontId="943" fillId="0" borderId="0" xfId="0" applyFill="true" applyBorder="true" applyNumberFormat="true" applyFont="true"/>
    <xf numFmtId="0" fontId="944" fillId="0" borderId="0" xfId="0" applyFill="true" applyBorder="true" applyNumberFormat="true" applyFont="true"/>
    <xf numFmtId="0" fontId="945" fillId="0" borderId="0" xfId="0" applyFill="true" applyBorder="true" applyNumberFormat="true" applyFont="true"/>
    <xf numFmtId="0" fontId="946" fillId="0" borderId="0" xfId="0" applyFill="true" applyBorder="true" applyNumberFormat="true" applyFont="true"/>
    <xf numFmtId="0" fontId="947" fillId="0" borderId="0" xfId="0" applyFill="true" applyBorder="true" applyNumberFormat="true" applyFont="true"/>
    <xf numFmtId="0" fontId="948" fillId="0" borderId="0" xfId="0" applyFill="true" applyBorder="true" applyNumberFormat="true" applyFont="true"/>
    <xf numFmtId="0" fontId="949" fillId="0" borderId="0" xfId="0" applyFill="true" applyBorder="true" applyNumberFormat="true" applyFont="true"/>
    <xf numFmtId="0" fontId="950" fillId="0" borderId="0" xfId="0" applyFill="true" applyBorder="true" applyNumberFormat="true" applyFont="true"/>
    <xf numFmtId="0" fontId="951" fillId="0" borderId="0" xfId="0" applyFill="true" applyBorder="true" applyNumberFormat="true" applyFont="true"/>
    <xf numFmtId="0" fontId="952" fillId="0" borderId="0" xfId="0" applyFill="true" applyBorder="true" applyNumberFormat="true" applyFont="true"/>
    <xf numFmtId="0" fontId="953" fillId="0" borderId="0" xfId="0" applyFill="true" applyBorder="true" applyNumberFormat="true" applyFont="true"/>
    <xf numFmtId="0" fontId="954" fillId="0" borderId="0" xfId="0" applyFill="true" applyBorder="true" applyNumberFormat="true" applyFont="true"/>
    <xf numFmtId="0" fontId="955" fillId="0" borderId="0" xfId="0" applyFill="true" applyBorder="true" applyNumberFormat="true" applyFont="true"/>
    <xf numFmtId="0" fontId="956" fillId="0" borderId="0" xfId="0" applyFill="true" applyBorder="true" applyNumberFormat="true" applyFont="true"/>
    <xf numFmtId="0" fontId="957" fillId="0" borderId="0" xfId="0" applyFill="true" applyBorder="true" applyNumberFormat="true" applyFont="true"/>
    <xf numFmtId="0" fontId="958" fillId="0" borderId="0" xfId="0" applyFill="true" applyBorder="true" applyNumberFormat="true" applyFont="true"/>
    <xf numFmtId="0" fontId="959" fillId="0" borderId="0" xfId="0" applyFill="true" applyBorder="true" applyNumberFormat="true" applyFont="true"/>
    <xf numFmtId="0" fontId="960" fillId="0" borderId="0" xfId="0" applyFill="true" applyBorder="true" applyNumberFormat="true" applyFont="true"/>
    <xf numFmtId="0" fontId="961" fillId="0" borderId="0" xfId="0" applyFill="true" applyBorder="true" applyNumberFormat="true" applyFont="true"/>
    <xf numFmtId="0" fontId="962" fillId="0" borderId="0" xfId="0" applyFill="true" applyBorder="true" applyNumberFormat="true" applyFont="true"/>
    <xf numFmtId="0" fontId="963" fillId="0" borderId="0" xfId="0" applyFill="true" applyBorder="true" applyNumberFormat="true" applyFont="true"/>
    <xf numFmtId="0" fontId="964" fillId="0" borderId="0" xfId="0" applyFill="true" applyBorder="true" applyNumberFormat="true" applyFont="true"/>
    <xf numFmtId="0" fontId="965" fillId="0" borderId="0" xfId="0" applyFill="true" applyBorder="true" applyNumberFormat="true" applyFont="true"/>
    <xf numFmtId="0" fontId="966" fillId="0" borderId="0" xfId="0" applyFill="true" applyBorder="true" applyNumberFormat="true" applyFont="true"/>
    <xf numFmtId="0" fontId="967" fillId="0" borderId="0" xfId="0" applyFill="true" applyBorder="true" applyNumberFormat="true" applyFont="true"/>
    <xf numFmtId="0" fontId="968" fillId="0" borderId="0" xfId="0" applyFill="true" applyBorder="true" applyNumberFormat="true" applyFont="true"/>
    <xf numFmtId="0" fontId="969" fillId="0" borderId="0" xfId="0" applyFill="true" applyBorder="true" applyNumberFormat="true" applyFont="true"/>
    <xf numFmtId="0" fontId="970" fillId="0" borderId="0" xfId="0" applyFill="true" applyBorder="true" applyNumberFormat="true" applyFont="true"/>
    <xf numFmtId="0" fontId="971" fillId="0" borderId="0" xfId="0" applyFill="true" applyBorder="true" applyNumberFormat="true" applyFont="true"/>
    <xf numFmtId="0" fontId="972" fillId="0" borderId="0" xfId="0" applyFill="true" applyBorder="true" applyNumberFormat="true" applyFont="true"/>
    <xf numFmtId="0" fontId="973" fillId="0" borderId="0" xfId="0" applyFill="true" applyBorder="true" applyNumberFormat="true" applyFont="true"/>
    <xf numFmtId="0" fontId="974" fillId="0" borderId="0" xfId="0" applyFill="true" applyBorder="true" applyNumberFormat="true" applyFont="true"/>
    <xf numFmtId="0" fontId="975" fillId="0" borderId="0" xfId="0" applyFill="true" applyBorder="true" applyNumberFormat="true" applyFont="true"/>
    <xf numFmtId="0" fontId="976" fillId="0" borderId="0" xfId="0" applyFill="true" applyBorder="true" applyNumberFormat="true" applyFont="true"/>
    <xf numFmtId="0" fontId="977" fillId="0" borderId="0" xfId="0" applyFill="true" applyBorder="true" applyNumberFormat="true" applyFont="true"/>
    <xf numFmtId="0" fontId="978" fillId="0" borderId="0" xfId="0" applyFill="true" applyBorder="true" applyNumberFormat="true" applyFont="true"/>
    <xf numFmtId="0" fontId="979" fillId="0" borderId="0" xfId="0" applyFill="true" applyBorder="true" applyNumberFormat="true" applyFont="true"/>
    <xf numFmtId="0" fontId="980" fillId="0" borderId="0" xfId="0" applyFill="true" applyBorder="true" applyNumberFormat="true" applyFont="true"/>
    <xf numFmtId="0" fontId="981" fillId="0" borderId="0" xfId="0" applyFill="true" applyBorder="true" applyNumberFormat="true" applyFont="true"/>
    <xf numFmtId="0" fontId="982" fillId="0" borderId="0" xfId="0" applyFill="true" applyBorder="true" applyNumberFormat="true" applyFont="true"/>
    <xf numFmtId="0" fontId="983" fillId="0" borderId="0" xfId="0" applyFill="true" applyBorder="true" applyNumberFormat="true" applyFont="true"/>
    <xf numFmtId="0" fontId="984" fillId="0" borderId="0" xfId="0" applyFill="true" applyBorder="true" applyNumberFormat="true" applyFont="true"/>
    <xf numFmtId="0" fontId="985" fillId="0" borderId="0" xfId="0" applyFill="true" applyBorder="true" applyNumberFormat="true" applyFont="true"/>
    <xf numFmtId="0" fontId="986" fillId="0" borderId="0" xfId="0" applyFill="true" applyBorder="true" applyNumberFormat="true" applyFont="true"/>
    <xf numFmtId="0" fontId="987" fillId="0" borderId="0" xfId="0" applyFill="true" applyBorder="true" applyNumberFormat="true" applyFont="true"/>
    <xf numFmtId="0" fontId="988" fillId="0" borderId="0" xfId="0" applyFill="true" applyBorder="true" applyNumberFormat="true" applyFont="true"/>
    <xf numFmtId="0" fontId="989" fillId="0" borderId="0" xfId="0" applyFill="true" applyBorder="true" applyNumberFormat="true" applyFont="true"/>
    <xf numFmtId="0" fontId="990" fillId="0" borderId="0" xfId="0" applyFill="true" applyBorder="true" applyNumberFormat="true" applyFont="true"/>
    <xf numFmtId="0" fontId="991" fillId="0" borderId="0" xfId="0" applyFill="true" applyBorder="true" applyNumberFormat="true" applyFont="true"/>
    <xf numFmtId="0" fontId="992" fillId="0" borderId="0" xfId="0" applyFill="true" applyBorder="true" applyNumberFormat="true" applyFont="true"/>
    <xf numFmtId="0" fontId="993" fillId="0" borderId="0" xfId="0" applyFill="true" applyBorder="true" applyNumberFormat="true" applyFont="true"/>
    <xf numFmtId="0" fontId="994" fillId="0" borderId="0" xfId="0" applyFill="true" applyBorder="true" applyNumberFormat="true" applyFont="true"/>
    <xf numFmtId="0" fontId="995" fillId="0" borderId="0" xfId="0" applyFill="true" applyBorder="true" applyNumberFormat="true" applyFont="true"/>
    <xf numFmtId="0" fontId="996" fillId="0" borderId="0" xfId="0" applyFill="true" applyBorder="true" applyNumberFormat="true" applyFont="true"/>
    <xf numFmtId="0" fontId="997" fillId="0" borderId="0" xfId="0" applyFill="true" applyBorder="true" applyNumberFormat="true" applyFont="true"/>
    <xf numFmtId="0" fontId="998" fillId="0" borderId="0" xfId="0" applyFill="true" applyBorder="true" applyNumberFormat="true" applyFont="true"/>
    <xf numFmtId="0" fontId="999" fillId="0" borderId="0" xfId="0" applyFill="true" applyBorder="true" applyNumberFormat="true" applyFont="true"/>
    <xf numFmtId="0" fontId="1000" fillId="0" borderId="0" xfId="0" applyFill="true" applyBorder="true" applyNumberFormat="true" applyFont="true"/>
    <xf numFmtId="0" fontId="1001" fillId="0" borderId="0" xfId="0" applyFill="true" applyBorder="true" applyNumberFormat="true" applyFont="true"/>
    <xf numFmtId="0" fontId="1002" fillId="0" borderId="0" xfId="0" applyFill="true" applyBorder="true" applyNumberFormat="true" applyFont="true"/>
    <xf numFmtId="0" fontId="1003" fillId="0" borderId="0" xfId="0" applyFill="true" applyBorder="true" applyNumberFormat="true" applyFont="true"/>
    <xf numFmtId="0" fontId="1004" fillId="0" borderId="0" xfId="0" applyFill="true" applyBorder="true" applyNumberFormat="true" applyFont="true"/>
    <xf numFmtId="0" fontId="1005" fillId="0" borderId="0" xfId="0" applyFill="true" applyBorder="true" applyNumberFormat="true" applyFont="true"/>
    <xf numFmtId="0" fontId="1006" fillId="0" borderId="0" xfId="0" applyFill="true" applyBorder="true" applyNumberFormat="true" applyFont="true"/>
    <xf numFmtId="0" fontId="1007" fillId="0" borderId="0" xfId="0" applyFill="true" applyBorder="true" applyNumberFormat="true" applyFont="true"/>
    <xf numFmtId="0" fontId="1008" fillId="0" borderId="0" xfId="0" applyFill="true" applyBorder="true" applyNumberFormat="true" applyFont="true"/>
    <xf numFmtId="0" fontId="1009" fillId="0" borderId="0" xfId="0" applyFill="true" applyBorder="true" applyNumberFormat="true" applyFont="true"/>
    <xf numFmtId="0" fontId="1010" fillId="0" borderId="0" xfId="0" applyFill="true" applyBorder="true" applyNumberFormat="true" applyFont="true"/>
    <xf numFmtId="0" fontId="1011" fillId="0" borderId="0" xfId="0" applyFill="true" applyBorder="true" applyNumberFormat="true" applyFont="true"/>
    <xf numFmtId="0" fontId="1012" fillId="0" borderId="0" xfId="0" applyFill="true" applyBorder="true" applyNumberFormat="true" applyFont="true"/>
    <xf numFmtId="0" fontId="1013" fillId="0" borderId="0" xfId="0" applyFill="true" applyBorder="true" applyNumberFormat="true" applyFont="true"/>
    <xf numFmtId="0" fontId="1014" fillId="0" borderId="0" xfId="0" applyFill="true" applyBorder="true" applyNumberFormat="true" applyFont="true"/>
    <xf numFmtId="0" fontId="1015" fillId="0" borderId="0" xfId="0" applyFill="true" applyBorder="true" applyNumberFormat="true" applyFont="true"/>
    <xf numFmtId="0" fontId="1016" fillId="0" borderId="0" xfId="0" applyFill="true" applyBorder="true" applyNumberFormat="true" applyFont="true"/>
    <xf numFmtId="0" fontId="1017" fillId="0" borderId="0" xfId="0" applyFill="true" applyBorder="true" applyNumberFormat="true" applyFont="true"/>
    <xf numFmtId="0" fontId="1018" fillId="0" borderId="0" xfId="0" applyFill="true" applyBorder="true" applyNumberFormat="true" applyFont="true"/>
    <xf numFmtId="0" fontId="1019" fillId="0" borderId="0" xfId="0" applyFill="true" applyBorder="true" applyNumberFormat="true" applyFont="true"/>
    <xf numFmtId="0" fontId="1020" fillId="0" borderId="0" xfId="0" applyFill="true" applyBorder="true" applyNumberFormat="true" applyFont="true"/>
    <xf numFmtId="0" fontId="1021" fillId="0" borderId="0" xfId="0" applyFill="true" applyBorder="true" applyNumberFormat="true" applyFont="true"/>
    <xf numFmtId="0" fontId="1022" fillId="0" borderId="0" xfId="0" applyFill="true" applyBorder="true" applyNumberFormat="true" applyFont="true"/>
    <xf numFmtId="0" fontId="1023" fillId="0" borderId="0" xfId="0" applyFill="true" applyBorder="true" applyNumberFormat="true" applyFont="true"/>
    <xf numFmtId="0" fontId="1024" fillId="0" borderId="0" xfId="0" applyFill="true" applyBorder="true" applyNumberFormat="true" applyFont="true"/>
    <xf numFmtId="0" fontId="1025" fillId="0" borderId="0" xfId="0" applyFill="true" applyBorder="true" applyNumberFormat="true" applyFont="true"/>
    <xf numFmtId="0" fontId="1026" fillId="0" borderId="0" xfId="0" applyFill="true" applyBorder="true" applyNumberFormat="true" applyFont="true"/>
    <xf numFmtId="0" fontId="1027" fillId="0" borderId="0" xfId="0" applyFill="true" applyBorder="true" applyNumberFormat="true" applyFont="true"/>
    <xf numFmtId="0" fontId="1028" fillId="0" borderId="0" xfId="0" applyFill="true" applyBorder="true" applyNumberFormat="true" applyFont="true"/>
    <xf numFmtId="0" fontId="1029" fillId="0" borderId="0" xfId="0" applyFill="true" applyBorder="true" applyNumberFormat="true" applyFont="true"/>
    <xf numFmtId="0" fontId="1030" fillId="0" borderId="0" xfId="0" applyFill="true" applyBorder="true" applyNumberFormat="true" applyFont="true"/>
    <xf numFmtId="0" fontId="1031" fillId="0" borderId="0" xfId="0" applyFill="true" applyBorder="true" applyNumberFormat="true" applyFont="true"/>
    <xf numFmtId="0" fontId="1032" fillId="0" borderId="0" xfId="0" applyFill="true" applyBorder="true" applyNumberFormat="true" applyFont="true"/>
    <xf numFmtId="0" fontId="1033" fillId="0" borderId="0" xfId="0" applyFill="true" applyBorder="true" applyNumberFormat="true" applyFont="true"/>
    <xf numFmtId="0" fontId="1034" fillId="0" borderId="0" xfId="0" applyFill="true" applyBorder="true" applyNumberFormat="true" applyFont="true"/>
    <xf numFmtId="0" fontId="1035" fillId="0" borderId="0" xfId="0" applyFill="true" applyBorder="true" applyNumberFormat="true" applyFont="true"/>
    <xf numFmtId="0" fontId="1036" fillId="0" borderId="0" xfId="0" applyFill="true" applyBorder="true" applyNumberFormat="true" applyFont="true"/>
    <xf numFmtId="0" fontId="1037" fillId="0" borderId="0" xfId="0" applyFill="true" applyBorder="true" applyNumberFormat="true" applyFont="true"/>
    <xf numFmtId="0" fontId="1038" fillId="0" borderId="0" xfId="0" applyFill="true" applyBorder="true" applyNumberFormat="true" applyFont="true"/>
    <xf numFmtId="0" fontId="1039" fillId="0" borderId="0" xfId="0" applyFill="true" applyBorder="true" applyNumberFormat="true" applyFont="true"/>
    <xf numFmtId="0" fontId="1040" fillId="0" borderId="0" xfId="0" applyFill="true" applyBorder="true" applyNumberFormat="true" applyFont="true"/>
    <xf numFmtId="0" fontId="1041" fillId="0" borderId="0" xfId="0" applyFill="true" applyBorder="true" applyNumberFormat="true" applyFont="true"/>
    <xf numFmtId="0" fontId="1042" fillId="0" borderId="0" xfId="0" applyFill="true" applyBorder="true" applyNumberFormat="true" applyFont="true"/>
    <xf numFmtId="0" fontId="1043" fillId="0" borderId="0" xfId="0" applyFill="true" applyBorder="true" applyNumberFormat="true" applyFont="true"/>
    <xf numFmtId="0" fontId="1044" fillId="0" borderId="0" xfId="0" applyFill="true" applyBorder="true" applyNumberFormat="true" applyFont="true"/>
    <xf numFmtId="0" fontId="1045" fillId="0" borderId="0" xfId="0" applyFill="true" applyBorder="true" applyNumberFormat="true" applyFont="true"/>
    <xf numFmtId="0" fontId="1046" fillId="0" borderId="0" xfId="0" applyFill="true" applyBorder="true" applyNumberFormat="true" applyFont="true"/>
    <xf numFmtId="0" fontId="1047" fillId="0" borderId="0" xfId="0" applyFill="true" applyBorder="true" applyNumberFormat="true" applyFont="true"/>
    <xf numFmtId="0" fontId="1048" fillId="0" borderId="0" xfId="0" applyFill="true" applyBorder="true" applyNumberFormat="true" applyFont="true"/>
    <xf numFmtId="0" fontId="1049" fillId="0" borderId="0" xfId="0" applyFill="true" applyBorder="true" applyNumberFormat="true" applyFont="true"/>
    <xf numFmtId="0" fontId="1050" fillId="0" borderId="0" xfId="0" applyFill="true" applyBorder="true" applyNumberFormat="true" applyFont="true"/>
    <xf numFmtId="0" fontId="1051" fillId="0" borderId="0" xfId="0" applyFill="true" applyBorder="true" applyNumberFormat="true" applyFont="true"/>
    <xf numFmtId="0" fontId="1052" fillId="0" borderId="0" xfId="0" applyFill="true" applyBorder="true" applyNumberFormat="true" applyFont="true"/>
    <xf numFmtId="0" fontId="1053" fillId="0" borderId="0" xfId="0" applyFill="true" applyBorder="true" applyNumberFormat="true" applyFont="true"/>
    <xf numFmtId="0" fontId="1054" fillId="0" borderId="0" xfId="0" applyFill="true" applyBorder="true" applyNumberFormat="true" applyFont="true"/>
    <xf numFmtId="0" fontId="1055" fillId="0" borderId="0" xfId="0" applyFill="true" applyBorder="true" applyNumberFormat="true" applyFont="true"/>
    <xf numFmtId="0" fontId="1056" fillId="0" borderId="0" xfId="0" applyFill="true" applyBorder="true" applyNumberFormat="true" applyFont="true"/>
    <xf numFmtId="0" fontId="1057" fillId="0" borderId="0" xfId="0" applyFill="true" applyBorder="true" applyNumberFormat="true" applyFont="true"/>
    <xf numFmtId="0" fontId="1058" fillId="0" borderId="0" xfId="0" applyFill="true" applyBorder="true" applyNumberFormat="true" applyFont="true"/>
    <xf numFmtId="0" fontId="1059" fillId="0" borderId="0" xfId="0" applyFill="true" applyBorder="true" applyNumberFormat="true" applyFont="true"/>
    <xf numFmtId="0" fontId="1060" fillId="0" borderId="0" xfId="0" applyFill="true" applyBorder="true" applyNumberFormat="true" applyFont="true"/>
    <xf numFmtId="0" fontId="1061" fillId="0" borderId="0" xfId="0" applyFill="true" applyBorder="true" applyNumberFormat="true" applyFont="true"/>
    <xf numFmtId="0" fontId="1062" fillId="0" borderId="0" xfId="0" applyFill="true" applyBorder="true" applyNumberFormat="true" applyFont="true"/>
    <xf numFmtId="0" fontId="1063" fillId="0" borderId="0" xfId="0" applyFill="true" applyBorder="true" applyNumberFormat="true" applyFont="true"/>
    <xf numFmtId="0" fontId="1064" fillId="0" borderId="0" xfId="0" applyFill="true" applyBorder="true" applyNumberFormat="true" applyFont="true"/>
    <xf numFmtId="0" fontId="1065" fillId="0" borderId="0" xfId="0" applyFill="true" applyBorder="true" applyNumberFormat="true" applyFont="true"/>
    <xf numFmtId="0" fontId="1066" fillId="0" borderId="0" xfId="0" applyFill="true" applyBorder="true" applyNumberFormat="true" applyFont="true"/>
    <xf numFmtId="0" fontId="1067" fillId="0" borderId="0" xfId="0" applyFill="true" applyBorder="true" applyNumberFormat="true" applyFont="true"/>
    <xf numFmtId="0" fontId="1068" fillId="0" borderId="0" xfId="0" applyFill="true" applyBorder="true" applyNumberFormat="true" applyFont="true"/>
    <xf numFmtId="0" fontId="1069" fillId="0" borderId="0" xfId="0" applyFill="true" applyBorder="true" applyNumberFormat="true" applyFont="true"/>
    <xf numFmtId="0" fontId="1070" fillId="0" borderId="0" xfId="0" applyFill="true" applyBorder="true" applyNumberFormat="true" applyFont="true"/>
    <xf numFmtId="0" fontId="1071" fillId="0" borderId="0" xfId="0" applyFill="true" applyBorder="true" applyNumberFormat="true" applyFont="true"/>
    <xf numFmtId="0" fontId="1072" fillId="0" borderId="0" xfId="0" applyFill="true" applyBorder="true" applyNumberFormat="true" applyFont="true"/>
    <xf numFmtId="0" fontId="1073" fillId="0" borderId="0" xfId="0" applyFill="true" applyBorder="true" applyNumberFormat="true" applyFont="true"/>
    <xf numFmtId="0" fontId="1074" fillId="0" borderId="0" xfId="0" applyFill="true" applyBorder="true" applyNumberFormat="true" applyFont="true"/>
    <xf numFmtId="0" fontId="1075" fillId="0" borderId="0" xfId="0" applyFill="true" applyBorder="true" applyNumberFormat="true" applyFont="true"/>
    <xf numFmtId="0" fontId="1076" fillId="0" borderId="0" xfId="0" applyFill="true" applyBorder="true" applyNumberFormat="true" applyFont="true"/>
    <xf numFmtId="0" fontId="1077" fillId="0" borderId="0" xfId="0" applyFill="true" applyBorder="true" applyNumberFormat="true" applyFont="true"/>
    <xf numFmtId="0" fontId="1078" fillId="0" borderId="0" xfId="0" applyFill="true" applyBorder="true" applyNumberFormat="true" applyFont="true"/>
    <xf numFmtId="0" fontId="1079" fillId="0" borderId="0" xfId="0" applyFill="true" applyBorder="true" applyNumberFormat="true" applyFont="true"/>
    <xf numFmtId="0" fontId="1080" fillId="0" borderId="0" xfId="0" applyFill="true" applyBorder="true" applyNumberFormat="true" applyFont="true"/>
    <xf numFmtId="0" fontId="1081" fillId="0" borderId="0" xfId="0" applyFill="true" applyBorder="true" applyNumberFormat="true" applyFont="true"/>
    <xf numFmtId="0" fontId="1082" fillId="0" borderId="0" xfId="0" applyFill="true" applyBorder="true" applyNumberFormat="true" applyFont="true"/>
    <xf numFmtId="0" fontId="1083" fillId="0" borderId="0" xfId="0" applyFill="true" applyBorder="true" applyNumberFormat="true" applyFont="true"/>
    <xf numFmtId="0" fontId="1084" fillId="0" borderId="0" xfId="0" applyFill="true" applyBorder="true" applyNumberFormat="true" applyFont="true"/>
    <xf numFmtId="0" fontId="1085" fillId="0" borderId="0" xfId="0" applyFill="true" applyBorder="true" applyNumberFormat="true" applyFont="true"/>
    <xf numFmtId="0" fontId="1086" fillId="0" borderId="0" xfId="0" applyFill="true" applyBorder="true" applyNumberFormat="true" applyFont="true"/>
    <xf numFmtId="0" fontId="1087" fillId="0" borderId="0" xfId="0" applyFill="true" applyBorder="true" applyNumberFormat="true" applyFont="true"/>
    <xf numFmtId="0" fontId="1088" fillId="0" borderId="0" xfId="0" applyFill="true" applyBorder="true" applyNumberFormat="true" applyFont="true"/>
    <xf numFmtId="0" fontId="1089" fillId="0" borderId="0" xfId="0" applyFill="true" applyBorder="true" applyNumberFormat="true" applyFont="true"/>
    <xf numFmtId="0" fontId="1090" fillId="0" borderId="0" xfId="0" applyFill="true" applyBorder="true" applyNumberFormat="true" applyFont="true"/>
    <xf numFmtId="0" fontId="1091" fillId="0" borderId="0" xfId="0" applyFill="true" applyBorder="true" applyNumberFormat="true" applyFont="true"/>
    <xf numFmtId="0" fontId="1092" fillId="0" borderId="0" xfId="0" applyFill="true" applyBorder="true" applyNumberFormat="true" applyFont="true"/>
    <xf numFmtId="0" fontId="1093" fillId="0" borderId="0" xfId="0" applyFill="true" applyBorder="true" applyNumberFormat="true" applyFont="true"/>
    <xf numFmtId="0" fontId="1094" fillId="0" borderId="0" xfId="0" applyFill="true" applyBorder="true" applyNumberFormat="true" applyFont="true"/>
    <xf numFmtId="0" fontId="1095" fillId="0" borderId="0" xfId="0" applyFill="true" applyBorder="true" applyNumberFormat="true" applyFont="true"/>
    <xf numFmtId="0" fontId="1096" fillId="0" borderId="0" xfId="0" applyFill="true" applyBorder="true" applyNumberFormat="true" applyFont="true"/>
    <xf numFmtId="0" fontId="1097" fillId="0" borderId="0" xfId="0" applyFill="true" applyBorder="true" applyNumberFormat="true" applyFont="true"/>
    <xf numFmtId="0" fontId="1098" fillId="0" borderId="0" xfId="0" applyFill="true" applyBorder="true" applyNumberFormat="true" applyFont="true"/>
    <xf numFmtId="0" fontId="1099" fillId="0" borderId="0" xfId="0" applyFill="true" applyBorder="true" applyNumberFormat="true" applyFont="true"/>
    <xf numFmtId="0" fontId="1100" fillId="0" borderId="0" xfId="0" applyFill="true" applyBorder="true" applyNumberFormat="true" applyFont="true"/>
    <xf numFmtId="0" fontId="1101" fillId="0" borderId="0" xfId="0" applyFill="true" applyBorder="true" applyNumberFormat="true" applyFont="true"/>
    <xf numFmtId="0" fontId="1102" fillId="0" borderId="0" xfId="0" applyFill="true" applyBorder="true" applyNumberFormat="true" applyFont="true"/>
    <xf numFmtId="0" fontId="1103" fillId="0" borderId="0" xfId="0" applyFill="true" applyBorder="true" applyNumberFormat="true" applyFont="true"/>
    <xf numFmtId="0" fontId="1104" fillId="0" borderId="0" xfId="0" applyFill="true" applyBorder="true" applyNumberFormat="true" applyFont="true"/>
    <xf numFmtId="0" fontId="1105" fillId="0" borderId="0" xfId="0" applyFill="true" applyBorder="true" applyNumberFormat="true" applyFont="true"/>
    <xf numFmtId="0" fontId="1106" fillId="0" borderId="0" xfId="0" applyFill="true" applyBorder="true" applyNumberFormat="true" applyFont="true"/>
    <xf numFmtId="0" fontId="1107" fillId="0" borderId="0" xfId="0" applyFill="true" applyBorder="true" applyNumberFormat="true" applyFont="true"/>
    <xf numFmtId="0" fontId="1108" fillId="0" borderId="0" xfId="0" applyFill="true" applyBorder="true" applyNumberFormat="true" applyFont="true"/>
    <xf numFmtId="0" fontId="1109" fillId="0" borderId="0" xfId="0" applyFill="true" applyBorder="true" applyNumberFormat="true" applyFont="true"/>
    <xf numFmtId="0" fontId="1110" fillId="0" borderId="0" xfId="0" applyFill="true" applyBorder="true" applyNumberFormat="true" applyFont="true"/>
    <xf numFmtId="0" fontId="1111" fillId="0" borderId="0" xfId="0" applyFill="true" applyBorder="true" applyNumberFormat="true" applyFont="true"/>
    <xf numFmtId="0" fontId="1112" fillId="0" borderId="0" xfId="0" applyFill="true" applyBorder="true" applyNumberFormat="true" applyFont="true"/>
    <xf numFmtId="0" fontId="1113" fillId="0" borderId="0" xfId="0" applyFill="true" applyBorder="true" applyNumberFormat="true" applyFont="true"/>
    <xf numFmtId="0" fontId="1114" fillId="0" borderId="0" xfId="0" applyFill="true" applyBorder="true" applyNumberFormat="true" applyFont="true"/>
    <xf numFmtId="0" fontId="1115" fillId="0" borderId="0" xfId="0" applyFill="true" applyBorder="true" applyNumberFormat="true" applyFont="true"/>
    <xf numFmtId="0" fontId="1116" fillId="0" borderId="0" xfId="0" applyFill="true" applyBorder="true" applyNumberFormat="true" applyFont="true"/>
    <xf numFmtId="0" fontId="1117" fillId="0" borderId="0" xfId="0" applyFill="true" applyBorder="true" applyNumberFormat="true" applyFont="true"/>
    <xf numFmtId="0" fontId="1118" fillId="0" borderId="0" xfId="0" applyFill="true" applyBorder="true" applyNumberFormat="true" applyFont="true"/>
    <xf numFmtId="0" fontId="1119" fillId="0" borderId="0" xfId="0" applyFill="true" applyBorder="true" applyNumberFormat="true" applyFont="true"/>
    <xf numFmtId="0" fontId="1120" fillId="0" borderId="0" xfId="0" applyFill="true" applyBorder="true" applyNumberFormat="true" applyFont="true"/>
    <xf numFmtId="0" fontId="1121" fillId="0" borderId="0" xfId="0" applyFill="true" applyBorder="true" applyNumberFormat="true" applyFont="true"/>
    <xf numFmtId="0" fontId="1122" fillId="0" borderId="0" xfId="0" applyFill="true" applyBorder="true" applyNumberFormat="true" applyFont="true"/>
    <xf numFmtId="0" fontId="1123" fillId="0" borderId="0" xfId="0" applyFill="true" applyBorder="true" applyNumberFormat="true" applyFont="true"/>
    <xf numFmtId="0" fontId="1124" fillId="0" borderId="0" xfId="0" applyFill="true" applyBorder="true" applyNumberFormat="true" applyFont="true"/>
    <xf numFmtId="0" fontId="1125" fillId="0" borderId="0" xfId="0" applyFill="true" applyBorder="true" applyNumberFormat="true" applyFont="true"/>
    <xf numFmtId="0" fontId="1126" fillId="0" borderId="0" xfId="0" applyFill="true" applyBorder="true" applyNumberFormat="true" applyFont="true"/>
    <xf numFmtId="0" fontId="1127" fillId="0" borderId="0" xfId="0" applyFill="true" applyBorder="true" applyNumberFormat="true" applyFont="true"/>
    <xf numFmtId="0" fontId="1128" fillId="0" borderId="0" xfId="0" applyFill="true" applyBorder="true" applyNumberFormat="true" applyFont="true"/>
    <xf numFmtId="0" fontId="1129" fillId="0" borderId="0" xfId="0" applyFill="true" applyBorder="true" applyNumberFormat="true" applyFont="true"/>
    <xf numFmtId="0" fontId="1130" fillId="0" borderId="0" xfId="0" applyFill="true" applyBorder="true" applyNumberFormat="true" applyFont="true"/>
    <xf numFmtId="0" fontId="1131" fillId="0" borderId="0" xfId="0" applyFill="true" applyBorder="true" applyNumberFormat="true" applyFont="true"/>
    <xf numFmtId="0" fontId="1132" fillId="0" borderId="0" xfId="0" applyFill="true" applyBorder="true" applyNumberFormat="true" applyFont="true"/>
    <xf numFmtId="0" fontId="1133" fillId="0" borderId="0" xfId="0" applyFill="true" applyBorder="true" applyNumberFormat="true" applyFont="true"/>
    <xf numFmtId="0" fontId="1134" fillId="0" borderId="0" xfId="0" applyFill="true" applyBorder="true" applyNumberFormat="true" applyFont="true"/>
    <xf numFmtId="0" fontId="1135" fillId="0" borderId="0" xfId="0" applyFill="true" applyBorder="true" applyNumberFormat="true" applyFont="true"/>
    <xf numFmtId="0" fontId="1136" fillId="0" borderId="0" xfId="0" applyFill="true" applyBorder="true" applyNumberFormat="true" applyFont="true"/>
    <xf numFmtId="0" fontId="1137" fillId="0" borderId="0" xfId="0" applyFill="true" applyBorder="true" applyNumberFormat="true" applyFont="true"/>
    <xf numFmtId="0" fontId="1138" fillId="0" borderId="0" xfId="0" applyFill="true" applyBorder="true" applyNumberFormat="true" applyFont="true"/>
    <xf numFmtId="0" fontId="1139" fillId="0" borderId="0" xfId="0" applyFill="true" applyBorder="true" applyNumberFormat="true" applyFont="true"/>
    <xf numFmtId="0" fontId="1140" fillId="0" borderId="0" xfId="0" applyFill="true" applyBorder="true" applyNumberFormat="true" applyFont="true"/>
    <xf numFmtId="0" fontId="1141" fillId="0" borderId="0" xfId="0" applyFill="true" applyBorder="true" applyNumberFormat="true" applyFont="true"/>
    <xf numFmtId="0" fontId="1142" fillId="0" borderId="0" xfId="0" applyFill="true" applyBorder="true" applyNumberFormat="true" applyFont="true"/>
    <xf numFmtId="0" fontId="1143" fillId="0" borderId="0" xfId="0" applyFill="true" applyBorder="true" applyNumberFormat="true" applyFont="true"/>
    <xf numFmtId="0" fontId="1144" fillId="0" borderId="0" xfId="0" applyFill="true" applyBorder="true" applyNumberFormat="true" applyFont="true"/>
    <xf numFmtId="0" fontId="1145" fillId="0" borderId="0" xfId="0" applyFill="true" applyBorder="true" applyNumberFormat="true" applyFont="true"/>
    <xf numFmtId="0" fontId="1146" fillId="0" borderId="0" xfId="0" applyFill="true" applyBorder="true" applyNumberFormat="true" applyFont="true"/>
    <xf numFmtId="0" fontId="1147" fillId="0" borderId="0" xfId="0" applyFill="true" applyBorder="true" applyNumberFormat="true" applyFont="true"/>
    <xf numFmtId="0" fontId="1148" fillId="0" borderId="0" xfId="0" applyFill="true" applyBorder="true" applyNumberFormat="true" applyFont="true"/>
    <xf numFmtId="0" fontId="1149" fillId="0" borderId="0" xfId="0" applyFill="true" applyBorder="true" applyNumberFormat="true" applyFont="true"/>
    <xf numFmtId="0" fontId="1150" fillId="0" borderId="0" xfId="0" applyFill="true" applyBorder="true" applyNumberFormat="true" applyFont="true"/>
    <xf numFmtId="0" fontId="1151" fillId="0" borderId="0" xfId="0" applyFill="true" applyBorder="true" applyNumberFormat="true" applyFont="true"/>
    <xf numFmtId="0" fontId="1152" fillId="0" borderId="0" xfId="0" applyFill="true" applyBorder="true" applyNumberFormat="true" applyFont="true"/>
    <xf numFmtId="0" fontId="1153" fillId="0" borderId="0" xfId="0" applyFill="true" applyBorder="true" applyNumberFormat="true" applyFont="true"/>
    <xf numFmtId="0" fontId="1154" fillId="0" borderId="0" xfId="0" applyFill="true" applyBorder="true" applyNumberFormat="true" applyFont="true"/>
    <xf numFmtId="0" fontId="1155" fillId="0" borderId="0" xfId="0" applyFill="true" applyBorder="true" applyNumberFormat="true" applyFont="true"/>
    <xf numFmtId="0" fontId="1156" fillId="0" borderId="0" xfId="0" applyFill="true" applyBorder="true" applyNumberFormat="true" applyFont="true"/>
    <xf numFmtId="0" fontId="1157" fillId="0" borderId="0" xfId="0" applyFill="true" applyBorder="true" applyNumberFormat="true" applyFont="true"/>
    <xf numFmtId="0" fontId="1158" fillId="0" borderId="0" xfId="0" applyFill="true" applyBorder="true" applyNumberFormat="true" applyFont="true"/>
    <xf numFmtId="0" fontId="1159" fillId="0" borderId="0" xfId="0" applyFill="true" applyBorder="true" applyNumberFormat="true" applyFont="true"/>
    <xf numFmtId="0" fontId="1160" fillId="0" borderId="0" xfId="0" applyFill="true" applyBorder="true" applyNumberFormat="true" applyFont="true"/>
    <xf numFmtId="0" fontId="1161" fillId="0" borderId="0" xfId="0" applyFill="true" applyBorder="true" applyNumberFormat="true" applyFont="true"/>
    <xf numFmtId="0" fontId="1162" fillId="0" borderId="0" xfId="0" applyFill="true" applyBorder="true" applyNumberFormat="true" applyFont="true"/>
    <xf numFmtId="0" fontId="1163" fillId="0" borderId="0" xfId="0" applyFill="true" applyBorder="true" applyNumberFormat="true" applyFont="true"/>
    <xf numFmtId="0" fontId="1164" fillId="0" borderId="0" xfId="0" applyFill="true" applyBorder="true" applyNumberFormat="true" applyFont="true"/>
    <xf numFmtId="0" fontId="1165" fillId="0" borderId="0" xfId="0" applyFill="true" applyBorder="true" applyNumberFormat="true" applyFont="true"/>
    <xf numFmtId="0" fontId="1166" fillId="0" borderId="0" xfId="0" applyFill="true" applyBorder="true" applyNumberFormat="true" applyFont="true"/>
    <xf numFmtId="0" fontId="1167" fillId="0" borderId="0" xfId="0" applyFill="true" applyBorder="true" applyNumberFormat="true" applyFont="true"/>
    <xf numFmtId="0" fontId="1168" fillId="0" borderId="0" xfId="0" applyFill="true" applyBorder="true" applyNumberFormat="true" applyFont="true"/>
    <xf numFmtId="0" fontId="1169" fillId="0" borderId="0" xfId="0" applyFill="true" applyBorder="true" applyNumberFormat="true" applyFont="true"/>
    <xf numFmtId="0" fontId="1170" fillId="0" borderId="0" xfId="0" applyFill="true" applyBorder="true" applyNumberFormat="true" applyFont="true"/>
    <xf numFmtId="0" fontId="1171" fillId="0" borderId="0" xfId="0" applyFill="true" applyBorder="true" applyNumberFormat="true" applyFont="true"/>
    <xf numFmtId="0" fontId="1172" fillId="0" borderId="0" xfId="0" applyFill="true" applyBorder="true" applyNumberFormat="true" applyFont="true"/>
    <xf numFmtId="0" fontId="1173" fillId="0" borderId="0" xfId="0" applyFill="true" applyBorder="true" applyNumberFormat="true" applyFont="true"/>
    <xf numFmtId="0" fontId="1174" fillId="0" borderId="0" xfId="0" applyFill="true" applyBorder="true" applyNumberFormat="true" applyFont="true"/>
    <xf numFmtId="0" fontId="1175" fillId="0" borderId="0" xfId="0" applyFill="true" applyBorder="true" applyNumberFormat="true" applyFont="true"/>
    <xf numFmtId="0" fontId="1176" fillId="0" borderId="0" xfId="0" applyFill="true" applyBorder="true" applyNumberFormat="true" applyFont="true"/>
    <xf numFmtId="0" fontId="1177" fillId="0" borderId="0" xfId="0" applyFill="true" applyBorder="true" applyNumberFormat="true" applyFont="true"/>
    <xf numFmtId="0" fontId="1178" fillId="0" borderId="0" xfId="0" applyFill="true" applyBorder="true" applyNumberFormat="true" applyFont="true"/>
    <xf numFmtId="0" fontId="1179" fillId="0" borderId="0" xfId="0" applyFill="true" applyBorder="true" applyNumberFormat="true" applyFont="true"/>
    <xf numFmtId="0" fontId="1180" fillId="0" borderId="0" xfId="0" applyFill="true" applyBorder="true" applyNumberFormat="true" applyFont="true"/>
    <xf numFmtId="0" fontId="1181" fillId="0" borderId="0" xfId="0" applyFill="true" applyBorder="true" applyNumberFormat="true" applyFont="true"/>
    <xf numFmtId="0" fontId="1182" fillId="0" borderId="0" xfId="0" applyFill="true" applyBorder="true" applyNumberFormat="true" applyFont="true"/>
    <xf numFmtId="0" fontId="1183" fillId="0" borderId="0" xfId="0" applyFill="true" applyBorder="true" applyNumberFormat="true" applyFont="true"/>
    <xf numFmtId="0" fontId="1184" fillId="0" borderId="0" xfId="0" applyFill="true" applyBorder="true" applyNumberFormat="true" applyFont="true"/>
    <xf numFmtId="0" fontId="1185" fillId="0" borderId="0" xfId="0" applyFill="true" applyBorder="true" applyNumberFormat="true" applyFont="true"/>
    <xf numFmtId="0" fontId="1186" fillId="0" borderId="0" xfId="0" applyFill="true" applyBorder="true" applyNumberFormat="true" applyFont="true"/>
    <xf numFmtId="0" fontId="1187" fillId="0" borderId="0" xfId="0" applyFill="true" applyBorder="true" applyNumberFormat="true" applyFont="true"/>
    <xf numFmtId="0" fontId="1188" fillId="0" borderId="0" xfId="0" applyFill="true" applyBorder="true" applyNumberFormat="true" applyFont="true"/>
    <xf numFmtId="0" fontId="1189" fillId="0" borderId="0" xfId="0" applyFill="true" applyBorder="true" applyNumberFormat="true" applyFont="true"/>
    <xf numFmtId="0" fontId="1190" fillId="0" borderId="0" xfId="0" applyFill="true" applyBorder="true" applyNumberFormat="true" applyFont="true"/>
    <xf numFmtId="0" fontId="1191" fillId="0" borderId="0" xfId="0" applyFill="true" applyBorder="true" applyNumberFormat="true" applyFont="true"/>
    <xf numFmtId="0" fontId="1192" fillId="0" borderId="0" xfId="0" applyFill="true" applyBorder="true" applyNumberFormat="true" applyFont="true"/>
    <xf numFmtId="0" fontId="1193" fillId="0" borderId="0" xfId="0" applyFill="true" applyBorder="true" applyNumberFormat="true" applyFont="true"/>
    <xf numFmtId="0" fontId="1194" fillId="0" borderId="0" xfId="0" applyFill="true" applyBorder="true" applyNumberFormat="true" applyFont="true"/>
    <xf numFmtId="0" fontId="1195" fillId="0" borderId="0" xfId="0" applyFill="true" applyBorder="true" applyNumberFormat="true" applyFont="true"/>
    <xf numFmtId="0" fontId="1196" fillId="0" borderId="0" xfId="0" applyFill="true" applyBorder="true" applyNumberFormat="true" applyFont="true"/>
    <xf numFmtId="0" fontId="1197" fillId="0" borderId="0" xfId="0" applyFill="true" applyBorder="true" applyNumberFormat="true" applyFont="true"/>
    <xf numFmtId="0" fontId="1198" fillId="0" borderId="0" xfId="0" applyFill="true" applyBorder="true" applyNumberFormat="true" applyFont="true"/>
    <xf numFmtId="0" fontId="1199" fillId="0" borderId="0" xfId="0" applyFill="true" applyBorder="true" applyNumberFormat="true" applyFont="true"/>
    <xf numFmtId="0" fontId="1200" fillId="0" borderId="0" xfId="0" applyFill="true" applyBorder="true" applyNumberFormat="true" applyFont="true"/>
    <xf numFmtId="0" fontId="1201" fillId="0" borderId="0" xfId="0" applyFill="true" applyBorder="true" applyNumberFormat="true" applyFont="true"/>
    <xf numFmtId="0" fontId="1202" fillId="0" borderId="0" xfId="0" applyFill="true" applyBorder="true" applyNumberFormat="true" applyFont="true"/>
    <xf numFmtId="0" fontId="1203" fillId="0" borderId="0" xfId="0" applyFill="true" applyBorder="true" applyNumberFormat="true" applyFont="true"/>
    <xf numFmtId="0" fontId="1204" fillId="0" borderId="0" xfId="0" applyFill="true" applyBorder="true" applyNumberFormat="true" applyFont="true"/>
    <xf numFmtId="0" fontId="1205" fillId="0" borderId="0" xfId="0" applyFill="true" applyBorder="true" applyNumberFormat="true" applyFont="true"/>
    <xf numFmtId="0" fontId="1206" fillId="0" borderId="0" xfId="0" applyFill="true" applyBorder="true" applyNumberFormat="true" applyFont="true"/>
    <xf numFmtId="0" fontId="1207" fillId="0" borderId="0" xfId="0" applyFill="true" applyBorder="true" applyNumberFormat="true" applyFont="true"/>
    <xf numFmtId="0" fontId="1208" fillId="0" borderId="0" xfId="0" applyFill="true" applyBorder="true" applyNumberFormat="true" applyFont="true"/>
    <xf numFmtId="0" fontId="1209" fillId="0" borderId="0" xfId="0" applyFill="true" applyBorder="true" applyNumberFormat="true" applyFont="true"/>
    <xf numFmtId="0" fontId="1210" fillId="0" borderId="0" xfId="0" applyFill="true" applyBorder="true" applyNumberFormat="true" applyFont="true"/>
    <xf numFmtId="0" fontId="1211" fillId="0" borderId="0" xfId="0" applyFill="true" applyBorder="true" applyNumberFormat="true" applyFont="true"/>
    <xf numFmtId="0" fontId="1212" fillId="0" borderId="0" xfId="0" applyFill="true" applyBorder="true" applyNumberFormat="true" applyFont="true"/>
    <xf numFmtId="0" fontId="1213" fillId="0" borderId="0" xfId="0" applyFill="true" applyBorder="true" applyNumberFormat="true" applyFont="true"/>
    <xf numFmtId="0" fontId="1214" fillId="0" borderId="0" xfId="0" applyFill="true" applyBorder="true" applyNumberFormat="true" applyFont="true"/>
    <xf numFmtId="0" fontId="1215" fillId="0" borderId="0" xfId="0" applyFill="true" applyBorder="true" applyNumberFormat="true" applyFont="true"/>
    <xf numFmtId="0" fontId="1216" fillId="0" borderId="0" xfId="0" applyFill="true" applyBorder="true" applyNumberFormat="true" applyFont="true"/>
    <xf numFmtId="0" fontId="1217" fillId="0" borderId="0" xfId="0" applyFill="true" applyBorder="true" applyNumberFormat="true" applyFont="true"/>
    <xf numFmtId="0" fontId="1218" fillId="0" borderId="0" xfId="0" applyFill="true" applyBorder="true" applyNumberFormat="true" applyFont="true"/>
    <xf numFmtId="0" fontId="1219" fillId="0" borderId="0" xfId="0" applyFill="true" applyBorder="true" applyNumberFormat="true" applyFont="true"/>
    <xf numFmtId="0" fontId="1220" fillId="0" borderId="0" xfId="0" applyFill="true" applyBorder="true" applyNumberFormat="true" applyFont="true"/>
    <xf numFmtId="0" fontId="1221" fillId="0" borderId="0" xfId="0" applyFill="true" applyBorder="true" applyNumberFormat="true" applyFont="true"/>
    <xf numFmtId="0" fontId="1222" fillId="0" borderId="0" xfId="0" applyFill="true" applyBorder="true" applyNumberFormat="true" applyFont="true"/>
    <xf numFmtId="0" fontId="1223" fillId="0" borderId="0" xfId="0" applyFill="true" applyBorder="true" applyNumberFormat="true" applyFont="true"/>
    <xf numFmtId="0" fontId="1224" fillId="0" borderId="0" xfId="0" applyFill="true" applyBorder="true" applyNumberFormat="true" applyFont="true"/>
    <xf numFmtId="0" fontId="1225" fillId="0" borderId="0" xfId="0" applyFill="true" applyBorder="true" applyNumberFormat="true" applyFont="true"/>
    <xf numFmtId="0" fontId="1226" fillId="0" borderId="0" xfId="0" applyFill="true" applyBorder="true" applyNumberFormat="true" applyFont="true"/>
    <xf numFmtId="0" fontId="1227" fillId="0" borderId="0" xfId="0" applyFill="true" applyBorder="true" applyNumberFormat="true" applyFont="true"/>
    <xf numFmtId="0" fontId="1228" fillId="0" borderId="0" xfId="0" applyFill="true" applyBorder="true" applyNumberFormat="true" applyFont="true"/>
    <xf numFmtId="0" fontId="1229" fillId="0" borderId="0" xfId="0" applyFill="true" applyBorder="true" applyNumberFormat="true" applyFont="true"/>
    <xf numFmtId="0" fontId="1230" fillId="0" borderId="0" xfId="0" applyFill="true" applyBorder="true" applyNumberFormat="true" applyFont="true"/>
    <xf numFmtId="0" fontId="1231" fillId="0" borderId="0" xfId="0" applyFill="true" applyBorder="true" applyNumberFormat="true" applyFont="true"/>
    <xf numFmtId="0" fontId="1232" fillId="0" borderId="0" xfId="0" applyFill="true" applyBorder="true" applyNumberFormat="true" applyFont="true"/>
    <xf numFmtId="0" fontId="1233" fillId="0" borderId="0" xfId="0" applyFill="true" applyBorder="true" applyNumberFormat="true" applyFont="true"/>
    <xf numFmtId="0" fontId="1234" fillId="0" borderId="0" xfId="0" applyFill="true" applyBorder="true" applyNumberFormat="true" applyFont="true"/>
    <xf numFmtId="0" fontId="1235" fillId="0" borderId="0" xfId="0" applyFill="true" applyBorder="true" applyNumberFormat="true" applyFont="true"/>
    <xf numFmtId="0" fontId="1236" fillId="0" borderId="0" xfId="0" applyFill="true" applyBorder="true" applyNumberFormat="true" applyFont="true"/>
    <xf numFmtId="0" fontId="1237" fillId="0" borderId="0" xfId="0" applyFill="true" applyBorder="true" applyNumberFormat="true" applyFont="true"/>
    <xf numFmtId="0" fontId="1238" fillId="0" borderId="0" xfId="0" applyFill="true" applyBorder="true" applyNumberFormat="true" applyFont="true"/>
    <xf numFmtId="0" fontId="1239" fillId="0" borderId="0" xfId="0" applyFill="true" applyBorder="true" applyNumberFormat="true" applyFont="true"/>
    <xf numFmtId="0" fontId="1240" fillId="0" borderId="0" xfId="0" applyFill="true" applyBorder="true" applyNumberFormat="true" applyFont="true"/>
    <xf numFmtId="0" fontId="1241" fillId="0" borderId="0" xfId="0" applyFill="true" applyBorder="true" applyNumberFormat="true" applyFont="true"/>
    <xf numFmtId="0" fontId="1242" fillId="0" borderId="0" xfId="0" applyFill="true" applyBorder="true" applyNumberFormat="true" applyFont="true"/>
    <xf numFmtId="0" fontId="1243" fillId="0" borderId="0" xfId="0" applyFill="true" applyBorder="true" applyNumberFormat="true" applyFont="true"/>
    <xf numFmtId="0" fontId="1244" fillId="0" borderId="0" xfId="0" applyFill="true" applyBorder="true" applyNumberFormat="true" applyFont="true"/>
    <xf numFmtId="0" fontId="1245" fillId="0" borderId="0" xfId="0" applyFill="true" applyBorder="true" applyNumberFormat="true" applyFont="true"/>
    <xf numFmtId="0" fontId="1246" fillId="0" borderId="0" xfId="0" applyFill="true" applyBorder="true" applyNumberFormat="true" applyFont="true"/>
    <xf numFmtId="0" fontId="1247" fillId="0" borderId="0" xfId="0" applyFill="true" applyBorder="true" applyNumberFormat="true" applyFont="true"/>
    <xf numFmtId="0" fontId="1248" fillId="0" borderId="0" xfId="0" applyFill="true" applyBorder="true" applyNumberFormat="true" applyFont="true"/>
    <xf numFmtId="0" fontId="1249" fillId="0" borderId="0" xfId="0" applyFill="true" applyBorder="true" applyNumberFormat="true" applyFont="true"/>
    <xf numFmtId="0" fontId="1250" fillId="0" borderId="0" xfId="0" applyFill="true" applyBorder="true" applyNumberFormat="true" applyFont="true"/>
    <xf numFmtId="0" fontId="1251" fillId="0" borderId="0" xfId="0" applyFill="true" applyBorder="true" applyNumberFormat="true" applyFont="true"/>
    <xf numFmtId="0" fontId="1252" fillId="0" borderId="0" xfId="0" applyFill="true" applyBorder="true" applyNumberFormat="true" applyFont="true"/>
    <xf numFmtId="0" fontId="1253" fillId="0" borderId="0" xfId="0" applyFill="true" applyBorder="true" applyNumberFormat="true" applyFont="true"/>
    <xf numFmtId="0" fontId="1254" fillId="0" borderId="0" xfId="0" applyFill="true" applyBorder="true" applyNumberFormat="true" applyFont="true"/>
    <xf numFmtId="0" fontId="1255" fillId="0" borderId="0" xfId="0" applyFill="true" applyBorder="true" applyNumberFormat="true" applyFont="true"/>
    <xf numFmtId="0" fontId="1256" fillId="0" borderId="0" xfId="0" applyFill="true" applyBorder="true" applyNumberFormat="true" applyFont="true"/>
    <xf numFmtId="0" fontId="1257" fillId="0" borderId="0" xfId="0" applyFill="true" applyBorder="true" applyNumberFormat="true" applyFont="true"/>
    <xf numFmtId="0" fontId="1258" fillId="0" borderId="0" xfId="0" applyFill="true" applyBorder="true" applyNumberFormat="true" applyFont="true"/>
    <xf numFmtId="0" fontId="1259" fillId="0" borderId="0" xfId="0" applyFill="true" applyBorder="true" applyNumberFormat="true" applyFont="true"/>
    <xf numFmtId="0" fontId="1260" fillId="0" borderId="0" xfId="0" applyFill="true" applyBorder="true" applyNumberFormat="true" applyFont="true"/>
    <xf numFmtId="0" fontId="1261" fillId="0" borderId="0" xfId="0" applyFill="true" applyBorder="true" applyNumberFormat="true" applyFont="true"/>
    <xf numFmtId="0" fontId="1262" fillId="0" borderId="0" xfId="0" applyFill="true" applyBorder="true" applyNumberFormat="true" applyFont="true"/>
    <xf numFmtId="0" fontId="1263" fillId="0" borderId="0" xfId="0" applyFill="true" applyBorder="true" applyNumberFormat="true" applyFont="true"/>
    <xf numFmtId="0" fontId="1264" fillId="0" borderId="0" xfId="0" applyFill="true" applyBorder="true" applyNumberFormat="true" applyFont="true"/>
    <xf numFmtId="0" fontId="1265" fillId="0" borderId="0" xfId="0" applyFill="true" applyBorder="true" applyNumberFormat="true" applyFont="true"/>
    <xf numFmtId="0" fontId="1266" fillId="0" borderId="0" xfId="0" applyFill="true" applyBorder="true" applyNumberFormat="true" applyFont="true"/>
    <xf numFmtId="0" fontId="1267" fillId="0" borderId="0" xfId="0" applyFill="true" applyBorder="true" applyNumberFormat="true" applyFont="true"/>
    <xf numFmtId="0" fontId="1268" fillId="0" borderId="0" xfId="0" applyFill="true" applyBorder="true" applyNumberFormat="true" applyFont="true"/>
    <xf numFmtId="0" fontId="1269" fillId="0" borderId="0" xfId="0" applyFill="true" applyBorder="true" applyNumberFormat="true" applyFont="true"/>
    <xf numFmtId="0" fontId="1270" fillId="0" borderId="0" xfId="0" applyFill="true" applyBorder="true" applyNumberFormat="true" applyFont="true"/>
    <xf numFmtId="0" fontId="1271" fillId="0" borderId="0" xfId="0" applyFill="true" applyBorder="true" applyNumberFormat="true" applyFont="true"/>
    <xf numFmtId="0" fontId="1272" fillId="0" borderId="0" xfId="0" applyFill="true" applyBorder="true" applyNumberFormat="true" applyFont="true"/>
    <xf numFmtId="0" fontId="1273" fillId="0" borderId="0" xfId="0" applyFill="true" applyBorder="true" applyNumberFormat="true" applyFont="true"/>
    <xf numFmtId="0" fontId="1274" fillId="0" borderId="0" xfId="0" applyFill="true" applyBorder="true" applyNumberFormat="true" applyFont="true"/>
    <xf numFmtId="0" fontId="1275" fillId="0" borderId="0" xfId="0" applyFill="true" applyBorder="true" applyNumberFormat="true" applyFont="true"/>
    <xf numFmtId="0" fontId="1276" fillId="0" borderId="0" xfId="0" applyFill="true" applyBorder="true" applyNumberFormat="true" applyFont="true"/>
    <xf numFmtId="0" fontId="1277" fillId="0" borderId="0" xfId="0" applyFill="true" applyBorder="true" applyNumberFormat="true" applyFont="true"/>
    <xf numFmtId="0" fontId="1278" fillId="0" borderId="0" xfId="0" applyFill="true" applyBorder="true" applyNumberFormat="true" applyFont="true"/>
    <xf numFmtId="0" fontId="1279" fillId="0" borderId="0" xfId="0" applyFill="true" applyBorder="true" applyNumberFormat="true" applyFont="true"/>
    <xf numFmtId="0" fontId="1280" fillId="0" borderId="0" xfId="0" applyFill="true" applyBorder="true" applyNumberFormat="true" applyFont="true"/>
    <xf numFmtId="0" fontId="1281" fillId="0" borderId="0" xfId="0" applyFill="true" applyBorder="true" applyNumberFormat="true" applyFont="true"/>
    <xf numFmtId="0" fontId="1282" fillId="0" borderId="0" xfId="0" applyFill="true" applyBorder="true" applyNumberFormat="true" applyFont="true"/>
    <xf numFmtId="0" fontId="1283" fillId="0" borderId="0" xfId="0" applyFill="true" applyBorder="true" applyNumberFormat="true" applyFont="true"/>
    <xf numFmtId="0" fontId="1284" fillId="0" borderId="0" xfId="0" applyFill="true" applyBorder="true" applyNumberFormat="true" applyFont="true"/>
    <xf numFmtId="0" fontId="1285" fillId="0" borderId="0" xfId="0" applyFill="true" applyBorder="true" applyNumberFormat="true" applyFont="true"/>
    <xf numFmtId="0" fontId="1286" fillId="0" borderId="0" xfId="0" applyFill="true" applyBorder="true" applyNumberFormat="true" applyFont="true"/>
    <xf numFmtId="0" fontId="1287" fillId="0" borderId="0" xfId="0" applyFill="true" applyBorder="true" applyNumberFormat="true" applyFont="true"/>
    <xf numFmtId="0" fontId="1288" fillId="0" borderId="0" xfId="0" applyFill="true" applyBorder="true" applyNumberFormat="true" applyFont="true"/>
    <xf numFmtId="0" fontId="1289" fillId="0" borderId="0" xfId="0" applyFill="true" applyBorder="true" applyNumberFormat="true" applyFont="true"/>
    <xf numFmtId="0" fontId="1290" fillId="0" borderId="0" xfId="0" applyFill="true" applyBorder="true" applyNumberFormat="true" applyFont="true"/>
    <xf numFmtId="0" fontId="1291" fillId="0" borderId="0" xfId="0" applyFill="true" applyBorder="true" applyNumberFormat="true" applyFont="true"/>
    <xf numFmtId="0" fontId="1292" fillId="0" borderId="0" xfId="0" applyFill="true" applyBorder="true" applyNumberFormat="true" applyFont="true"/>
    <xf numFmtId="0" fontId="1293" fillId="0" borderId="0" xfId="0" applyFill="true" applyBorder="true" applyNumberFormat="true" applyFont="true"/>
    <xf numFmtId="0" fontId="1294" fillId="0" borderId="0" xfId="0" applyFill="true" applyBorder="true" applyNumberFormat="true" applyFont="true"/>
    <xf numFmtId="0" fontId="1295" fillId="0" borderId="0" xfId="0" applyFill="true" applyBorder="true" applyNumberFormat="true" applyFont="true"/>
    <xf numFmtId="0" fontId="1296" fillId="0" borderId="0" xfId="0" applyFill="true" applyBorder="true" applyNumberFormat="true" applyFont="true"/>
    <xf numFmtId="0" fontId="1297" fillId="0" borderId="0" xfId="0" applyFill="true" applyBorder="true" applyNumberFormat="true" applyFont="true"/>
    <xf numFmtId="0" fontId="1298" fillId="0" borderId="0" xfId="0" applyFill="true" applyBorder="true" applyNumberFormat="true" applyFont="true"/>
    <xf numFmtId="0" fontId="1299" fillId="0" borderId="0" xfId="0" applyFill="true" applyBorder="true" applyNumberFormat="true" applyFont="true"/>
    <xf numFmtId="0" fontId="1300" fillId="0" borderId="0" xfId="0" applyFill="true" applyBorder="true" applyNumberFormat="true" applyFont="true"/>
    <xf numFmtId="0" fontId="1301" fillId="0" borderId="0" xfId="0" applyFill="true" applyBorder="true" applyNumberFormat="true" applyFont="true"/>
    <xf numFmtId="0" fontId="1302" fillId="0" borderId="0" xfId="0" applyFill="true" applyBorder="true" applyNumberFormat="true" applyFont="true"/>
    <xf numFmtId="0" fontId="1303" fillId="0" borderId="0" xfId="0" applyFill="true" applyBorder="true" applyNumberFormat="true" applyFont="true"/>
    <xf numFmtId="0" fontId="1304" fillId="0" borderId="0" xfId="0" applyFill="true" applyBorder="true" applyNumberFormat="true" applyFont="true"/>
    <xf numFmtId="0" fontId="1305" fillId="0" borderId="0" xfId="0" applyFill="true" applyBorder="true" applyNumberFormat="true" applyFont="true"/>
    <xf numFmtId="0" fontId="1306" fillId="0" borderId="0" xfId="0" applyFill="true" applyBorder="true" applyNumberFormat="true" applyFont="true"/>
    <xf numFmtId="0" fontId="1307" fillId="0" borderId="0" xfId="0" applyFill="true" applyBorder="true" applyNumberFormat="true" applyFont="true"/>
    <xf numFmtId="0" fontId="1308" fillId="0" borderId="0" xfId="0" applyFill="true" applyBorder="true" applyNumberFormat="true" applyFont="true"/>
    <xf numFmtId="0" fontId="1309" fillId="0" borderId="0" xfId="0" applyFill="true" applyBorder="true" applyNumberFormat="true" applyFont="true"/>
    <xf numFmtId="0" fontId="1310" fillId="0" borderId="0" xfId="0" applyFill="true" applyBorder="true" applyNumberFormat="true" applyFont="true"/>
    <xf numFmtId="0" fontId="1311" fillId="0" borderId="0" xfId="0" applyFill="true" applyBorder="true" applyNumberFormat="true" applyFont="true"/>
    <xf numFmtId="0" fontId="1312" fillId="0" borderId="0" xfId="0" applyFill="true" applyBorder="true" applyNumberFormat="true" applyFont="true"/>
    <xf numFmtId="0" fontId="1313" fillId="0" borderId="0" xfId="0" applyFill="true" applyBorder="true" applyNumberFormat="true" applyFont="true"/>
    <xf numFmtId="0" fontId="1314" fillId="0" borderId="0" xfId="0" applyFill="true" applyBorder="true" applyNumberFormat="true" applyFont="true"/>
    <xf numFmtId="0" fontId="1315" fillId="0" borderId="0" xfId="0" applyFill="true" applyBorder="true" applyNumberFormat="true" applyFont="true"/>
    <xf numFmtId="0" fontId="1316" fillId="0" borderId="0" xfId="0" applyFill="true" applyBorder="true" applyNumberFormat="true" applyFont="true"/>
    <xf numFmtId="0" fontId="1317" fillId="0" borderId="0" xfId="0" applyFill="true" applyBorder="true" applyNumberFormat="true" applyFont="true"/>
    <xf numFmtId="0" fontId="1318" fillId="0" borderId="0" xfId="0" applyFill="true" applyBorder="true" applyNumberFormat="true" applyFont="true"/>
    <xf numFmtId="0" fontId="1319" fillId="0" borderId="0" xfId="0" applyFill="true" applyBorder="true" applyNumberFormat="true" applyFont="true"/>
    <xf numFmtId="0" fontId="1320" fillId="0" borderId="0" xfId="0" applyFill="true" applyBorder="true" applyNumberFormat="true" applyFont="true"/>
    <xf numFmtId="0" fontId="1321" fillId="0" borderId="0" xfId="0" applyFill="true" applyBorder="true" applyNumberFormat="true" applyFont="true"/>
    <xf numFmtId="0" fontId="1322" fillId="0" borderId="0" xfId="0" applyFill="true" applyBorder="true" applyNumberFormat="true" applyFont="true"/>
    <xf numFmtId="0" fontId="1323" fillId="0" borderId="0" xfId="0" applyFill="true" applyBorder="true" applyNumberFormat="true" applyFont="true"/>
    <xf numFmtId="0" fontId="1324" fillId="0" borderId="0" xfId="0" applyFill="true" applyBorder="true" applyNumberFormat="true" applyFont="true"/>
    <xf numFmtId="0" fontId="1325" fillId="0" borderId="0" xfId="0" applyFill="true" applyBorder="true" applyNumberFormat="true" applyFont="true"/>
    <xf numFmtId="0" fontId="1326" fillId="0" borderId="0" xfId="0" applyFill="true" applyBorder="true" applyNumberFormat="true" applyFont="true"/>
    <xf numFmtId="0" fontId="1327" fillId="0" borderId="0" xfId="0" applyFill="true" applyBorder="true" applyNumberFormat="true" applyFont="true"/>
    <xf numFmtId="0" fontId="1328" fillId="0" borderId="0" xfId="0" applyFill="true" applyBorder="true" applyNumberFormat="true" applyFont="true"/>
    <xf numFmtId="0" fontId="1329" fillId="0" borderId="0" xfId="0" applyFill="true" applyBorder="true" applyNumberFormat="true" applyFont="true"/>
    <xf numFmtId="0" fontId="1330" fillId="0" borderId="0" xfId="0" applyFill="true" applyBorder="true" applyNumberFormat="true" applyFont="true"/>
    <xf numFmtId="0" fontId="1331" fillId="0" borderId="0" xfId="0" applyFill="true" applyBorder="true" applyNumberFormat="true" applyFont="true"/>
    <xf numFmtId="0" fontId="1332" fillId="0" borderId="0" xfId="0" applyFill="true" applyBorder="true" applyNumberFormat="true" applyFont="true"/>
    <xf numFmtId="0" fontId="1333" fillId="0" borderId="0" xfId="0" applyFill="true" applyBorder="true" applyNumberFormat="true" applyFont="true"/>
    <xf numFmtId="0" fontId="1334" fillId="0" borderId="0" xfId="0" applyFill="true" applyBorder="true" applyNumberFormat="true" applyFont="true"/>
    <xf numFmtId="0" fontId="1335" fillId="0" borderId="0" xfId="0" applyFill="true" applyBorder="true" applyNumberFormat="true" applyFont="true"/>
    <xf numFmtId="0" fontId="1336" fillId="0" borderId="0" xfId="0" applyFill="true" applyBorder="true" applyNumberFormat="true" applyFont="true"/>
    <xf numFmtId="0" fontId="1337" fillId="0" borderId="0" xfId="0" applyFill="true" applyBorder="true" applyNumberFormat="true" applyFont="true"/>
    <xf numFmtId="0" fontId="1338" fillId="0" borderId="0" xfId="0" applyFill="true" applyBorder="true" applyNumberFormat="true" applyFont="true"/>
    <xf numFmtId="0" fontId="1339" fillId="0" borderId="0" xfId="0" applyFill="true" applyBorder="true" applyNumberFormat="true" applyFont="true"/>
    <xf numFmtId="0" fontId="1340" fillId="0" borderId="0" xfId="0" applyFill="true" applyBorder="true" applyNumberFormat="true" applyFont="true"/>
    <xf numFmtId="0" fontId="1341" fillId="0" borderId="0" xfId="0" applyFill="true" applyBorder="true" applyNumberFormat="true" applyFont="true"/>
    <xf numFmtId="0" fontId="1342" fillId="0" borderId="0" xfId="0" applyFill="true" applyBorder="true" applyNumberFormat="true" applyFont="true"/>
    <xf numFmtId="0" fontId="1343" fillId="0" borderId="0" xfId="0" applyFill="true" applyBorder="true" applyNumberFormat="true" applyFont="true"/>
    <xf numFmtId="0" fontId="1344" fillId="0" borderId="0" xfId="0" applyFill="true" applyBorder="true" applyNumberFormat="true" applyFont="true"/>
    <xf numFmtId="0" fontId="1345" fillId="0" borderId="0" xfId="0" applyFill="true" applyBorder="true" applyNumberFormat="true" applyFont="true"/>
    <xf numFmtId="0" fontId="1346" fillId="0" borderId="0" xfId="0" applyFill="true" applyBorder="true" applyNumberFormat="true" applyFont="true"/>
    <xf numFmtId="0" fontId="1347" fillId="0" borderId="0" xfId="0" applyFill="true" applyBorder="true" applyNumberFormat="true" applyFont="true"/>
    <xf numFmtId="0" fontId="1348" fillId="0" borderId="0" xfId="0" applyFill="true" applyBorder="true" applyNumberFormat="true" applyFont="true"/>
    <xf numFmtId="0" fontId="1349" fillId="0" borderId="0" xfId="0" applyFill="true" applyBorder="true" applyNumberFormat="true" applyFont="true"/>
    <xf numFmtId="0" fontId="1350" fillId="0" borderId="0" xfId="0" applyFill="true" applyBorder="true" applyNumberFormat="true" applyFont="true"/>
    <xf numFmtId="0" fontId="1351" fillId="0" borderId="0" xfId="0" applyFill="true" applyBorder="true" applyNumberFormat="true" applyFont="true"/>
    <xf numFmtId="0" fontId="1352" fillId="0" borderId="0" xfId="0" applyFill="true" applyBorder="true" applyNumberFormat="true" applyFont="true"/>
    <xf numFmtId="0" fontId="1353" fillId="0" borderId="0" xfId="0" applyFill="true" applyBorder="true" applyNumberFormat="true" applyFont="true"/>
    <xf numFmtId="0" fontId="1354" fillId="0" borderId="0" xfId="0" applyFill="true" applyBorder="true" applyNumberFormat="true" applyFont="true"/>
    <xf numFmtId="0" fontId="1355" fillId="0" borderId="0" xfId="0" applyFill="true" applyBorder="true" applyNumberFormat="true" applyFont="true"/>
    <xf numFmtId="0" fontId="1356" fillId="0" borderId="0" xfId="0" applyFill="true" applyBorder="true" applyNumberFormat="true" applyFont="true"/>
    <xf numFmtId="0" fontId="1357" fillId="0" borderId="0" xfId="0" applyFill="true" applyBorder="true" applyNumberFormat="true" applyFont="true"/>
    <xf numFmtId="0" fontId="1358" fillId="0" borderId="0" xfId="0" applyFill="true" applyBorder="true" applyNumberFormat="true" applyFont="true"/>
    <xf numFmtId="0" fontId="1359" fillId="0" borderId="0" xfId="0" applyFill="true" applyBorder="true" applyNumberFormat="true" applyFont="true"/>
    <xf numFmtId="0" fontId="1360" fillId="0" borderId="0" xfId="0" applyFill="true" applyBorder="true" applyNumberFormat="true" applyFont="true"/>
    <xf numFmtId="0" fontId="1361" fillId="0" borderId="0" xfId="0" applyFill="true" applyBorder="true" applyNumberFormat="true" applyFont="true"/>
    <xf numFmtId="0" fontId="1362" fillId="0" borderId="0" xfId="0" applyFill="true" applyBorder="true" applyNumberFormat="true" applyFont="true"/>
    <xf numFmtId="0" fontId="1363" fillId="0" borderId="0" xfId="0" applyFill="true" applyBorder="true" applyNumberFormat="true" applyFont="true"/>
    <xf numFmtId="0" fontId="1364" fillId="0" borderId="0" xfId="0" applyFill="true" applyBorder="true" applyNumberFormat="true" applyFont="true"/>
    <xf numFmtId="0" fontId="1365" fillId="0" borderId="0" xfId="0" applyFill="true" applyBorder="true" applyNumberFormat="true" applyFont="true"/>
    <xf numFmtId="0" fontId="1366" fillId="0" borderId="0" xfId="0" applyFill="true" applyBorder="true" applyNumberFormat="true" applyFont="true"/>
    <xf numFmtId="0" fontId="1367" fillId="0" borderId="0" xfId="0" applyFill="true" applyBorder="true" applyNumberFormat="true" applyFont="true"/>
    <xf numFmtId="0" fontId="1368" fillId="0" borderId="0" xfId="0" applyFill="true" applyBorder="true" applyNumberFormat="true" applyFont="true"/>
    <xf numFmtId="0" fontId="1369" fillId="0" borderId="0" xfId="0" applyFill="true" applyBorder="true" applyNumberFormat="true" applyFont="true"/>
    <xf numFmtId="0" fontId="1370" fillId="0" borderId="0" xfId="0" applyFill="true" applyBorder="true" applyNumberFormat="true" applyFont="true"/>
    <xf numFmtId="0" fontId="1371" fillId="0" borderId="0" xfId="0" applyFill="true" applyBorder="true" applyNumberFormat="true" applyFont="true"/>
    <xf numFmtId="0" fontId="1372" fillId="0" borderId="0" xfId="0" applyFill="true" applyBorder="true" applyNumberFormat="true" applyFont="true"/>
    <xf numFmtId="0" fontId="1373" fillId="0" borderId="0" xfId="0" applyFill="true" applyBorder="true" applyNumberFormat="true" applyFont="true"/>
    <xf numFmtId="0" fontId="1374" fillId="0" borderId="0" xfId="0" applyFill="true" applyBorder="true" applyNumberFormat="true" applyFont="true"/>
    <xf numFmtId="0" fontId="1375" fillId="0" borderId="0" xfId="0" applyFill="true" applyBorder="true" applyNumberFormat="true" applyFont="true"/>
    <xf numFmtId="0" fontId="1376" fillId="0" borderId="0" xfId="0" applyFill="true" applyBorder="true" applyNumberFormat="true" applyFont="true"/>
    <xf numFmtId="0" fontId="1377" fillId="0" borderId="0" xfId="0" applyFill="true" applyBorder="true" applyNumberFormat="true" applyFont="true"/>
    <xf numFmtId="0" fontId="1378" fillId="0" borderId="0" xfId="0" applyFill="true" applyBorder="true" applyNumberFormat="true" applyFont="true"/>
    <xf numFmtId="0" fontId="1379" fillId="0" borderId="0" xfId="0" applyFill="true" applyBorder="true" applyNumberFormat="true" applyFont="true"/>
    <xf numFmtId="0" fontId="1380" fillId="0" borderId="0" xfId="0" applyFill="true" applyBorder="true" applyNumberFormat="true" applyFont="true"/>
    <xf numFmtId="0" fontId="1381" fillId="0" borderId="0" xfId="0" applyFill="true" applyBorder="true" applyNumberFormat="true" applyFont="true"/>
    <xf numFmtId="0" fontId="1382" fillId="0" borderId="0" xfId="0" applyFill="true" applyBorder="true" applyNumberFormat="true" applyFont="true"/>
    <xf numFmtId="0" fontId="1383" fillId="0" borderId="0" xfId="0" applyFill="true" applyBorder="true" applyNumberFormat="true" applyFont="true"/>
    <xf numFmtId="0" fontId="1384" fillId="0" borderId="0" xfId="0" applyFill="true" applyBorder="true" applyNumberFormat="true" applyFont="true"/>
    <xf numFmtId="0" fontId="1385" fillId="0" borderId="0" xfId="0" applyFill="true" applyBorder="true" applyNumberFormat="true" applyFont="true"/>
    <xf numFmtId="0" fontId="1386" fillId="0" borderId="0" xfId="0" applyFill="true" applyBorder="true" applyNumberFormat="true" applyFont="true"/>
    <xf numFmtId="0" fontId="1387" fillId="0" borderId="0" xfId="0" applyFill="true" applyBorder="true" applyNumberFormat="true" applyFont="true"/>
    <xf numFmtId="0" fontId="1388" fillId="0" borderId="0" xfId="0" applyFill="true" applyBorder="true" applyNumberFormat="true" applyFont="true"/>
    <xf numFmtId="0" fontId="1389" fillId="0" borderId="0" xfId="0" applyFill="true" applyBorder="true" applyNumberFormat="true" applyFont="true"/>
    <xf numFmtId="0" fontId="1390" fillId="0" borderId="0" xfId="0" applyFill="true" applyBorder="true" applyNumberFormat="true" applyFont="true"/>
    <xf numFmtId="0" fontId="1391" fillId="0" borderId="0" xfId="0" applyFill="true" applyBorder="true" applyNumberFormat="true" applyFont="true"/>
    <xf numFmtId="0" fontId="1392" fillId="0" borderId="0" xfId="0" applyFill="true" applyBorder="true" applyNumberFormat="true" applyFont="true"/>
    <xf numFmtId="0" fontId="1393" fillId="0" borderId="0" xfId="0" applyFill="true" applyBorder="true" applyNumberFormat="true" applyFont="true"/>
    <xf numFmtId="0" fontId="1394" fillId="0" borderId="0" xfId="0" applyFill="true" applyBorder="true" applyNumberFormat="true" applyFont="true"/>
    <xf numFmtId="0" fontId="1395" fillId="0" borderId="0" xfId="0" applyFill="true" applyBorder="true" applyNumberFormat="true" applyFont="true"/>
    <xf numFmtId="0" fontId="1396" fillId="0" borderId="0" xfId="0" applyFill="true" applyBorder="true" applyNumberFormat="true" applyFont="true"/>
    <xf numFmtId="0" fontId="1397" fillId="0" borderId="0" xfId="0" applyFill="true" applyBorder="true" applyNumberFormat="true" applyFont="true"/>
    <xf numFmtId="0" fontId="1398" fillId="0" borderId="0" xfId="0" applyFill="true" applyBorder="true" applyNumberFormat="true" applyFont="true"/>
    <xf numFmtId="0" fontId="1399" fillId="0" borderId="0" xfId="0" applyFill="true" applyBorder="true" applyNumberFormat="true" applyFont="true"/>
    <xf numFmtId="0" fontId="1400" fillId="0" borderId="0" xfId="0" applyFill="true" applyBorder="true" applyNumberFormat="true" applyFont="true"/>
    <xf numFmtId="0" fontId="1401" fillId="0" borderId="0" xfId="0" applyFill="true" applyBorder="true" applyNumberFormat="true" applyFont="true"/>
    <xf numFmtId="0" fontId="1402" fillId="0" borderId="0" xfId="0" applyFill="true" applyBorder="true" applyNumberFormat="true" applyFont="true"/>
    <xf numFmtId="0" fontId="1403" fillId="0" borderId="0" xfId="0" applyFill="true" applyBorder="true" applyNumberFormat="true" applyFont="true"/>
    <xf numFmtId="0" fontId="1404" fillId="0" borderId="0" xfId="0" applyFill="true" applyBorder="true" applyNumberFormat="true" applyFont="true"/>
    <xf numFmtId="0" fontId="1405" fillId="0" borderId="0" xfId="0" applyFill="true" applyBorder="true" applyNumberFormat="true" applyFont="true"/>
    <xf numFmtId="0" fontId="1406" fillId="0" borderId="0" xfId="0" applyFill="true" applyBorder="true" applyNumberFormat="true" applyFont="true"/>
    <xf numFmtId="0" fontId="1407" fillId="0" borderId="0" xfId="0" applyFill="true" applyBorder="true" applyNumberFormat="true" applyFont="true"/>
    <xf numFmtId="0" fontId="1408" fillId="0" borderId="0" xfId="0" applyFill="true" applyBorder="true" applyNumberFormat="true" applyFont="true"/>
    <xf numFmtId="0" fontId="1409" fillId="0" borderId="0" xfId="0" applyFill="true" applyBorder="true" applyNumberFormat="true" applyFont="true"/>
    <xf numFmtId="0" fontId="1410" fillId="0" borderId="0" xfId="0" applyFill="true" applyBorder="true" applyNumberFormat="true" applyFont="true"/>
    <xf numFmtId="0" fontId="1411" fillId="0" borderId="0" xfId="0" applyFill="true" applyBorder="true" applyNumberFormat="true" applyFont="true"/>
    <xf numFmtId="0" fontId="1412" fillId="0" borderId="0" xfId="0" applyFill="true" applyBorder="true" applyNumberFormat="true" applyFont="true"/>
    <xf numFmtId="0" fontId="1413" fillId="0" borderId="0" xfId="0" applyFill="true" applyBorder="true" applyNumberFormat="true" applyFont="true"/>
    <xf numFmtId="0" fontId="1414" fillId="0" borderId="0" xfId="0" applyFill="true" applyBorder="true" applyNumberFormat="true" applyFont="true"/>
    <xf numFmtId="0" fontId="1415" fillId="0" borderId="0" xfId="0" applyFill="true" applyBorder="true" applyNumberFormat="true" applyFont="true"/>
    <xf numFmtId="0" fontId="1416" fillId="0" borderId="0" xfId="0" applyFill="true" applyBorder="true" applyNumberFormat="true" applyFont="true"/>
    <xf numFmtId="0" fontId="1417" fillId="0" borderId="0" xfId="0" applyFill="true" applyBorder="true" applyNumberFormat="true" applyFont="true"/>
    <xf numFmtId="0" fontId="1418" fillId="0" borderId="0" xfId="0" applyFill="true" applyBorder="true" applyNumberFormat="true" applyFont="true"/>
    <xf numFmtId="0" fontId="1419" fillId="0" borderId="0" xfId="0" applyFill="true" applyBorder="true" applyNumberFormat="true" applyFont="true"/>
    <xf numFmtId="0" fontId="1420" fillId="0" borderId="0" xfId="0" applyFill="true" applyBorder="true" applyNumberFormat="true" applyFont="true"/>
    <xf numFmtId="0" fontId="1421" fillId="0" borderId="0" xfId="0" applyFill="true" applyBorder="true" applyNumberFormat="true" applyFont="true"/>
    <xf numFmtId="0" fontId="1422" fillId="0" borderId="0" xfId="0" applyFill="true" applyBorder="true" applyNumberFormat="true" applyFont="true"/>
    <xf numFmtId="0" fontId="1423" fillId="0" borderId="0" xfId="0" applyFill="true" applyBorder="true" applyNumberFormat="true" applyFont="true"/>
    <xf numFmtId="0" fontId="1424" fillId="0" borderId="0" xfId="0" applyFill="true" applyBorder="true" applyNumberFormat="true" applyFont="true"/>
    <xf numFmtId="0" fontId="1425" fillId="0" borderId="0" xfId="0" applyFill="true" applyBorder="true" applyNumberFormat="true" applyFont="true"/>
    <xf numFmtId="0" fontId="1426" fillId="0" borderId="0" xfId="0" applyFill="true" applyBorder="true" applyNumberFormat="true" applyFont="true"/>
    <xf numFmtId="0" fontId="1427" fillId="0" borderId="0" xfId="0" applyFill="true" applyBorder="true" applyNumberFormat="true" applyFont="true"/>
    <xf numFmtId="0" fontId="1428" fillId="0" borderId="0" xfId="0" applyFill="true" applyBorder="true" applyNumberFormat="true" applyFont="true"/>
    <xf numFmtId="0" fontId="1429" fillId="0" borderId="0" xfId="0" applyFill="true" applyBorder="true" applyNumberFormat="true" applyFont="true"/>
    <xf numFmtId="0" fontId="1430" fillId="0" borderId="0" xfId="0" applyFill="true" applyBorder="true" applyNumberFormat="true" applyFont="true"/>
    <xf numFmtId="0" fontId="1431" fillId="0" borderId="0" xfId="0" applyFill="true" applyBorder="true" applyNumberFormat="true" applyFont="true"/>
    <xf numFmtId="0" fontId="1432" fillId="0" borderId="0" xfId="0" applyFill="true" applyBorder="true" applyNumberFormat="true" applyFont="true"/>
    <xf numFmtId="0" fontId="1433" fillId="0" borderId="0" xfId="0" applyFill="true" applyBorder="true" applyNumberFormat="true" applyFont="true"/>
    <xf numFmtId="0" fontId="1434" fillId="0" borderId="0" xfId="0" applyFill="true" applyBorder="true" applyNumberFormat="true" applyFont="true"/>
    <xf numFmtId="0" fontId="1435" fillId="0" borderId="0" xfId="0" applyFill="true" applyBorder="true" applyNumberFormat="true" applyFont="true"/>
    <xf numFmtId="0" fontId="1436" fillId="0" borderId="0" xfId="0" applyFill="true" applyBorder="true" applyNumberFormat="true" applyFont="true"/>
    <xf numFmtId="0" fontId="1437" fillId="0" borderId="0" xfId="0" applyFill="true" applyBorder="true" applyNumberFormat="true" applyFont="true"/>
    <xf numFmtId="0" fontId="1438" fillId="0" borderId="0" xfId="0" applyFill="true" applyBorder="true" applyNumberFormat="true" applyFont="true"/>
    <xf numFmtId="0" fontId="1439" fillId="0" borderId="0" xfId="0" applyFill="true" applyBorder="true" applyNumberFormat="true" applyFont="true"/>
    <xf numFmtId="0" fontId="1440" fillId="0" borderId="0" xfId="0" applyFill="true" applyBorder="true" applyNumberFormat="true" applyFont="true"/>
    <xf numFmtId="0" fontId="1441" fillId="0" borderId="0" xfId="0" applyFill="true" applyBorder="true" applyNumberFormat="true" applyFont="true"/>
    <xf numFmtId="0" fontId="1442" fillId="0" borderId="0" xfId="0" applyFill="true" applyBorder="true" applyNumberFormat="true" applyFont="true"/>
    <xf numFmtId="0" fontId="1443" fillId="0" borderId="0" xfId="0" applyFill="true" applyBorder="true" applyNumberFormat="true" applyFont="true"/>
    <xf numFmtId="0" fontId="1444" fillId="0" borderId="0" xfId="0" applyFill="true" applyBorder="true" applyNumberFormat="true" applyFont="true"/>
    <xf numFmtId="0" fontId="1445" fillId="0" borderId="0" xfId="0" applyFill="true" applyBorder="true" applyNumberFormat="true" applyFont="true"/>
    <xf numFmtId="0" fontId="1446" fillId="0" borderId="0" xfId="0" applyFill="true" applyBorder="true" applyNumberFormat="true" applyFont="true"/>
    <xf numFmtId="0" fontId="1447" fillId="0" borderId="0" xfId="0" applyFill="true" applyBorder="true" applyNumberFormat="true" applyFont="true"/>
    <xf numFmtId="0" fontId="1448" fillId="0" borderId="0" xfId="0" applyFill="true" applyBorder="true" applyNumberFormat="true" applyFont="true"/>
    <xf numFmtId="0" fontId="1449" fillId="0" borderId="0" xfId="0" applyFill="true" applyBorder="true" applyNumberFormat="true" applyFont="true"/>
    <xf numFmtId="0" fontId="1450" fillId="0" borderId="0" xfId="0" applyFill="true" applyBorder="true" applyNumberFormat="true" applyFont="true"/>
    <xf numFmtId="0" fontId="1451" fillId="0" borderId="0" xfId="0" applyFill="true" applyBorder="true" applyNumberFormat="true" applyFont="true"/>
    <xf numFmtId="0" fontId="1452" fillId="0" borderId="0" xfId="0" applyFill="true" applyBorder="true" applyNumberFormat="true" applyFont="true"/>
    <xf numFmtId="0" fontId="1453" fillId="0" borderId="0" xfId="0" applyFill="true" applyBorder="true" applyNumberFormat="true" applyFont="true"/>
    <xf numFmtId="0" fontId="1454" fillId="0" borderId="0" xfId="0" applyFill="true" applyBorder="true" applyNumberFormat="true" applyFont="true"/>
    <xf numFmtId="0" fontId="1455" fillId="0" borderId="0" xfId="0" applyFill="true" applyBorder="true" applyNumberFormat="true" applyFont="true"/>
    <xf numFmtId="0" fontId="1456" fillId="0" borderId="0" xfId="0" applyFill="true" applyBorder="true" applyNumberFormat="true" applyFont="true"/>
    <xf numFmtId="0" fontId="1457" fillId="0" borderId="0" xfId="0" applyFill="true" applyBorder="true" applyNumberFormat="true" applyFont="true"/>
    <xf numFmtId="0" fontId="1458" fillId="0" borderId="0" xfId="0" applyFill="true" applyBorder="true" applyNumberFormat="true" applyFont="true"/>
    <xf numFmtId="0" fontId="1459" fillId="0" borderId="0" xfId="0" applyFill="true" applyBorder="true" applyNumberFormat="true" applyFont="true"/>
    <xf numFmtId="0" fontId="1460" fillId="0" borderId="0" xfId="0" applyFill="true" applyBorder="true" applyNumberFormat="true" applyFont="true"/>
    <xf numFmtId="0" fontId="1461" fillId="0" borderId="0" xfId="0" applyFill="true" applyBorder="true" applyNumberFormat="true" applyFont="true"/>
    <xf numFmtId="0" fontId="1462" fillId="0" borderId="0" xfId="0" applyFill="true" applyBorder="true" applyNumberFormat="true" applyFont="true"/>
    <xf numFmtId="0" fontId="1463" fillId="0" borderId="0" xfId="0" applyFill="true" applyBorder="true" applyNumberFormat="true" applyFont="true"/>
    <xf numFmtId="0" fontId="1464" fillId="0" borderId="0" xfId="0" applyFill="true" applyBorder="true" applyNumberFormat="true" applyFont="true"/>
    <xf numFmtId="0" fontId="1465" fillId="0" borderId="0" xfId="0" applyFill="true" applyBorder="true" applyNumberFormat="true" applyFont="true"/>
    <xf numFmtId="0" fontId="1466" fillId="0" borderId="0" xfId="0" applyFill="true" applyBorder="true" applyNumberFormat="true" applyFont="true"/>
    <xf numFmtId="0" fontId="1467" fillId="0" borderId="0" xfId="0" applyFill="true" applyBorder="true" applyNumberFormat="true" applyFont="true"/>
    <xf numFmtId="0" fontId="1468" fillId="0" borderId="0" xfId="0" applyFill="true" applyBorder="true" applyNumberFormat="true" applyFont="true"/>
    <xf numFmtId="0" fontId="1469" fillId="0" borderId="0" xfId="0" applyFill="true" applyBorder="true" applyNumberFormat="true" applyFont="true"/>
    <xf numFmtId="0" fontId="1470" fillId="0" borderId="0" xfId="0" applyFill="true" applyBorder="true" applyNumberFormat="true" applyFont="true"/>
    <xf numFmtId="0" fontId="1471" fillId="0" borderId="0" xfId="0" applyFill="true" applyBorder="true" applyNumberFormat="true" applyFont="true"/>
    <xf numFmtId="0" fontId="1472" fillId="0" borderId="0" xfId="0" applyFill="true" applyBorder="true" applyNumberFormat="true" applyFont="true"/>
    <xf numFmtId="0" fontId="1473" fillId="0" borderId="0" xfId="0" applyFill="true" applyBorder="true" applyNumberFormat="true" applyFont="true"/>
    <xf numFmtId="0" fontId="1474" fillId="0" borderId="0" xfId="0" applyFill="true" applyBorder="true" applyNumberFormat="true" applyFont="true"/>
    <xf numFmtId="0" fontId="1475" fillId="0" borderId="0" xfId="0" applyFill="true" applyBorder="true" applyNumberFormat="true" applyFont="true"/>
    <xf numFmtId="0" fontId="1476" fillId="0" borderId="0" xfId="0" applyFill="true" applyBorder="true" applyNumberFormat="true" applyFont="true"/>
    <xf numFmtId="0" fontId="1477" fillId="0" borderId="0" xfId="0" applyFill="true" applyBorder="true" applyNumberFormat="true" applyFont="true"/>
    <xf numFmtId="0" fontId="1478" fillId="0" borderId="0" xfId="0" applyFill="true" applyBorder="true" applyNumberFormat="true" applyFont="true"/>
    <xf numFmtId="0" fontId="1479" fillId="0" borderId="0" xfId="0" applyFill="true" applyBorder="true" applyNumberFormat="true" applyFont="true"/>
    <xf numFmtId="0" fontId="1480" fillId="0" borderId="0" xfId="0" applyFill="true" applyBorder="true" applyNumberFormat="true" applyFont="true"/>
    <xf numFmtId="0" fontId="1481" fillId="0" borderId="0" xfId="0" applyFill="true" applyBorder="true" applyNumberFormat="true" applyFont="true"/>
    <xf numFmtId="0" fontId="1482" fillId="0" borderId="0" xfId="0" applyFill="true" applyBorder="true" applyNumberFormat="true" applyFont="true"/>
    <xf numFmtId="0" fontId="1483" fillId="0" borderId="0" xfId="0" applyFill="true" applyBorder="true" applyNumberFormat="true" applyFont="true"/>
    <xf numFmtId="0" fontId="1484" fillId="0" borderId="0" xfId="0" applyFill="true" applyBorder="true" applyNumberFormat="true" applyFont="true"/>
    <xf numFmtId="0" fontId="1485" fillId="0" borderId="0" xfId="0" applyFill="true" applyBorder="true" applyNumberFormat="true" applyFont="true"/>
    <xf numFmtId="0" fontId="1486" fillId="0" borderId="0" xfId="0" applyFill="true" applyBorder="true" applyNumberFormat="true" applyFont="true"/>
    <xf numFmtId="0" fontId="1487" fillId="0" borderId="0" xfId="0" applyFill="true" applyBorder="true" applyNumberFormat="true" applyFont="true"/>
    <xf numFmtId="0" fontId="1488" fillId="0" borderId="0" xfId="0" applyFill="true" applyBorder="true" applyNumberFormat="true" applyFont="true"/>
    <xf numFmtId="0" fontId="1489" fillId="0" borderId="0" xfId="0" applyFill="true" applyBorder="true" applyNumberFormat="true" applyFont="true"/>
    <xf numFmtId="0" fontId="1490" fillId="0" borderId="0" xfId="0" applyFill="true" applyBorder="true" applyNumberFormat="true" applyFont="true"/>
    <xf numFmtId="0" fontId="1491" fillId="0" borderId="0" xfId="0" applyFill="true" applyBorder="true" applyNumberFormat="true" applyFont="true"/>
    <xf numFmtId="0" fontId="1492" fillId="0" borderId="0" xfId="0" applyFill="true" applyBorder="true" applyNumberFormat="true" applyFont="true"/>
    <xf numFmtId="0" fontId="1493" fillId="0" borderId="0" xfId="0" applyFill="true" applyBorder="true" applyNumberFormat="true" applyFont="true"/>
    <xf numFmtId="0" fontId="1494" fillId="0" borderId="0" xfId="0" applyFill="true" applyBorder="true" applyNumberFormat="true" applyFont="true"/>
    <xf numFmtId="0" fontId="1495" fillId="0" borderId="0" xfId="0" applyFill="true" applyBorder="true" applyNumberFormat="true" applyFont="true"/>
    <xf numFmtId="0" fontId="1496" fillId="0" borderId="0" xfId="0" applyFill="true" applyBorder="true" applyNumberFormat="true" applyFont="true"/>
    <xf numFmtId="0" fontId="1497" fillId="0" borderId="0" xfId="0" applyFill="true" applyBorder="true" applyNumberFormat="true" applyFont="true"/>
    <xf numFmtId="0" fontId="1498" fillId="0" borderId="0" xfId="0" applyFill="true" applyBorder="true" applyNumberFormat="true" applyFont="true"/>
    <xf numFmtId="0" fontId="1499" fillId="0" borderId="0" xfId="0" applyFill="true" applyBorder="true" applyNumberFormat="true" applyFont="true"/>
    <xf numFmtId="0" fontId="1500" fillId="0" borderId="0" xfId="0" applyFill="true" applyBorder="true" applyNumberFormat="true" applyFont="true"/>
    <xf numFmtId="0" fontId="1501" fillId="0" borderId="0" xfId="0" applyFill="true" applyBorder="true" applyNumberFormat="true" applyFont="true"/>
    <xf numFmtId="0" fontId="1502" fillId="0" borderId="0" xfId="0" applyFill="true" applyBorder="true" applyNumberFormat="true" applyFont="true"/>
    <xf numFmtId="0" fontId="1503" fillId="0" borderId="0" xfId="0" applyFill="true" applyBorder="true" applyNumberFormat="true" applyFont="true"/>
    <xf numFmtId="0" fontId="1504" fillId="0" borderId="0" xfId="0" applyFill="true" applyBorder="true" applyNumberFormat="true" applyFont="true"/>
    <xf numFmtId="0" fontId="1505" fillId="0" borderId="0" xfId="0" applyFill="true" applyBorder="true" applyNumberFormat="true" applyFont="true"/>
    <xf numFmtId="0" fontId="1506" fillId="0" borderId="0" xfId="0" applyFill="true" applyBorder="true" applyNumberFormat="true" applyFont="true"/>
    <xf numFmtId="0" fontId="1507" fillId="0" borderId="0" xfId="0" applyFill="true" applyBorder="true" applyNumberFormat="true" applyFont="true"/>
    <xf numFmtId="0" fontId="1508" fillId="0" borderId="0" xfId="0" applyFill="true" applyBorder="true" applyNumberFormat="true" applyFont="true"/>
    <xf numFmtId="0" fontId="1509" fillId="0" borderId="0" xfId="0" applyFill="true" applyBorder="true" applyNumberFormat="true" applyFont="true"/>
    <xf numFmtId="0" fontId="1510" fillId="0" borderId="0" xfId="0" applyFill="true" applyBorder="true" applyNumberFormat="true" applyFont="true"/>
    <xf numFmtId="0" fontId="1511" fillId="0" borderId="0" xfId="0" applyFill="true" applyBorder="true" applyNumberFormat="true" applyFont="true"/>
    <xf numFmtId="0" fontId="1512" fillId="0" borderId="0" xfId="0" applyFill="true" applyBorder="true" applyNumberFormat="true" applyFont="true"/>
    <xf numFmtId="0" fontId="1513" fillId="0" borderId="0" xfId="0" applyFill="true" applyBorder="true" applyNumberFormat="true" applyFont="true"/>
    <xf numFmtId="0" fontId="1514" fillId="0" borderId="0" xfId="0" applyFill="true" applyBorder="true" applyNumberFormat="true" applyFont="true"/>
    <xf numFmtId="0" fontId="1515" fillId="0" borderId="0" xfId="0" applyFill="true" applyBorder="true" applyNumberFormat="true" applyFont="true"/>
    <xf numFmtId="0" fontId="1516" fillId="0" borderId="0" xfId="0" applyFill="true" applyBorder="true" applyNumberFormat="true" applyFont="true"/>
    <xf numFmtId="0" fontId="1517" fillId="0" borderId="0" xfId="0" applyFill="true" applyBorder="true" applyNumberFormat="true" applyFont="true"/>
    <xf numFmtId="0" fontId="1518" fillId="0" borderId="0" xfId="0" applyFill="true" applyBorder="true" applyNumberFormat="true" applyFont="true"/>
    <xf numFmtId="0" fontId="1519" fillId="0" borderId="0" xfId="0" applyFill="true" applyBorder="true" applyNumberFormat="true" applyFont="true"/>
    <xf numFmtId="0" fontId="1520" fillId="0" borderId="0" xfId="0" applyFill="true" applyBorder="true" applyNumberFormat="true" applyFont="true"/>
    <xf numFmtId="0" fontId="1521" fillId="0" borderId="0" xfId="0" applyFill="true" applyBorder="true" applyNumberFormat="true" applyFont="true"/>
    <xf numFmtId="0" fontId="1522" fillId="0" borderId="0" xfId="0" applyFill="true" applyBorder="true" applyNumberFormat="true" applyFont="true"/>
    <xf numFmtId="0" fontId="1523" fillId="0" borderId="0" xfId="0" applyFill="true" applyBorder="true" applyNumberFormat="true" applyFont="true"/>
    <xf numFmtId="0" fontId="1524" fillId="0" borderId="0" xfId="0" applyFill="true" applyBorder="true" applyNumberFormat="true" applyFont="true"/>
    <xf numFmtId="0" fontId="1525" fillId="0" borderId="0" xfId="0" applyFill="true" applyBorder="true" applyNumberFormat="true" applyFont="true"/>
    <xf numFmtId="0" fontId="1526" fillId="0" borderId="0" xfId="0" applyFill="true" applyBorder="true" applyNumberFormat="true" applyFont="true"/>
    <xf numFmtId="0" fontId="1527" fillId="0" borderId="0" xfId="0" applyFill="true" applyBorder="true" applyNumberFormat="true" applyFont="true"/>
    <xf numFmtId="0" fontId="1528" fillId="0" borderId="0" xfId="0" applyFill="true" applyBorder="true" applyNumberFormat="true" applyFont="true"/>
    <xf numFmtId="0" fontId="1529" fillId="0" borderId="0" xfId="0" applyFill="true" applyBorder="true" applyNumberFormat="true" applyFont="true"/>
    <xf numFmtId="0" fontId="1530" fillId="0" borderId="0" xfId="0" applyFill="true" applyBorder="true" applyNumberFormat="true" applyFont="true"/>
    <xf numFmtId="0" fontId="1531" fillId="0" borderId="0" xfId="0" applyFill="true" applyBorder="true" applyNumberFormat="true" applyFont="true"/>
    <xf numFmtId="0" fontId="1532" fillId="0" borderId="0" xfId="0" applyFill="true" applyBorder="true" applyNumberFormat="true" applyFont="true"/>
    <xf numFmtId="0" fontId="1533" fillId="0" borderId="0" xfId="0" applyFill="true" applyBorder="true" applyNumberFormat="true" applyFont="true"/>
    <xf numFmtId="0" fontId="1534" fillId="0" borderId="0" xfId="0" applyFill="true" applyBorder="true" applyNumberFormat="true" applyFont="true"/>
    <xf numFmtId="0" fontId="1535" fillId="0" borderId="0" xfId="0" applyFill="true" applyBorder="true" applyNumberFormat="true" applyFont="true"/>
    <xf numFmtId="0" fontId="1536" fillId="0" borderId="0" xfId="0" applyFill="true" applyBorder="true" applyNumberFormat="true" applyFont="true"/>
    <xf numFmtId="0" fontId="1537" fillId="0" borderId="0" xfId="0" applyFill="true" applyBorder="true" applyNumberFormat="true" applyFont="true"/>
    <xf numFmtId="0" fontId="1538" fillId="0" borderId="0" xfId="0" applyFill="true" applyBorder="true" applyNumberFormat="true" applyFont="true"/>
    <xf numFmtId="0" fontId="1539" fillId="0" borderId="0" xfId="0" applyFill="true" applyBorder="true" applyNumberFormat="true" applyFont="true"/>
    <xf numFmtId="0" fontId="1540" fillId="0" borderId="0" xfId="0" applyFill="true" applyBorder="true" applyNumberFormat="true" applyFont="true"/>
    <xf numFmtId="0" fontId="1541" fillId="0" borderId="0" xfId="0" applyFill="true" applyBorder="true" applyNumberFormat="true" applyFont="true"/>
    <xf numFmtId="0" fontId="1542" fillId="0" borderId="0" xfId="0" applyFill="true" applyBorder="true" applyNumberFormat="true" applyFont="true"/>
    <xf numFmtId="0" fontId="1543" fillId="0" borderId="0" xfId="0" applyFill="true" applyBorder="true" applyNumberFormat="true" applyFont="true"/>
    <xf numFmtId="0" fontId="1544" fillId="0" borderId="0" xfId="0" applyFill="true" applyBorder="true" applyNumberFormat="true" applyFont="true"/>
    <xf numFmtId="0" fontId="1545" fillId="0" borderId="0" xfId="0" applyFill="true" applyBorder="true" applyNumberFormat="true" applyFont="true"/>
    <xf numFmtId="0" fontId="1546" fillId="0" borderId="0" xfId="0" applyFill="true" applyBorder="true" applyNumberFormat="true" applyFont="true"/>
    <xf numFmtId="0" fontId="1547" fillId="0" borderId="0" xfId="0" applyFill="true" applyBorder="true" applyNumberFormat="true" applyFont="true"/>
    <xf numFmtId="0" fontId="1548" fillId="0" borderId="0" xfId="0" applyFill="true" applyBorder="true" applyNumberFormat="true" applyFont="true"/>
    <xf numFmtId="0" fontId="1549" fillId="0" borderId="0" xfId="0" applyFill="true" applyBorder="true" applyNumberFormat="true" applyFont="true"/>
    <xf numFmtId="0" fontId="1550" fillId="0" borderId="0" xfId="0" applyFill="true" applyBorder="true" applyNumberFormat="true" applyFont="true"/>
    <xf numFmtId="0" fontId="1551" fillId="0" borderId="0" xfId="0" applyFill="true" applyBorder="true" applyNumberFormat="true" applyFont="true"/>
    <xf numFmtId="0" fontId="1552" fillId="0" borderId="0" xfId="0" applyFill="true" applyBorder="true" applyNumberFormat="true" applyFont="true"/>
    <xf numFmtId="0" fontId="1553" fillId="0" borderId="0" xfId="0" applyFill="true" applyBorder="true" applyNumberFormat="true" applyFont="true"/>
    <xf numFmtId="0" fontId="1554" fillId="0" borderId="0" xfId="0" applyFill="true" applyBorder="true" applyNumberFormat="true" applyFont="true"/>
    <xf numFmtId="0" fontId="1555" fillId="0" borderId="0" xfId="0" applyFill="true" applyBorder="true" applyNumberFormat="true" applyFont="true"/>
    <xf numFmtId="0" fontId="1556" fillId="0" borderId="0" xfId="0" applyFill="true" applyBorder="true" applyNumberFormat="true" applyFont="true"/>
    <xf numFmtId="0" fontId="1557" fillId="0" borderId="0" xfId="0" applyFill="true" applyBorder="true" applyNumberFormat="true" applyFont="true"/>
    <xf numFmtId="0" fontId="1558" fillId="0" borderId="0" xfId="0" applyFill="true" applyBorder="true" applyNumberFormat="true" applyFont="true"/>
    <xf numFmtId="0" fontId="1559" fillId="0" borderId="0" xfId="0" applyFill="true" applyBorder="true" applyNumberFormat="true" applyFont="true"/>
    <xf numFmtId="0" fontId="1560" fillId="0" borderId="0" xfId="0" applyFill="true" applyBorder="true" applyNumberFormat="true" applyFont="true"/>
    <xf numFmtId="0" fontId="1561" fillId="0" borderId="0" xfId="0" applyFill="true" applyBorder="true" applyNumberFormat="true" applyFont="true"/>
    <xf numFmtId="0" fontId="1562" fillId="0" borderId="0" xfId="0" applyFill="true" applyBorder="true" applyNumberFormat="true" applyFont="true"/>
    <xf numFmtId="0" fontId="1563" fillId="0" borderId="0" xfId="0" applyFill="true" applyBorder="true" applyNumberFormat="true" applyFont="true"/>
    <xf numFmtId="0" fontId="1564" fillId="0" borderId="0" xfId="0" applyFill="true" applyBorder="true" applyNumberFormat="true" applyFont="true"/>
    <xf numFmtId="0" fontId="1565" fillId="0" borderId="0" xfId="0" applyFill="true" applyBorder="true" applyNumberFormat="true" applyFont="true"/>
    <xf numFmtId="0" fontId="1566" fillId="0" borderId="0" xfId="0" applyFill="true" applyBorder="true" applyNumberFormat="true" applyFont="true"/>
    <xf numFmtId="0" fontId="1567" fillId="0" borderId="0" xfId="0" applyFill="true" applyBorder="true" applyNumberFormat="true" applyFont="true"/>
    <xf numFmtId="0" fontId="1568" fillId="0" borderId="0" xfId="0" applyFill="true" applyBorder="true" applyNumberFormat="true" applyFont="true"/>
    <xf numFmtId="0" fontId="1569" fillId="0" borderId="0" xfId="0" applyFill="true" applyBorder="true" applyNumberFormat="true" applyFont="true"/>
    <xf numFmtId="0" fontId="1570" fillId="0" borderId="0" xfId="0" applyFill="true" applyBorder="true" applyNumberFormat="true" applyFont="true"/>
    <xf numFmtId="0" fontId="1571" fillId="0" borderId="0" xfId="0" applyFill="true" applyBorder="true" applyNumberFormat="true" applyFont="true"/>
    <xf numFmtId="0" fontId="1572" fillId="0" borderId="0" xfId="0" applyFill="true" applyBorder="true" applyNumberFormat="true" applyFont="true"/>
    <xf numFmtId="0" fontId="1573" fillId="0" borderId="0" xfId="0" applyFill="true" applyBorder="true" applyNumberFormat="true" applyFont="true"/>
    <xf numFmtId="0" fontId="1574" fillId="0" borderId="0" xfId="0" applyFill="true" applyBorder="true" applyNumberFormat="true" applyFont="true"/>
    <xf numFmtId="0" fontId="1575" fillId="0" borderId="0" xfId="0" applyFill="true" applyBorder="true" applyNumberFormat="true" applyFont="true"/>
    <xf numFmtId="0" fontId="1576" fillId="0" borderId="0" xfId="0" applyFill="true" applyBorder="true" applyNumberFormat="true" applyFont="true"/>
    <xf numFmtId="0" fontId="1577" fillId="0" borderId="0" xfId="0" applyFill="true" applyBorder="true" applyNumberFormat="true" applyFont="true"/>
    <xf numFmtId="0" fontId="1578" fillId="0" borderId="0" xfId="0" applyFill="true" applyBorder="true" applyNumberFormat="true" applyFont="true"/>
    <xf numFmtId="0" fontId="1579" fillId="0" borderId="0" xfId="0" applyFill="true" applyBorder="true" applyNumberFormat="true" applyFont="true"/>
    <xf numFmtId="0" fontId="1580" fillId="0" borderId="0" xfId="0" applyFill="true" applyBorder="true" applyNumberFormat="true" applyFont="true"/>
    <xf numFmtId="0" fontId="1581" fillId="0" borderId="0" xfId="0" applyFill="true" applyBorder="true" applyNumberFormat="true" applyFont="true"/>
    <xf numFmtId="0" fontId="1582" fillId="0" borderId="0" xfId="0" applyFill="true" applyBorder="true" applyNumberFormat="true" applyFont="true"/>
    <xf numFmtId="0" fontId="1583" fillId="0" borderId="0" xfId="0" applyFill="true" applyBorder="true" applyNumberFormat="true" applyFont="true"/>
    <xf numFmtId="0" fontId="1584" fillId="0" borderId="0" xfId="0" applyFill="true" applyBorder="true" applyNumberFormat="true" applyFont="true"/>
    <xf numFmtId="0" fontId="1585" fillId="0" borderId="0" xfId="0" applyFill="true" applyBorder="true" applyNumberFormat="true" applyFont="true"/>
    <xf numFmtId="0" fontId="1586" fillId="0" borderId="0" xfId="0" applyFill="true" applyBorder="true" applyNumberFormat="true" applyFont="true"/>
    <xf numFmtId="0" fontId="1587" fillId="0" borderId="0" xfId="0" applyFill="true" applyBorder="true" applyNumberFormat="true" applyFont="true"/>
    <xf numFmtId="0" fontId="1588" fillId="0" borderId="0" xfId="0" applyFill="true" applyBorder="true" applyNumberFormat="true" applyFont="true"/>
    <xf numFmtId="0" fontId="1589" fillId="0" borderId="0" xfId="0" applyFill="true" applyBorder="true" applyNumberFormat="true" applyFont="true"/>
    <xf numFmtId="0" fontId="1590" fillId="0" borderId="0" xfId="0" applyFill="true" applyBorder="true" applyNumberFormat="true" applyFont="true"/>
    <xf numFmtId="0" fontId="1591" fillId="0" borderId="0" xfId="0" applyFill="true" applyBorder="true" applyNumberFormat="true" applyFont="true"/>
    <xf numFmtId="0" fontId="1592" fillId="0" borderId="0" xfId="0" applyFill="true" applyBorder="true" applyNumberFormat="true" applyFont="true"/>
    <xf numFmtId="0" fontId="1593" fillId="0" borderId="0" xfId="0" applyFill="true" applyBorder="true" applyNumberFormat="true" applyFont="true"/>
    <xf numFmtId="0" fontId="1594" fillId="0" borderId="0" xfId="0" applyFill="true" applyBorder="true" applyNumberFormat="true" applyFont="true"/>
    <xf numFmtId="0" fontId="1595" fillId="0" borderId="0" xfId="0" applyFill="true" applyBorder="true" applyNumberFormat="true" applyFont="true"/>
    <xf numFmtId="0" fontId="1596" fillId="0" borderId="0" xfId="0" applyFill="true" applyBorder="true" applyNumberFormat="true" applyFont="true"/>
    <xf numFmtId="0" fontId="1597" fillId="0" borderId="0" xfId="0" applyFill="true" applyBorder="true" applyNumberFormat="true" applyFont="true"/>
    <xf numFmtId="0" fontId="1598" fillId="0" borderId="0" xfId="0" applyFill="true" applyBorder="true" applyNumberFormat="true" applyFont="true"/>
    <xf numFmtId="0" fontId="1599" fillId="0" borderId="0" xfId="0" applyFill="true" applyBorder="true" applyNumberFormat="true" applyFont="true"/>
    <xf numFmtId="0" fontId="1600" fillId="0" borderId="0" xfId="0" applyFill="true" applyBorder="true" applyNumberFormat="true" applyFont="true"/>
    <xf numFmtId="0" fontId="1601" fillId="0" borderId="0" xfId="0" applyFill="true" applyBorder="true" applyNumberFormat="true" applyFont="true"/>
    <xf numFmtId="0" fontId="1602" fillId="0" borderId="0" xfId="0" applyFill="true" applyBorder="true" applyNumberFormat="true" applyFont="true"/>
    <xf numFmtId="0" fontId="1603" fillId="0" borderId="0" xfId="0" applyFill="true" applyBorder="true" applyNumberFormat="true" applyFont="true"/>
    <xf numFmtId="0" fontId="1604" fillId="0" borderId="0" xfId="0" applyFill="true" applyBorder="true" applyNumberFormat="true" applyFont="true"/>
    <xf numFmtId="0" fontId="1605" fillId="0" borderId="0" xfId="0" applyFill="true" applyBorder="true" applyNumberFormat="true" applyFont="true"/>
    <xf numFmtId="0" fontId="1606" fillId="0" borderId="0" xfId="0" applyFill="true" applyBorder="true" applyNumberFormat="true" applyFont="true"/>
    <xf numFmtId="0" fontId="1607" fillId="0" borderId="0" xfId="0" applyFill="true" applyBorder="true" applyNumberFormat="true" applyFont="true"/>
    <xf numFmtId="0" fontId="1608" fillId="0" borderId="0" xfId="0" applyFill="true" applyBorder="true" applyNumberFormat="true" applyFont="true"/>
    <xf numFmtId="0" fontId="1609" fillId="0" borderId="0" xfId="0" applyFill="true" applyBorder="true" applyNumberFormat="true" applyFont="true"/>
    <xf numFmtId="0" fontId="1610" fillId="0" borderId="0" xfId="0" applyFill="true" applyBorder="true" applyNumberFormat="true" applyFont="true"/>
    <xf numFmtId="0" fontId="1611" fillId="0" borderId="0" xfId="0" applyFill="true" applyBorder="true" applyNumberFormat="true" applyFont="true"/>
    <xf numFmtId="0" fontId="1612" fillId="0" borderId="0" xfId="0" applyFill="true" applyBorder="true" applyNumberFormat="true" applyFont="true"/>
    <xf numFmtId="0" fontId="1613" fillId="0" borderId="0" xfId="0" applyFill="true" applyBorder="true" applyNumberFormat="true" applyFont="true"/>
    <xf numFmtId="0" fontId="1614" fillId="0" borderId="0" xfId="0" applyFill="true" applyBorder="true" applyNumberFormat="true" applyFont="true"/>
    <xf numFmtId="0" fontId="1615" fillId="0" borderId="0" xfId="0" applyFill="true" applyBorder="true" applyNumberFormat="true" applyFont="true"/>
    <xf numFmtId="0" fontId="1616" fillId="0" borderId="0" xfId="0" applyFill="true" applyBorder="true" applyNumberFormat="true" applyFont="true"/>
    <xf numFmtId="0" fontId="1617" fillId="0" borderId="0" xfId="0" applyFill="true" applyBorder="true" applyNumberFormat="true" applyFont="true"/>
    <xf numFmtId="0" fontId="1618" fillId="0" borderId="0" xfId="0" applyFill="true" applyBorder="true" applyNumberFormat="true" applyFont="true"/>
    <xf numFmtId="0" fontId="1619" fillId="0" borderId="0" xfId="0" applyFill="true" applyBorder="true" applyNumberFormat="true" applyFont="true"/>
    <xf numFmtId="0" fontId="1620" fillId="0" borderId="0" xfId="0" applyFill="true" applyBorder="true" applyNumberFormat="true" applyFont="true"/>
    <xf numFmtId="0" fontId="1621" fillId="0" borderId="0" xfId="0" applyFill="true" applyBorder="true" applyNumberFormat="true" applyFont="true"/>
    <xf numFmtId="0" fontId="1622" fillId="0" borderId="0" xfId="0" applyFill="true" applyBorder="true" applyNumberFormat="true" applyFont="true"/>
    <xf numFmtId="0" fontId="1623" fillId="0" borderId="0" xfId="0" applyFill="true" applyBorder="true" applyNumberFormat="true" applyFont="true"/>
    <xf numFmtId="0" fontId="1624" fillId="0" borderId="0" xfId="0" applyFill="true" applyBorder="true" applyNumberFormat="true" applyFont="true"/>
    <xf numFmtId="0" fontId="1625" fillId="0" borderId="0" xfId="0" applyFill="true" applyBorder="true" applyNumberFormat="true" applyFont="true"/>
    <xf numFmtId="0" fontId="1626" fillId="0" borderId="0" xfId="0" applyFill="true" applyBorder="true" applyNumberFormat="true" applyFont="true"/>
    <xf numFmtId="0" fontId="1627" fillId="0" borderId="0" xfId="0" applyFill="true" applyBorder="true" applyNumberFormat="true" applyFont="true"/>
    <xf numFmtId="0" fontId="1628" fillId="0" borderId="0" xfId="0" applyFill="true" applyBorder="true" applyNumberFormat="true" applyFont="true"/>
    <xf numFmtId="0" fontId="1629" fillId="0" borderId="0" xfId="0" applyFill="true" applyBorder="true" applyNumberFormat="true" applyFont="true"/>
    <xf numFmtId="0" fontId="1630" fillId="0" borderId="0" xfId="0" applyFill="true" applyBorder="true" applyNumberFormat="true" applyFont="true"/>
    <xf numFmtId="0" fontId="1631" fillId="0" borderId="0" xfId="0" applyFill="true" applyBorder="true" applyNumberFormat="true" applyFont="true"/>
    <xf numFmtId="0" fontId="1632" fillId="0" borderId="0" xfId="0" applyFill="true" applyBorder="true" applyNumberFormat="true" applyFont="true"/>
    <xf numFmtId="0" fontId="1633" fillId="0" borderId="0" xfId="0" applyFill="true" applyBorder="true" applyNumberFormat="true" applyFont="true"/>
    <xf numFmtId="0" fontId="1634" fillId="0" borderId="0" xfId="0" applyFill="true" applyBorder="true" applyNumberFormat="true" applyFont="true"/>
    <xf numFmtId="0" fontId="1635" fillId="0" borderId="0" xfId="0" applyFill="true" applyBorder="true" applyNumberFormat="true" applyFont="true"/>
    <xf numFmtId="0" fontId="1636" fillId="0" borderId="0" xfId="0" applyFill="true" applyBorder="true" applyNumberFormat="true" applyFont="true"/>
    <xf numFmtId="0" fontId="1637" fillId="0" borderId="0" xfId="0" applyFill="true" applyBorder="true" applyNumberFormat="true" applyFont="true"/>
    <xf numFmtId="0" fontId="1638" fillId="0" borderId="0" xfId="0" applyFill="true" applyBorder="true" applyNumberFormat="true" applyFont="true"/>
    <xf numFmtId="0" fontId="1639" fillId="0" borderId="0" xfId="0" applyFill="true" applyBorder="true" applyNumberFormat="true" applyFont="true"/>
    <xf numFmtId="0" fontId="1640" fillId="0" borderId="0" xfId="0" applyFill="true" applyBorder="true" applyNumberFormat="true" applyFont="true"/>
    <xf numFmtId="0" fontId="1641" fillId="0" borderId="0" xfId="0" applyFill="true" applyBorder="true" applyNumberFormat="true" applyFont="true"/>
    <xf numFmtId="0" fontId="1642" fillId="0" borderId="0" xfId="0" applyFill="true" applyBorder="true" applyNumberFormat="true" applyFont="true"/>
    <xf numFmtId="0" fontId="1643" fillId="0" borderId="0" xfId="0" applyFill="true" applyBorder="true" applyNumberFormat="true" applyFont="true"/>
    <xf numFmtId="0" fontId="1644" fillId="0" borderId="0" xfId="0" applyFill="true" applyBorder="true" applyNumberFormat="true" applyFont="true"/>
    <xf numFmtId="0" fontId="1645" fillId="0" borderId="0" xfId="0" applyFill="true" applyBorder="true" applyNumberFormat="true" applyFont="true"/>
    <xf numFmtId="0" fontId="1646" fillId="0" borderId="0" xfId="0" applyFill="true" applyBorder="true" applyNumberFormat="true" applyFont="true"/>
    <xf numFmtId="0" fontId="1647" fillId="0" borderId="0" xfId="0" applyFill="true" applyBorder="true" applyNumberFormat="true" applyFont="true"/>
    <xf numFmtId="0" fontId="1648" fillId="0" borderId="0" xfId="0" applyFill="true" applyBorder="true" applyNumberFormat="true" applyFont="true"/>
    <xf numFmtId="0" fontId="1649" fillId="0" borderId="0" xfId="0" applyFill="true" applyBorder="true" applyNumberFormat="true" applyFont="true"/>
    <xf numFmtId="0" fontId="1650" fillId="0" borderId="0" xfId="0" applyFill="true" applyBorder="true" applyNumberFormat="true" applyFont="true"/>
    <xf numFmtId="0" fontId="1651" fillId="0" borderId="0" xfId="0" applyFill="true" applyBorder="true" applyNumberFormat="true" applyFont="true"/>
    <xf numFmtId="0" fontId="1652" fillId="0" borderId="0" xfId="0" applyFill="true" applyBorder="true" applyNumberFormat="true" applyFont="true"/>
    <xf numFmtId="0" fontId="1653" fillId="0" borderId="0" xfId="0" applyFill="true" applyBorder="true" applyNumberFormat="true" applyFont="true"/>
    <xf numFmtId="0" fontId="1654" fillId="0" borderId="0" xfId="0" applyFill="true" applyBorder="true" applyNumberFormat="true" applyFont="true"/>
    <xf numFmtId="0" fontId="1655" fillId="0" borderId="0" xfId="0" applyFill="true" applyBorder="true" applyNumberFormat="true" applyFont="true"/>
    <xf numFmtId="0" fontId="1656" fillId="0" borderId="0" xfId="0" applyFill="true" applyBorder="true" applyNumberFormat="true" applyFont="true"/>
    <xf numFmtId="0" fontId="1657" fillId="0" borderId="0" xfId="0" applyFill="true" applyBorder="true" applyNumberFormat="true" applyFont="true"/>
    <xf numFmtId="0" fontId="1658" fillId="0" borderId="0" xfId="0" applyFill="true" applyBorder="true" applyNumberFormat="true" applyFont="true"/>
    <xf numFmtId="0" fontId="1659" fillId="0" borderId="0" xfId="0" applyFill="true" applyBorder="true" applyNumberFormat="true" applyFont="true"/>
    <xf numFmtId="0" fontId="1660" fillId="0" borderId="0" xfId="0" applyFill="true" applyBorder="true" applyNumberFormat="true" applyFont="true"/>
    <xf numFmtId="0" fontId="1661" fillId="0" borderId="0" xfId="0" applyFill="true" applyBorder="true" applyNumberFormat="true" applyFont="true"/>
    <xf numFmtId="0" fontId="1662" fillId="0" borderId="0" xfId="0" applyFill="true" applyBorder="true" applyNumberFormat="true" applyFont="true"/>
    <xf numFmtId="0" fontId="1663" fillId="0" borderId="0" xfId="0" applyFill="true" applyBorder="true" applyNumberFormat="true" applyFont="true"/>
    <xf numFmtId="0" fontId="1664" fillId="0" borderId="0" xfId="0" applyFill="true" applyBorder="true" applyNumberFormat="true" applyFont="true"/>
    <xf numFmtId="0" fontId="1665" fillId="0" borderId="0" xfId="0" applyFill="true" applyBorder="true" applyNumberFormat="true" applyFont="true"/>
    <xf numFmtId="0" fontId="1666" fillId="0" borderId="0" xfId="0" applyFill="true" applyBorder="true" applyNumberFormat="true" applyFont="true"/>
    <xf numFmtId="0" fontId="1667" fillId="0" borderId="0" xfId="0" applyFill="true" applyBorder="true" applyNumberFormat="true" applyFont="true"/>
    <xf numFmtId="0" fontId="1668" fillId="0" borderId="0" xfId="0" applyFill="true" applyBorder="true" applyNumberFormat="true" applyFont="true"/>
    <xf numFmtId="0" fontId="1669" fillId="0" borderId="0" xfId="0" applyFill="true" applyBorder="true" applyNumberFormat="true" applyFont="true"/>
    <xf numFmtId="0" fontId="1670" fillId="0" borderId="0" xfId="0" applyFill="true" applyBorder="true" applyNumberFormat="true" applyFont="true"/>
    <xf numFmtId="0" fontId="1671" fillId="0" borderId="0" xfId="0" applyFill="true" applyBorder="true" applyNumberFormat="true" applyFont="true"/>
    <xf numFmtId="0" fontId="1672" fillId="0" borderId="0" xfId="0" applyFill="true" applyBorder="true" applyNumberFormat="true" applyFont="true"/>
    <xf numFmtId="0" fontId="1673" fillId="0" borderId="0" xfId="0" applyFill="true" applyBorder="true" applyNumberFormat="true" applyFont="true"/>
    <xf numFmtId="0" fontId="1674" fillId="0" borderId="0" xfId="0" applyFill="true" applyBorder="true" applyNumberFormat="true" applyFont="true"/>
    <xf numFmtId="0" fontId="1675" fillId="0" borderId="0" xfId="0" applyFill="true" applyBorder="true" applyNumberFormat="true" applyFont="true"/>
    <xf numFmtId="0" fontId="1676" fillId="0" borderId="0" xfId="0" applyFill="true" applyBorder="true" applyNumberFormat="true" applyFont="true"/>
    <xf numFmtId="0" fontId="1677" fillId="0" borderId="0" xfId="0" applyFill="true" applyBorder="true" applyNumberFormat="true" applyFont="true"/>
    <xf numFmtId="0" fontId="1678" fillId="0" borderId="0" xfId="0" applyFill="true" applyBorder="true" applyNumberFormat="true" applyFont="true"/>
    <xf numFmtId="0" fontId="1679" fillId="0" borderId="0" xfId="0" applyFill="true" applyBorder="true" applyNumberFormat="true" applyFont="true"/>
    <xf numFmtId="0" fontId="1680" fillId="0" borderId="0" xfId="0" applyFill="true" applyBorder="true" applyNumberFormat="true" applyFont="true"/>
    <xf numFmtId="0" fontId="1681" fillId="0" borderId="0" xfId="0" applyFill="true" applyBorder="true" applyNumberFormat="true" applyFont="true"/>
    <xf numFmtId="0" fontId="1682" fillId="0" borderId="0" xfId="0" applyFill="true" applyBorder="true" applyNumberFormat="true" applyFont="true"/>
    <xf numFmtId="0" fontId="1683" fillId="0" borderId="0" xfId="0" applyFill="true" applyBorder="true" applyNumberFormat="true" applyFont="true"/>
    <xf numFmtId="0" fontId="1684" fillId="0" borderId="0" xfId="0" applyFill="true" applyBorder="true" applyNumberFormat="true" applyFont="true"/>
    <xf numFmtId="0" fontId="1685" fillId="0" borderId="0" xfId="0" applyFill="true" applyBorder="true" applyNumberFormat="true" applyFont="true"/>
    <xf numFmtId="0" fontId="1686" fillId="0" borderId="0" xfId="0" applyFill="true" applyBorder="true" applyNumberFormat="true" applyFont="true"/>
    <xf numFmtId="0" fontId="1687" fillId="0" borderId="0" xfId="0" applyFill="true" applyBorder="true" applyNumberFormat="true" applyFont="true"/>
    <xf numFmtId="0" fontId="1688" fillId="0" borderId="0" xfId="0" applyFill="true" applyBorder="true" applyNumberFormat="true" applyFont="true"/>
    <xf numFmtId="0" fontId="1689" fillId="0" borderId="0" xfId="0" applyFill="true" applyBorder="true" applyNumberFormat="true" applyFont="true"/>
    <xf numFmtId="0" fontId="1690" fillId="0" borderId="0" xfId="0" applyFill="true" applyBorder="true" applyNumberFormat="true" applyFont="true"/>
    <xf numFmtId="0" fontId="1691" fillId="0" borderId="0" xfId="0" applyFill="true" applyBorder="true" applyNumberFormat="true" applyFont="true"/>
    <xf numFmtId="0" fontId="1692" fillId="0" borderId="0" xfId="0" applyFill="true" applyBorder="true" applyNumberFormat="true" applyFont="true"/>
    <xf numFmtId="0" fontId="1693" fillId="0" borderId="0" xfId="0" applyFill="true" applyBorder="true" applyNumberFormat="true" applyFont="true"/>
    <xf numFmtId="0" fontId="1694" fillId="0" borderId="0" xfId="0" applyFill="true" applyBorder="true" applyNumberFormat="true" applyFont="true"/>
    <xf numFmtId="0" fontId="1695" fillId="0" borderId="0" xfId="0" applyFill="true" applyBorder="true" applyNumberFormat="true" applyFont="true"/>
    <xf numFmtId="0" fontId="1696" fillId="0" borderId="0" xfId="0" applyFill="true" applyBorder="true" applyNumberFormat="true" applyFont="true"/>
    <xf numFmtId="0" fontId="1697" fillId="0" borderId="0" xfId="0" applyFill="true" applyBorder="true" applyNumberFormat="true" applyFont="true"/>
    <xf numFmtId="0" fontId="1698" fillId="0" borderId="0" xfId="0" applyFill="true" applyBorder="true" applyNumberFormat="true" applyFont="true"/>
    <xf numFmtId="0" fontId="1699" fillId="0" borderId="0" xfId="0" applyFill="true" applyBorder="true" applyNumberFormat="true" applyFont="true"/>
    <xf numFmtId="0" fontId="1700" fillId="0" borderId="0" xfId="0" applyFill="true" applyBorder="true" applyNumberFormat="true" applyFont="true"/>
    <xf numFmtId="0" fontId="1701" fillId="0" borderId="0" xfId="0" applyFill="true" applyBorder="true" applyNumberFormat="true" applyFont="true"/>
    <xf numFmtId="0" fontId="1702" fillId="0" borderId="0" xfId="0" applyFill="true" applyBorder="true" applyNumberFormat="true" applyFont="true"/>
    <xf numFmtId="0" fontId="1703" fillId="0" borderId="0" xfId="0" applyFill="true" applyBorder="true" applyNumberFormat="true" applyFont="true"/>
    <xf numFmtId="0" fontId="1704" fillId="0" borderId="0" xfId="0" applyFill="true" applyBorder="true" applyNumberFormat="true" applyFont="true"/>
    <xf numFmtId="0" fontId="1705" fillId="0" borderId="0" xfId="0" applyFill="true" applyBorder="true" applyNumberFormat="true" applyFont="true"/>
    <xf numFmtId="0" fontId="1706" fillId="0" borderId="0" xfId="0" applyFill="true" applyBorder="true" applyNumberFormat="true" applyFont="true"/>
    <xf numFmtId="0" fontId="1707" fillId="0" borderId="0" xfId="0" applyFill="true" applyBorder="true" applyNumberFormat="true" applyFont="true"/>
    <xf numFmtId="0" fontId="1708" fillId="0" borderId="0" xfId="0" applyFill="true" applyBorder="true" applyNumberFormat="true" applyFont="true"/>
    <xf numFmtId="0" fontId="1709" fillId="0" borderId="0" xfId="0" applyFill="true" applyBorder="true" applyNumberFormat="true" applyFont="true"/>
    <xf numFmtId="0" fontId="1710" fillId="0" borderId="0" xfId="0" applyFill="true" applyBorder="true" applyNumberFormat="true" applyFont="true"/>
    <xf numFmtId="0" fontId="1711" fillId="0" borderId="0" xfId="0" applyFill="true" applyBorder="true" applyNumberFormat="true" applyFont="true"/>
    <xf numFmtId="0" fontId="1712" fillId="0" borderId="0" xfId="0" applyFill="true" applyBorder="true" applyNumberFormat="true" applyFont="true"/>
    <xf numFmtId="0" fontId="1713" fillId="0" borderId="0" xfId="0" applyFill="true" applyBorder="true" applyNumberFormat="true" applyFont="true"/>
    <xf numFmtId="0" fontId="1714" fillId="0" borderId="0" xfId="0" applyFill="true" applyBorder="true" applyNumberFormat="true" applyFont="true"/>
    <xf numFmtId="0" fontId="1715" fillId="0" borderId="0" xfId="0" applyFill="true" applyBorder="true" applyNumberFormat="true" applyFont="true"/>
    <xf numFmtId="0" fontId="1716" fillId="0" borderId="0" xfId="0" applyFill="true" applyBorder="true" applyNumberFormat="true" applyFont="true"/>
    <xf numFmtId="0" fontId="1717" fillId="0" borderId="0" xfId="0" applyFill="true" applyBorder="true" applyNumberFormat="true" applyFont="true"/>
    <xf numFmtId="0" fontId="1718" fillId="0" borderId="0" xfId="0" applyFill="true" applyBorder="true" applyNumberFormat="true" applyFont="true"/>
    <xf numFmtId="0" fontId="1719" fillId="0" borderId="0" xfId="0" applyFill="true" applyBorder="true" applyNumberFormat="true" applyFont="true"/>
    <xf numFmtId="0" fontId="1720" fillId="0" borderId="0" xfId="0" applyFill="true" applyBorder="true" applyNumberFormat="true" applyFont="true"/>
    <xf numFmtId="0" fontId="1721" fillId="0" borderId="0" xfId="0" applyFill="true" applyBorder="true" applyNumberFormat="true" applyFont="true"/>
    <xf numFmtId="0" fontId="1722" fillId="0" borderId="0" xfId="0" applyFill="true" applyBorder="true" applyNumberFormat="true" applyFont="true"/>
    <xf numFmtId="0" fontId="1723" fillId="0" borderId="0" xfId="0" applyFill="true" applyBorder="true" applyNumberFormat="true" applyFont="true"/>
    <xf numFmtId="0" fontId="1724" fillId="0" borderId="0" xfId="0" applyFill="true" applyBorder="true" applyNumberFormat="true" applyFont="true"/>
    <xf numFmtId="0" fontId="1725" fillId="0" borderId="0" xfId="0" applyFill="true" applyBorder="true" applyNumberFormat="true" applyFont="true"/>
    <xf numFmtId="0" fontId="1726" fillId="0" borderId="0" xfId="0" applyFill="true" applyBorder="true" applyNumberFormat="true" applyFont="true"/>
    <xf numFmtId="0" fontId="1727" fillId="0" borderId="0" xfId="0" applyFill="true" applyBorder="true" applyNumberFormat="true" applyFont="true"/>
    <xf numFmtId="0" fontId="1728" fillId="0" borderId="0" xfId="0" applyFill="true" applyBorder="true" applyNumberFormat="true" applyFont="true"/>
    <xf numFmtId="0" fontId="1729" fillId="0" borderId="0" xfId="0" applyFill="true" applyBorder="true" applyNumberFormat="true" applyFont="true"/>
    <xf numFmtId="0" fontId="1730" fillId="0" borderId="0" xfId="0" applyFill="true" applyBorder="true" applyNumberFormat="true" applyFont="true"/>
    <xf numFmtId="0" fontId="1731" fillId="0" borderId="0" xfId="0" applyFill="true" applyBorder="true" applyNumberFormat="true" applyFont="true"/>
    <xf numFmtId="0" fontId="1732" fillId="0" borderId="0" xfId="0" applyFill="true" applyBorder="true" applyNumberFormat="true" applyFont="true"/>
    <xf numFmtId="0" fontId="1733" fillId="0" borderId="0" xfId="0" applyFill="true" applyBorder="true" applyNumberFormat="true" applyFont="true"/>
    <xf numFmtId="0" fontId="1734" fillId="0" borderId="0" xfId="0" applyFill="true" applyBorder="true" applyNumberFormat="true" applyFont="true"/>
    <xf numFmtId="0" fontId="1735" fillId="0" borderId="0" xfId="0" applyFill="true" applyBorder="true" applyNumberFormat="true" applyFont="true"/>
    <xf numFmtId="0" fontId="1736" fillId="0" borderId="0" xfId="0" applyFill="true" applyBorder="true" applyNumberFormat="true" applyFont="true"/>
    <xf numFmtId="0" fontId="1737" fillId="0" borderId="0" xfId="0" applyFill="true" applyBorder="true" applyNumberFormat="true" applyFont="true"/>
    <xf numFmtId="0" fontId="1738" fillId="0" borderId="0" xfId="0" applyFill="true" applyBorder="true" applyNumberFormat="true" applyFont="true"/>
    <xf numFmtId="0" fontId="1739" fillId="0" borderId="0" xfId="0" applyFill="true" applyBorder="true" applyNumberFormat="true" applyFont="true"/>
    <xf numFmtId="0" fontId="1740" fillId="0" borderId="0" xfId="0" applyFill="true" applyBorder="true" applyNumberFormat="true" applyFont="true"/>
    <xf numFmtId="0" fontId="1741" fillId="0" borderId="0" xfId="0" applyFill="true" applyBorder="true" applyNumberFormat="true" applyFont="true"/>
    <xf numFmtId="0" fontId="1742" fillId="0" borderId="0" xfId="0" applyFill="true" applyBorder="true" applyNumberFormat="true" applyFont="true"/>
    <xf numFmtId="0" fontId="1743" fillId="0" borderId="0" xfId="0" applyFill="true" applyBorder="true" applyNumberFormat="true" applyFont="true"/>
    <xf numFmtId="0" fontId="1744" fillId="0" borderId="0" xfId="0" applyFill="true" applyBorder="true" applyNumberFormat="true" applyFont="true"/>
    <xf numFmtId="0" fontId="1745" fillId="0" borderId="0" xfId="0" applyFill="true" applyBorder="true" applyNumberFormat="true" applyFont="true"/>
    <xf numFmtId="0" fontId="1746" fillId="0" borderId="0" xfId="0" applyFill="true" applyBorder="true" applyNumberFormat="true" applyFont="true"/>
    <xf numFmtId="0" fontId="1747" fillId="0" borderId="0" xfId="0" applyFill="true" applyBorder="true" applyNumberFormat="true" applyFont="true"/>
    <xf numFmtId="0" fontId="1748" fillId="0" borderId="0" xfId="0" applyFill="true" applyBorder="true" applyNumberFormat="true" applyFont="true"/>
    <xf numFmtId="0" fontId="1749" fillId="0" borderId="0" xfId="0" applyFill="true" applyBorder="true" applyNumberFormat="true" applyFont="true"/>
    <xf numFmtId="0" fontId="1750" fillId="0" borderId="0" xfId="0" applyFill="true" applyBorder="true" applyNumberFormat="true" applyFont="true"/>
    <xf numFmtId="0" fontId="1751" fillId="0" borderId="0" xfId="0" applyFill="true" applyBorder="true" applyNumberFormat="true" applyFont="true"/>
    <xf numFmtId="0" fontId="1752" fillId="0" borderId="0" xfId="0" applyFill="true" applyBorder="true" applyNumberFormat="true" applyFont="true"/>
    <xf numFmtId="0" fontId="1753" fillId="0" borderId="0" xfId="0" applyFill="true" applyBorder="true" applyNumberFormat="true" applyFont="true"/>
    <xf numFmtId="0" fontId="1754" fillId="0" borderId="0" xfId="0" applyFill="true" applyBorder="true" applyNumberFormat="true" applyFont="true"/>
    <xf numFmtId="0" fontId="1755" fillId="0" borderId="0" xfId="0" applyFill="true" applyBorder="true" applyNumberFormat="true" applyFont="true"/>
    <xf numFmtId="0" fontId="1756" fillId="0" borderId="0" xfId="0" applyFill="true" applyBorder="true" applyNumberFormat="true" applyFont="true"/>
    <xf numFmtId="0" fontId="1757" fillId="0" borderId="0" xfId="0" applyFill="true" applyBorder="true" applyNumberFormat="true" applyFont="true"/>
    <xf numFmtId="0" fontId="1758" fillId="0" borderId="0" xfId="0" applyFill="true" applyBorder="true" applyNumberFormat="true" applyFont="true"/>
    <xf numFmtId="0" fontId="1759" fillId="0" borderId="0" xfId="0" applyFill="true" applyBorder="true" applyNumberFormat="true" applyFont="true"/>
    <xf numFmtId="0" fontId="1760" fillId="0" borderId="0" xfId="0" applyFill="true" applyBorder="true" applyNumberFormat="true" applyFont="true"/>
    <xf numFmtId="0" fontId="1761" fillId="0" borderId="0" xfId="0" applyFill="true" applyBorder="true" applyNumberFormat="true" applyFont="true"/>
    <xf numFmtId="0" fontId="1762" fillId="0" borderId="0" xfId="0" applyFill="true" applyBorder="true" applyNumberFormat="true" applyFont="true"/>
    <xf numFmtId="0" fontId="1763" fillId="0" borderId="0" xfId="0" applyFill="true" applyBorder="true" applyNumberFormat="true" applyFont="true"/>
    <xf numFmtId="0" fontId="1764" fillId="0" borderId="0" xfId="0" applyFill="true" applyBorder="true" applyNumberFormat="true" applyFont="true"/>
    <xf numFmtId="0" fontId="1765" fillId="0" borderId="0" xfId="0" applyFill="true" applyBorder="true" applyNumberFormat="true" applyFont="true"/>
    <xf numFmtId="0" fontId="1766" fillId="0" borderId="0" xfId="0" applyFill="true" applyBorder="true" applyNumberFormat="true" applyFont="true"/>
    <xf numFmtId="0" fontId="1767" fillId="0" borderId="0" xfId="0" applyFill="true" applyBorder="true" applyNumberFormat="true" applyFont="true"/>
    <xf numFmtId="0" fontId="1768" fillId="0" borderId="0" xfId="0" applyFill="true" applyBorder="true" applyNumberFormat="true" applyFont="true"/>
    <xf numFmtId="0" fontId="1769" fillId="0" borderId="0" xfId="0" applyFill="true" applyBorder="true" applyNumberFormat="true" applyFont="true"/>
    <xf numFmtId="0" fontId="1770" fillId="0" borderId="0" xfId="0" applyFill="true" applyBorder="true" applyNumberFormat="true" applyFont="true"/>
    <xf numFmtId="0" fontId="1771" fillId="0" borderId="0" xfId="0" applyFill="true" applyBorder="true" applyNumberFormat="true" applyFont="true"/>
    <xf numFmtId="0" fontId="1772" fillId="0" borderId="0" xfId="0" applyFill="true" applyBorder="true" applyNumberFormat="true" applyFont="true"/>
    <xf numFmtId="0" fontId="1773" fillId="0" borderId="0" xfId="0" applyFill="true" applyBorder="true" applyNumberFormat="true" applyFont="true"/>
    <xf numFmtId="0" fontId="1774" fillId="0" borderId="0" xfId="0" applyFill="true" applyBorder="true" applyNumberFormat="true" applyFont="true"/>
    <xf numFmtId="0" fontId="1775" fillId="0" borderId="0" xfId="0" applyFill="true" applyBorder="true" applyNumberFormat="true" applyFont="true"/>
    <xf numFmtId="0" fontId="1776" fillId="0" borderId="0" xfId="0" applyFill="true" applyBorder="true" applyNumberFormat="true" applyFont="true"/>
    <xf numFmtId="0" fontId="1777" fillId="0" borderId="0" xfId="0" applyFill="true" applyBorder="true" applyNumberFormat="true" applyFont="true"/>
    <xf numFmtId="0" fontId="1778" fillId="0" borderId="0" xfId="0" applyFill="true" applyBorder="true" applyNumberFormat="true" applyFont="true"/>
    <xf numFmtId="0" fontId="1779" fillId="0" borderId="0" xfId="0" applyFill="true" applyBorder="true" applyNumberFormat="true" applyFont="true"/>
    <xf numFmtId="0" fontId="1780" fillId="0" borderId="0" xfId="0" applyFill="true" applyBorder="true" applyNumberFormat="true" applyFont="true"/>
    <xf numFmtId="0" fontId="1781" fillId="0" borderId="0" xfId="0" applyFill="true" applyBorder="true" applyNumberFormat="true" applyFont="true"/>
    <xf numFmtId="0" fontId="1782" fillId="0" borderId="0" xfId="0" applyFill="true" applyBorder="true" applyNumberFormat="true" applyFont="true"/>
    <xf numFmtId="0" fontId="1783" fillId="0" borderId="0" xfId="0" applyFill="true" applyBorder="true" applyNumberFormat="true" applyFont="true"/>
    <xf numFmtId="0" fontId="1784" fillId="0" borderId="0" xfId="0" applyFill="true" applyBorder="true" applyNumberFormat="true" applyFont="true"/>
    <xf numFmtId="0" fontId="1785" fillId="0" borderId="0" xfId="0" applyFill="true" applyBorder="true" applyNumberFormat="true" applyFont="true"/>
    <xf numFmtId="0" fontId="1786" fillId="0" borderId="0" xfId="0" applyFill="true" applyBorder="true" applyNumberFormat="true" applyFont="true"/>
    <xf numFmtId="0" fontId="1787" fillId="0" borderId="0" xfId="0" applyFill="true" applyBorder="true" applyNumberFormat="true" applyFont="true"/>
    <xf numFmtId="0" fontId="1788" fillId="0" borderId="0" xfId="0" applyFill="true" applyBorder="true" applyNumberFormat="true" applyFont="true"/>
    <xf numFmtId="0" fontId="1789" fillId="0" borderId="0" xfId="0" applyFill="true" applyBorder="true" applyNumberFormat="true" applyFont="true"/>
    <xf numFmtId="0" fontId="1790" fillId="0" borderId="0" xfId="0" applyFill="true" applyBorder="true" applyNumberFormat="true" applyFont="true"/>
    <xf numFmtId="0" fontId="1791" fillId="0" borderId="0" xfId="0" applyFill="true" applyBorder="true" applyNumberFormat="true" applyFont="true"/>
    <xf numFmtId="0" fontId="1792" fillId="0" borderId="0" xfId="0" applyFill="true" applyBorder="true" applyNumberFormat="true" applyFont="true"/>
    <xf numFmtId="0" fontId="1793" fillId="0" borderId="0" xfId="0" applyFill="true" applyBorder="true" applyNumberFormat="true" applyFont="true"/>
    <xf numFmtId="0" fontId="1794" fillId="0" borderId="0" xfId="0" applyFill="true" applyBorder="true" applyNumberFormat="true" applyFont="true"/>
    <xf numFmtId="0" fontId="1795" fillId="0" borderId="0" xfId="0" applyFill="true" applyBorder="true" applyNumberFormat="true" applyFont="true"/>
    <xf numFmtId="0" fontId="1796" fillId="0" borderId="0" xfId="0" applyFill="true" applyBorder="true" applyNumberFormat="true" applyFont="true"/>
    <xf numFmtId="0" fontId="1797" fillId="0" borderId="0" xfId="0" applyFill="true" applyBorder="true" applyNumberFormat="true" applyFont="true"/>
    <xf numFmtId="0" fontId="1798" fillId="0" borderId="0" xfId="0" applyFill="true" applyBorder="true" applyNumberFormat="true" applyFont="true"/>
    <xf numFmtId="0" fontId="1799" fillId="0" borderId="0" xfId="0" applyFill="true" applyBorder="true" applyNumberFormat="true" applyFont="true"/>
    <xf numFmtId="0" fontId="1800" fillId="0" borderId="0" xfId="0" applyFill="true" applyBorder="true" applyNumberFormat="true" applyFont="true"/>
    <xf numFmtId="0" fontId="1801" fillId="0" borderId="0" xfId="0" applyFill="true" applyBorder="true" applyNumberFormat="true" applyFont="true"/>
    <xf numFmtId="0" fontId="1802" fillId="0" borderId="0" xfId="0" applyFill="true" applyBorder="true" applyNumberFormat="true" applyFont="true"/>
    <xf numFmtId="0" fontId="1803" fillId="0" borderId="0" xfId="0" applyFill="true" applyBorder="true" applyNumberFormat="true" applyFont="true"/>
    <xf numFmtId="0" fontId="1804" fillId="0" borderId="0" xfId="0" applyFill="true" applyBorder="true" applyNumberFormat="true" applyFont="true"/>
    <xf numFmtId="0" fontId="1805" fillId="0" borderId="0" xfId="0" applyFill="true" applyBorder="true" applyNumberFormat="true" applyFont="true"/>
    <xf numFmtId="0" fontId="1806" fillId="0" borderId="0" xfId="0" applyFill="true" applyBorder="true" applyNumberFormat="true" applyFont="true"/>
    <xf numFmtId="0" fontId="1807" fillId="0" borderId="0" xfId="0" applyFill="true" applyBorder="true" applyNumberFormat="true" applyFont="true"/>
    <xf numFmtId="0" fontId="1808" fillId="0" borderId="0" xfId="0" applyFill="true" applyBorder="true" applyNumberFormat="true" applyFont="true"/>
    <xf numFmtId="0" fontId="1809" fillId="0" borderId="0" xfId="0" applyFill="true" applyBorder="true" applyNumberFormat="true" applyFont="true"/>
    <xf numFmtId="0" fontId="1810" fillId="0" borderId="0" xfId="0" applyFill="true" applyBorder="true" applyNumberFormat="true" applyFont="true"/>
    <xf numFmtId="0" fontId="1811" fillId="0" borderId="0" xfId="0" applyFill="true" applyBorder="true" applyNumberFormat="true" applyFont="true"/>
    <xf numFmtId="0" fontId="1812" fillId="0" borderId="0" xfId="0" applyFill="true" applyBorder="true" applyNumberFormat="true" applyFont="true"/>
    <xf numFmtId="0" fontId="1813" fillId="0" borderId="0" xfId="0" applyFill="true" applyBorder="true" applyNumberFormat="true" applyFont="true"/>
    <xf numFmtId="0" fontId="1814" fillId="0" borderId="0" xfId="0" applyFill="true" applyBorder="true" applyNumberFormat="true" applyFont="true"/>
    <xf numFmtId="0" fontId="1815" fillId="0" borderId="0" xfId="0" applyFill="true" applyBorder="true" applyNumberFormat="true" applyFont="true"/>
    <xf numFmtId="0" fontId="1816" fillId="0" borderId="0" xfId="0" applyFill="true" applyBorder="true" applyNumberFormat="true" applyFont="true"/>
    <xf numFmtId="0" fontId="1817" fillId="0" borderId="0" xfId="0" applyFill="true" applyBorder="true" applyNumberFormat="true" applyFont="true"/>
    <xf numFmtId="0" fontId="1818" fillId="0" borderId="0" xfId="0" applyFill="true" applyBorder="true" applyNumberFormat="true" applyFont="true"/>
    <xf numFmtId="0" fontId="1819" fillId="0" borderId="0" xfId="0" applyFill="true" applyBorder="true" applyNumberFormat="true" applyFont="true"/>
    <xf numFmtId="0" fontId="1820" fillId="0" borderId="0" xfId="0" applyFill="true" applyBorder="true" applyNumberFormat="true" applyFont="true"/>
    <xf numFmtId="0" fontId="1821" fillId="0" borderId="0" xfId="0" applyFill="true" applyBorder="true" applyNumberFormat="true" applyFont="true"/>
    <xf numFmtId="0" fontId="1822" fillId="0" borderId="0" xfId="0" applyFill="true" applyBorder="true" applyNumberFormat="true" applyFont="true"/>
    <xf numFmtId="0" fontId="1823" fillId="0" borderId="0" xfId="0" applyFill="true" applyBorder="true" applyNumberFormat="true" applyFont="true"/>
    <xf numFmtId="0" fontId="1824" fillId="0" borderId="0" xfId="0" applyFill="true" applyBorder="true" applyNumberFormat="true" applyFont="true"/>
    <xf numFmtId="0" fontId="1825" fillId="0" borderId="0" xfId="0" applyFill="true" applyBorder="true" applyNumberFormat="true" applyFont="true"/>
    <xf numFmtId="0" fontId="1826" fillId="0" borderId="0" xfId="0" applyFill="true" applyBorder="true" applyNumberFormat="true" applyFont="true"/>
    <xf numFmtId="0" fontId="1827" fillId="0" borderId="0" xfId="0" applyFill="true" applyBorder="true" applyNumberFormat="true" applyFont="true"/>
    <xf numFmtId="0" fontId="1828" fillId="0" borderId="0" xfId="0" applyFill="true" applyBorder="true" applyNumberFormat="true" applyFont="true"/>
    <xf numFmtId="0" fontId="1829" fillId="0" borderId="0" xfId="0" applyFill="true" applyBorder="true" applyNumberFormat="true" applyFont="true"/>
    <xf numFmtId="0" fontId="1830" fillId="0" borderId="0" xfId="0" applyFill="true" applyBorder="true" applyNumberFormat="true" applyFont="true"/>
    <xf numFmtId="0" fontId="1831" fillId="0" borderId="0" xfId="0" applyFill="true" applyBorder="true" applyNumberFormat="true" applyFont="true"/>
    <xf numFmtId="0" fontId="1832" fillId="0" borderId="0" xfId="0" applyFill="true" applyBorder="true" applyNumberFormat="true" applyFont="true"/>
    <xf numFmtId="0" fontId="1833" fillId="0" borderId="0" xfId="0" applyFill="true" applyBorder="true" applyNumberFormat="true" applyFont="true"/>
    <xf numFmtId="0" fontId="1834" fillId="0" borderId="0" xfId="0" applyFill="true" applyBorder="true" applyNumberFormat="true" applyFont="true"/>
    <xf numFmtId="0" fontId="1835" fillId="0" borderId="0" xfId="0" applyFill="true" applyBorder="true" applyNumberFormat="true" applyFont="true"/>
    <xf numFmtId="0" fontId="1836" fillId="0" borderId="0" xfId="0" applyFill="true" applyBorder="true" applyNumberFormat="true" applyFont="true"/>
    <xf numFmtId="0" fontId="1837" fillId="0" borderId="0" xfId="0" applyFill="true" applyBorder="true" applyNumberFormat="true" applyFont="true"/>
    <xf numFmtId="0" fontId="1838" fillId="0" borderId="0" xfId="0" applyFill="true" applyBorder="true" applyNumberFormat="true" applyFont="true"/>
    <xf numFmtId="0" fontId="1839" fillId="0" borderId="0" xfId="0" applyFill="true" applyBorder="true" applyNumberFormat="true" applyFont="true"/>
    <xf numFmtId="0" fontId="1840" fillId="0" borderId="0" xfId="0" applyFill="true" applyBorder="true" applyNumberFormat="true" applyFont="true"/>
    <xf numFmtId="0" fontId="1841" fillId="0" borderId="0" xfId="0" applyFill="true" applyBorder="true" applyNumberFormat="true" applyFont="true"/>
    <xf numFmtId="0" fontId="1842" fillId="0" borderId="0" xfId="0" applyFill="true" applyBorder="true" applyNumberFormat="true" applyFont="true"/>
    <xf numFmtId="0" fontId="1843" fillId="0" borderId="0" xfId="0" applyFill="true" applyBorder="true" applyNumberFormat="true" applyFont="true"/>
    <xf numFmtId="0" fontId="1844" fillId="0" borderId="0" xfId="0" applyFill="true" applyBorder="true" applyNumberFormat="true" applyFont="true"/>
    <xf numFmtId="0" fontId="1845" fillId="0" borderId="0" xfId="0" applyFill="true" applyBorder="true" applyNumberFormat="true" applyFont="true"/>
    <xf numFmtId="0" fontId="1846" fillId="0" borderId="0" xfId="0" applyFill="true" applyBorder="true" applyNumberFormat="true" applyFont="true"/>
    <xf numFmtId="0" fontId="1847" fillId="0" borderId="0" xfId="0" applyFill="true" applyBorder="true" applyNumberFormat="true" applyFont="true"/>
    <xf numFmtId="0" fontId="1848" fillId="0" borderId="0" xfId="0" applyFill="true" applyBorder="true" applyNumberFormat="true" applyFont="true"/>
    <xf numFmtId="0" fontId="1849" fillId="0" borderId="0" xfId="0" applyFill="true" applyBorder="true" applyNumberFormat="true" applyFont="true"/>
    <xf numFmtId="0" fontId="1850" fillId="0" borderId="0" xfId="0" applyFill="true" applyBorder="true" applyNumberFormat="true" applyFont="true"/>
    <xf numFmtId="0" fontId="1851" fillId="0" borderId="0" xfId="0" applyFill="true" applyBorder="true" applyNumberFormat="true" applyFont="true"/>
    <xf numFmtId="0" fontId="1852" fillId="0" borderId="0" xfId="0" applyFill="true" applyBorder="true" applyNumberFormat="true" applyFont="true"/>
    <xf numFmtId="0" fontId="1853" fillId="0" borderId="0" xfId="0" applyFill="true" applyBorder="true" applyNumberFormat="true" applyFont="true"/>
    <xf numFmtId="0" fontId="1854" fillId="0" borderId="0" xfId="0" applyFill="true" applyBorder="true" applyNumberFormat="true" applyFont="true"/>
    <xf numFmtId="0" fontId="1855" fillId="0" borderId="0" xfId="0" applyFill="true" applyBorder="true" applyNumberFormat="true" applyFont="true"/>
    <xf numFmtId="0" fontId="1856" fillId="0" borderId="0" xfId="0" applyFill="true" applyBorder="true" applyNumberFormat="true" applyFont="true"/>
    <xf numFmtId="0" fontId="1857" fillId="0" borderId="0" xfId="0" applyFill="true" applyBorder="true" applyNumberFormat="true" applyFont="true"/>
    <xf numFmtId="0" fontId="1858" fillId="0" borderId="0" xfId="0" applyFill="true" applyBorder="true" applyNumberFormat="true" applyFont="true"/>
    <xf numFmtId="0" fontId="1859" fillId="0" borderId="0" xfId="0" applyFill="true" applyBorder="true" applyNumberFormat="true" applyFont="true"/>
    <xf numFmtId="0" fontId="1860" fillId="0" borderId="0" xfId="0" applyFill="true" applyBorder="true" applyNumberFormat="true" applyFont="true"/>
    <xf numFmtId="0" fontId="1861" fillId="0" borderId="0" xfId="0" applyFill="true" applyBorder="true" applyNumberFormat="true" applyFont="true"/>
    <xf numFmtId="0" fontId="1862" fillId="0" borderId="0" xfId="0" applyFill="true" applyBorder="true" applyNumberFormat="true" applyFont="true"/>
    <xf numFmtId="0" fontId="1863" fillId="0" borderId="0" xfId="0" applyFill="true" applyBorder="true" applyNumberFormat="true" applyFont="true"/>
    <xf numFmtId="0" fontId="1864" fillId="0" borderId="0" xfId="0" applyFill="true" applyBorder="true" applyNumberFormat="true" applyFont="true"/>
    <xf numFmtId="0" fontId="1865" fillId="0" borderId="0" xfId="0" applyFill="true" applyBorder="true" applyNumberFormat="true" applyFont="true"/>
    <xf numFmtId="0" fontId="1866" fillId="0" borderId="0" xfId="0" applyFill="true" applyBorder="true" applyNumberFormat="true" applyFont="true"/>
    <xf numFmtId="0" fontId="1867" fillId="0" borderId="0" xfId="0" applyFill="true" applyBorder="true" applyNumberFormat="true" applyFont="true"/>
    <xf numFmtId="0" fontId="1868" fillId="0" borderId="0" xfId="0" applyFill="true" applyBorder="true" applyNumberFormat="true" applyFont="true"/>
    <xf numFmtId="0" fontId="1869" fillId="0" borderId="0" xfId="0" applyFill="true" applyBorder="true" applyNumberFormat="true" applyFont="true"/>
    <xf numFmtId="0" fontId="1870" fillId="0" borderId="0" xfId="0" applyFill="true" applyBorder="true" applyNumberFormat="true" applyFont="true"/>
    <xf numFmtId="0" fontId="1871" fillId="0" borderId="0" xfId="0" applyFill="true" applyBorder="true" applyNumberFormat="true" applyFont="true"/>
    <xf numFmtId="0" fontId="1872" fillId="0" borderId="0" xfId="0" applyFill="true" applyBorder="true" applyNumberFormat="true" applyFont="true"/>
    <xf numFmtId="0" fontId="1873" fillId="0" borderId="0" xfId="0" applyFill="true" applyBorder="true" applyNumberFormat="true" applyFont="true"/>
    <xf numFmtId="0" fontId="1874" fillId="0" borderId="0" xfId="0" applyFill="true" applyBorder="true" applyNumberFormat="true" applyFont="true"/>
    <xf numFmtId="0" fontId="1875" fillId="0" borderId="0" xfId="0" applyFill="true" applyBorder="true" applyNumberFormat="true" applyFont="true"/>
    <xf numFmtId="0" fontId="1876" fillId="0" borderId="0" xfId="0" applyFill="true" applyBorder="true" applyNumberFormat="true" applyFont="true"/>
    <xf numFmtId="0" fontId="1877" fillId="0" borderId="0" xfId="0" applyFill="true" applyBorder="true" applyNumberFormat="true" applyFont="true"/>
    <xf numFmtId="0" fontId="1878" fillId="0" borderId="0" xfId="0" applyFill="true" applyBorder="true" applyNumberFormat="true" applyFont="true"/>
    <xf numFmtId="0" fontId="1879" fillId="0" borderId="0" xfId="0" applyFill="true" applyBorder="true" applyNumberFormat="true" applyFont="true"/>
    <xf numFmtId="0" fontId="1880" fillId="0" borderId="0" xfId="0" applyFill="true" applyBorder="true" applyNumberFormat="true" applyFont="true"/>
    <xf numFmtId="0" fontId="1881" fillId="0" borderId="0" xfId="0" applyFill="true" applyBorder="true" applyNumberFormat="true" applyFont="true"/>
    <xf numFmtId="0" fontId="1882" fillId="0" borderId="0" xfId="0" applyFill="true" applyBorder="true" applyNumberFormat="true" applyFont="true"/>
    <xf numFmtId="0" fontId="1883" fillId="0" borderId="0" xfId="0" applyFill="true" applyBorder="true" applyNumberFormat="true" applyFont="true"/>
    <xf numFmtId="0" fontId="1884" fillId="0" borderId="0" xfId="0" applyFill="true" applyBorder="true" applyNumberFormat="true" applyFont="true"/>
    <xf numFmtId="0" fontId="1885" fillId="0" borderId="0" xfId="0" applyFill="true" applyBorder="true" applyNumberFormat="true" applyFont="true"/>
    <xf numFmtId="0" fontId="1886" fillId="0" borderId="0" xfId="0" applyFill="true" applyBorder="true" applyNumberFormat="true" applyFont="true"/>
    <xf numFmtId="0" fontId="1887" fillId="0" borderId="0" xfId="0" applyFill="true" applyBorder="true" applyNumberFormat="true" applyFont="true"/>
    <xf numFmtId="0" fontId="1888" fillId="0" borderId="0" xfId="0" applyFill="true" applyBorder="true" applyNumberFormat="true" applyFont="true"/>
    <xf numFmtId="0" fontId="1889" fillId="0" borderId="0" xfId="0" applyFill="true" applyBorder="true" applyNumberFormat="true" applyFont="true"/>
    <xf numFmtId="0" fontId="1890" fillId="0" borderId="0" xfId="0" applyFill="true" applyBorder="true" applyNumberFormat="true" applyFont="true"/>
    <xf numFmtId="0" fontId="1891" fillId="0" borderId="0" xfId="0" applyFill="true" applyBorder="true" applyNumberFormat="true" applyFont="true"/>
    <xf numFmtId="0" fontId="1892" fillId="0" borderId="0" xfId="0" applyFill="true" applyBorder="true" applyNumberFormat="true" applyFont="true"/>
    <xf numFmtId="0" fontId="1893" fillId="0" borderId="0" xfId="0" applyFill="true" applyBorder="true" applyNumberFormat="true" applyFont="true"/>
    <xf numFmtId="0" fontId="1894" fillId="0" borderId="0" xfId="0" applyFill="true" applyBorder="true" applyNumberFormat="true" applyFont="true"/>
    <xf numFmtId="0" fontId="1895" fillId="0" borderId="0" xfId="0" applyFill="true" applyBorder="true" applyNumberFormat="true" applyFont="true"/>
    <xf numFmtId="0" fontId="1896" fillId="0" borderId="0" xfId="0" applyFill="true" applyBorder="true" applyNumberFormat="true" applyFont="true"/>
    <xf numFmtId="0" fontId="1897" fillId="0" borderId="0" xfId="0" applyFill="true" applyBorder="true" applyNumberFormat="true" applyFont="true"/>
    <xf numFmtId="0" fontId="1898" fillId="0" borderId="0" xfId="0" applyFill="true" applyBorder="true" applyNumberFormat="true" applyFont="true"/>
    <xf numFmtId="0" fontId="1899" fillId="0" borderId="0" xfId="0" applyFill="true" applyBorder="true" applyNumberFormat="true" applyFont="true"/>
    <xf numFmtId="0" fontId="1900" fillId="0" borderId="0" xfId="0" applyFill="true" applyBorder="true" applyNumberFormat="true" applyFont="true"/>
    <xf numFmtId="0" fontId="1901" fillId="0" borderId="0" xfId="0" applyFill="true" applyBorder="true" applyNumberFormat="true" applyFont="true"/>
    <xf numFmtId="0" fontId="1902" fillId="0" borderId="0" xfId="0" applyFill="true" applyBorder="true" applyNumberFormat="true" applyFont="true"/>
    <xf numFmtId="0" fontId="1903" fillId="0" borderId="0" xfId="0" applyFill="true" applyBorder="true" applyNumberFormat="true" applyFont="true"/>
    <xf numFmtId="0" fontId="1904" fillId="0" borderId="0" xfId="0" applyFill="true" applyBorder="true" applyNumberFormat="true" applyFont="true"/>
    <xf numFmtId="0" fontId="1905" fillId="0" borderId="0" xfId="0" applyFill="true" applyBorder="true" applyNumberFormat="true" applyFont="true"/>
    <xf numFmtId="0" fontId="1906" fillId="0" borderId="0" xfId="0" applyFill="true" applyBorder="true" applyNumberFormat="true" applyFont="true"/>
    <xf numFmtId="0" fontId="1907" fillId="0" borderId="0" xfId="0" applyFill="true" applyBorder="true" applyNumberFormat="true" applyFont="true"/>
    <xf numFmtId="0" fontId="1908" fillId="0" borderId="0" xfId="0" applyFill="true" applyBorder="true" applyNumberFormat="true" applyFont="true"/>
    <xf numFmtId="0" fontId="1909" fillId="0" borderId="0" xfId="0" applyFill="true" applyBorder="true" applyNumberFormat="true" applyFont="true"/>
    <xf numFmtId="0" fontId="1910" fillId="0" borderId="0" xfId="0" applyFill="true" applyBorder="true" applyNumberFormat="true" applyFont="true"/>
    <xf numFmtId="0" fontId="1911" fillId="0" borderId="0" xfId="0" applyFill="true" applyBorder="true" applyNumberFormat="true" applyFont="true"/>
    <xf numFmtId="0" fontId="1912" fillId="0" borderId="0" xfId="0" applyFill="true" applyBorder="true" applyNumberFormat="true" applyFont="true"/>
    <xf numFmtId="0" fontId="1913" fillId="0" borderId="0" xfId="0" applyFill="true" applyBorder="true" applyNumberFormat="true" applyFont="true"/>
    <xf numFmtId="0" fontId="1914" fillId="0" borderId="0" xfId="0" applyFill="true" applyBorder="true" applyNumberFormat="true" applyFont="true"/>
    <xf numFmtId="0" fontId="1915" fillId="0" borderId="0" xfId="0" applyFill="true" applyBorder="true" applyNumberFormat="true" applyFont="true"/>
    <xf numFmtId="0" fontId="1916" fillId="0" borderId="0" xfId="0" applyFill="true" applyBorder="true" applyNumberFormat="true" applyFont="true"/>
    <xf numFmtId="0" fontId="1917" fillId="0" borderId="0" xfId="0" applyFill="true" applyBorder="true" applyNumberFormat="true" applyFont="true"/>
    <xf numFmtId="0" fontId="1918" fillId="0" borderId="0" xfId="0" applyFill="true" applyBorder="true" applyNumberFormat="true" applyFont="true"/>
    <xf numFmtId="0" fontId="1919" fillId="0" borderId="0" xfId="0" applyFill="true" applyBorder="true" applyNumberFormat="true" applyFont="true"/>
    <xf numFmtId="0" fontId="1920" fillId="0" borderId="0" xfId="0" applyFill="true" applyBorder="true" applyNumberFormat="true" applyFont="true"/>
    <xf numFmtId="0" fontId="1921" fillId="0" borderId="0" xfId="0" applyFill="true" applyBorder="true" applyNumberFormat="true" applyFont="true"/>
    <xf numFmtId="0" fontId="1922" fillId="0" borderId="0" xfId="0" applyFill="true" applyBorder="true" applyNumberFormat="true" applyFont="true"/>
    <xf numFmtId="0" fontId="1923" fillId="0" borderId="0" xfId="0" applyFill="true" applyBorder="true" applyNumberFormat="true" applyFont="true"/>
    <xf numFmtId="0" fontId="1924" fillId="0" borderId="0" xfId="0" applyFill="true" applyBorder="true" applyNumberFormat="true" applyFont="true"/>
    <xf numFmtId="0" fontId="1925" fillId="0" borderId="0" xfId="0" applyFill="true" applyBorder="true" applyNumberFormat="true" applyFont="true"/>
    <xf numFmtId="0" fontId="1926" fillId="0" borderId="0" xfId="0" applyFill="true" applyBorder="true" applyNumberFormat="true" applyFont="true"/>
    <xf numFmtId="0" fontId="1927" fillId="0" borderId="0" xfId="0" applyFill="true" applyBorder="true" applyNumberFormat="true" applyFont="true"/>
    <xf numFmtId="0" fontId="1928" fillId="0" borderId="0" xfId="0" applyFill="true" applyBorder="true" applyNumberFormat="true" applyFont="true"/>
    <xf numFmtId="0" fontId="1929" fillId="0" borderId="0" xfId="0" applyFill="true" applyBorder="true" applyNumberFormat="true" applyFont="true"/>
    <xf numFmtId="0" fontId="1930" fillId="0" borderId="0" xfId="0" applyFill="true" applyBorder="true" applyNumberFormat="true" applyFont="true"/>
    <xf numFmtId="0" fontId="1931" fillId="0" borderId="0" xfId="0" applyFill="true" applyBorder="true" applyNumberFormat="true" applyFont="true"/>
    <xf numFmtId="0" fontId="1932" fillId="0" borderId="0" xfId="0" applyFill="true" applyBorder="true" applyNumberFormat="true" applyFont="true"/>
    <xf numFmtId="0" fontId="1933" fillId="0" borderId="0" xfId="0" applyFill="true" applyBorder="true" applyNumberFormat="true" applyFont="true"/>
    <xf numFmtId="0" fontId="1934" fillId="0" borderId="0" xfId="0" applyFill="true" applyBorder="true" applyNumberFormat="true" applyFont="true"/>
    <xf numFmtId="0" fontId="1935" fillId="0" borderId="0" xfId="0" applyFill="true" applyBorder="true" applyNumberFormat="true" applyFont="true"/>
    <xf numFmtId="0" fontId="1936" fillId="0" borderId="0" xfId="0" applyFill="true" applyBorder="true" applyNumberFormat="true" applyFont="true"/>
    <xf numFmtId="0" fontId="1937" fillId="0" borderId="0" xfId="0" applyFill="true" applyBorder="true" applyNumberFormat="true" applyFont="true"/>
    <xf numFmtId="0" fontId="1938" fillId="0" borderId="0" xfId="0" applyFill="true" applyBorder="true" applyNumberFormat="true" applyFont="true"/>
    <xf numFmtId="0" fontId="1939" fillId="0" borderId="0" xfId="0" applyFill="true" applyBorder="true" applyNumberFormat="true" applyFont="true"/>
    <xf numFmtId="0" fontId="1940" fillId="0" borderId="0" xfId="0" applyFill="true" applyBorder="true" applyNumberFormat="true" applyFont="true"/>
    <xf numFmtId="0" fontId="1941" fillId="0" borderId="0" xfId="0" applyFill="true" applyBorder="true" applyNumberFormat="true" applyFont="true"/>
    <xf numFmtId="0" fontId="1942" fillId="0" borderId="0" xfId="0" applyFill="true" applyBorder="true" applyNumberFormat="true" applyFont="true"/>
    <xf numFmtId="0" fontId="1943" fillId="0" borderId="0" xfId="0" applyFill="true" applyBorder="true" applyNumberFormat="true" applyFont="true"/>
    <xf numFmtId="0" fontId="1944" fillId="0" borderId="0" xfId="0" applyFill="true" applyBorder="true" applyNumberFormat="true" applyFont="true"/>
    <xf numFmtId="0" fontId="1945" fillId="0" borderId="0" xfId="0" applyFill="true" applyBorder="true" applyNumberFormat="true" applyFont="true"/>
    <xf numFmtId="0" fontId="1946" fillId="0" borderId="0" xfId="0" applyFill="true" applyBorder="true" applyNumberFormat="true" applyFont="true"/>
    <xf numFmtId="0" fontId="1947" fillId="0" borderId="0" xfId="0" applyFill="true" applyBorder="true" applyNumberFormat="true" applyFont="true"/>
    <xf numFmtId="0" fontId="1948" fillId="0" borderId="0" xfId="0" applyFill="true" applyBorder="true" applyNumberFormat="true" applyFont="true"/>
    <xf numFmtId="0" fontId="1949" fillId="0" borderId="0" xfId="0" applyFill="true" applyBorder="true" applyNumberFormat="true" applyFont="true"/>
    <xf numFmtId="0" fontId="1950" fillId="0" borderId="0" xfId="0" applyFill="true" applyBorder="true" applyNumberFormat="true" applyFont="true"/>
    <xf numFmtId="0" fontId="1951" fillId="0" borderId="0" xfId="0" applyFill="true" applyBorder="true" applyNumberFormat="true" applyFont="true"/>
    <xf numFmtId="0" fontId="1952" fillId="0" borderId="0" xfId="0" applyFill="true" applyBorder="true" applyNumberFormat="true" applyFont="true"/>
    <xf numFmtId="0" fontId="1953" fillId="0" borderId="0" xfId="0" applyFill="true" applyBorder="true" applyNumberFormat="true" applyFont="true"/>
    <xf numFmtId="0" fontId="1954" fillId="0" borderId="0" xfId="0" applyFill="true" applyBorder="true" applyNumberFormat="true" applyFont="true"/>
    <xf numFmtId="0" fontId="1955" fillId="0" borderId="0" xfId="0" applyFill="true" applyBorder="true" applyNumberFormat="true" applyFont="true"/>
    <xf numFmtId="0" fontId="1956" fillId="0" borderId="0" xfId="0" applyFill="true" applyBorder="true" applyNumberFormat="true" applyFont="true"/>
    <xf numFmtId="0" fontId="1957" fillId="0" borderId="0" xfId="0" applyFill="true" applyBorder="true" applyNumberFormat="true" applyFont="true"/>
    <xf numFmtId="0" fontId="1958" fillId="0" borderId="0" xfId="0" applyFill="true" applyBorder="true" applyNumberFormat="true" applyFont="true"/>
    <xf numFmtId="0" fontId="1959" fillId="0" borderId="0" xfId="0" applyFill="true" applyBorder="true" applyNumberFormat="true" applyFont="true"/>
    <xf numFmtId="0" fontId="1960" fillId="0" borderId="0" xfId="0" applyFill="true" applyBorder="true" applyNumberFormat="true" applyFont="true"/>
    <xf numFmtId="0" fontId="1961" fillId="0" borderId="0" xfId="0" applyFill="true" applyBorder="true" applyNumberFormat="true" applyFont="true"/>
    <xf numFmtId="0" fontId="1962" fillId="0" borderId="0" xfId="0" applyFill="true" applyBorder="true" applyNumberFormat="true" applyFont="true"/>
    <xf numFmtId="0" fontId="1963" fillId="0" borderId="0" xfId="0" applyFill="true" applyBorder="true" applyNumberFormat="true" applyFont="true"/>
    <xf numFmtId="0" fontId="1964" fillId="0" borderId="0" xfId="0" applyFill="true" applyBorder="true" applyNumberFormat="true" applyFont="true"/>
    <xf numFmtId="0" fontId="1965" fillId="0" borderId="0" xfId="0" applyFill="true" applyBorder="true" applyNumberFormat="true" applyFont="true"/>
    <xf numFmtId="0" fontId="1966" fillId="0" borderId="0" xfId="0" applyFill="true" applyBorder="true" applyNumberFormat="true" applyFont="true"/>
    <xf numFmtId="0" fontId="1967" fillId="0" borderId="0" xfId="0" applyFill="true" applyBorder="true" applyNumberFormat="true" applyFont="true"/>
    <xf numFmtId="0" fontId="1968" fillId="0" borderId="0" xfId="0" applyFill="true" applyBorder="true" applyNumberFormat="true" applyFont="true"/>
    <xf numFmtId="0" fontId="1969" fillId="0" borderId="0" xfId="0" applyFill="true" applyBorder="true" applyNumberFormat="true" applyFont="true"/>
    <xf numFmtId="0" fontId="1970" fillId="0" borderId="0" xfId="0" applyFill="true" applyBorder="true" applyNumberFormat="true" applyFont="true"/>
    <xf numFmtId="0" fontId="1971" fillId="0" borderId="0" xfId="0" applyFill="true" applyBorder="true" applyNumberFormat="true" applyFont="true"/>
    <xf numFmtId="0" fontId="1972" fillId="0" borderId="0" xfId="0" applyFill="true" applyBorder="true" applyNumberFormat="true" applyFont="true"/>
    <xf numFmtId="0" fontId="1973" fillId="0" borderId="0" xfId="0" applyFill="true" applyBorder="true" applyNumberFormat="true" applyFont="true"/>
    <xf numFmtId="0" fontId="1974" fillId="0" borderId="0" xfId="0" applyFill="true" applyBorder="true" applyNumberFormat="true" applyFont="true"/>
    <xf numFmtId="0" fontId="1975" fillId="0" borderId="0" xfId="0" applyFill="true" applyBorder="true" applyNumberFormat="true" applyFont="true"/>
    <xf numFmtId="0" fontId="1976" fillId="0" borderId="0" xfId="0" applyFill="true" applyBorder="true" applyNumberFormat="true" applyFont="true"/>
    <xf numFmtId="0" fontId="1977" fillId="0" borderId="0" xfId="0" applyFill="true" applyBorder="true" applyNumberFormat="true" applyFont="true"/>
    <xf numFmtId="0" fontId="1978" fillId="0" borderId="0" xfId="0" applyFill="true" applyBorder="true" applyNumberFormat="true" applyFont="true"/>
    <xf numFmtId="0" fontId="1979" fillId="0" borderId="0" xfId="0" applyFill="true" applyBorder="true" applyNumberFormat="true" applyFont="true"/>
    <xf numFmtId="0" fontId="1980" fillId="0" borderId="0" xfId="0" applyFill="true" applyBorder="true" applyNumberFormat="true" applyFont="true"/>
    <xf numFmtId="0" fontId="1981" fillId="0" borderId="0" xfId="0" applyFill="true" applyBorder="true" applyNumberFormat="true" applyFont="true"/>
    <xf numFmtId="0" fontId="1982" fillId="0" borderId="0" xfId="0" applyFill="true" applyBorder="true" applyNumberFormat="true" applyFont="true"/>
    <xf numFmtId="0" fontId="1983" fillId="0" borderId="0" xfId="0" applyFill="true" applyBorder="true" applyNumberFormat="true" applyFont="true"/>
    <xf numFmtId="0" fontId="1984" fillId="0" borderId="0" xfId="0" applyFill="true" applyBorder="true" applyNumberFormat="true" applyFont="true"/>
    <xf numFmtId="0" fontId="1985" fillId="0" borderId="0" xfId="0" applyFill="true" applyBorder="true" applyNumberFormat="true" applyFont="true"/>
    <xf numFmtId="0" fontId="1986" fillId="0" borderId="0" xfId="0" applyFill="true" applyBorder="true" applyNumberFormat="true" applyFont="true"/>
    <xf numFmtId="0" fontId="1987" fillId="0" borderId="0" xfId="0" applyFill="true" applyBorder="true" applyNumberFormat="true" applyFont="true"/>
    <xf numFmtId="0" fontId="1988" fillId="0" borderId="0" xfId="0" applyFill="true" applyBorder="true" applyNumberFormat="true" applyFont="true"/>
    <xf numFmtId="0" fontId="1989" fillId="0" borderId="0" xfId="0" applyFill="true" applyBorder="true" applyNumberFormat="true" applyFont="true"/>
    <xf numFmtId="0" fontId="1990" fillId="0" borderId="0" xfId="0" applyFill="true" applyBorder="true" applyNumberFormat="true" applyFont="true"/>
    <xf numFmtId="0" fontId="1991" fillId="0" borderId="0" xfId="0" applyFill="true" applyBorder="true" applyNumberFormat="true" applyFont="true"/>
    <xf numFmtId="0" fontId="1992" fillId="0" borderId="0" xfId="0" applyFill="true" applyBorder="true" applyNumberFormat="true" applyFont="true"/>
    <xf numFmtId="0" fontId="1993" fillId="0" borderId="0" xfId="0" applyFill="true" applyBorder="true" applyNumberFormat="true" applyFont="true"/>
    <xf numFmtId="0" fontId="1994" fillId="0" borderId="0" xfId="0" applyFill="true" applyBorder="true" applyNumberFormat="true" applyFont="true"/>
    <xf numFmtId="0" fontId="1995" fillId="0" borderId="0" xfId="0" applyFill="true" applyBorder="true" applyNumberFormat="true" applyFont="true"/>
    <xf numFmtId="0" fontId="1996" fillId="0" borderId="0" xfId="0" applyFill="true" applyBorder="true" applyNumberFormat="true" applyFont="true"/>
    <xf numFmtId="0" fontId="1997" fillId="0" borderId="0" xfId="0" applyFill="true" applyBorder="true" applyNumberFormat="true" applyFont="true"/>
    <xf numFmtId="0" fontId="1998" fillId="0" borderId="0" xfId="0" applyFill="true" applyBorder="true" applyNumberFormat="true" applyFont="true"/>
    <xf numFmtId="0" fontId="1999" fillId="0" borderId="0" xfId="0" applyFill="true" applyBorder="true" applyNumberFormat="true" applyFont="true"/>
    <xf numFmtId="0" fontId="2000" fillId="0" borderId="0" xfId="0" applyFill="true" applyBorder="true" applyNumberFormat="true" applyFont="true"/>
    <xf numFmtId="0" fontId="2001" fillId="0" borderId="0" xfId="0" applyFill="true" applyBorder="true" applyNumberFormat="true" applyFont="true"/>
    <xf numFmtId="0" fontId="2002" fillId="0" borderId="0" xfId="0" applyFill="true" applyBorder="true" applyNumberFormat="true" applyFont="true"/>
    <xf numFmtId="0" fontId="2003" fillId="0" borderId="0" xfId="0" applyFill="true" applyBorder="true" applyNumberFormat="true" applyFont="true"/>
    <xf numFmtId="0" fontId="2004" fillId="0" borderId="0" xfId="0" applyFill="true" applyBorder="true" applyNumberFormat="true" applyFont="true"/>
    <xf numFmtId="0" fontId="2005" fillId="0" borderId="0" xfId="0" applyFill="true" applyBorder="true" applyNumberFormat="true" applyFont="true"/>
    <xf numFmtId="0" fontId="2006" fillId="0" borderId="0" xfId="0" applyFill="true" applyBorder="true" applyNumberFormat="true" applyFont="true"/>
    <xf numFmtId="0" fontId="2007" fillId="0" borderId="0" xfId="0" applyFill="true" applyBorder="true" applyNumberFormat="true" applyFont="true"/>
    <xf numFmtId="0" fontId="2008" fillId="0" borderId="0" xfId="0" applyFill="true" applyBorder="true" applyNumberFormat="true" applyFont="true"/>
    <xf numFmtId="0" fontId="2009" fillId="0" borderId="0" xfId="0" applyFill="true" applyBorder="true" applyNumberFormat="true" applyFont="true"/>
    <xf numFmtId="0" fontId="2010" fillId="0" borderId="0" xfId="0" applyFill="true" applyBorder="true" applyNumberFormat="true" applyFont="true"/>
    <xf numFmtId="0" fontId="2011" fillId="0" borderId="0" xfId="0" applyFill="true" applyBorder="true" applyNumberFormat="true" applyFont="true"/>
    <xf numFmtId="0" fontId="2012" fillId="0" borderId="0" xfId="0" applyFill="true" applyBorder="true" applyNumberFormat="true" applyFont="true"/>
    <xf numFmtId="0" fontId="2013" fillId="0" borderId="0" xfId="0" applyFill="true" applyBorder="true" applyNumberFormat="true" applyFont="true"/>
    <xf numFmtId="0" fontId="2014" fillId="0" borderId="0" xfId="0" applyFill="true" applyBorder="true" applyNumberFormat="true" applyFont="true"/>
    <xf numFmtId="0" fontId="2015" fillId="0" borderId="0" xfId="0" applyFill="true" applyBorder="true" applyNumberFormat="true" applyFont="true"/>
    <xf numFmtId="0" fontId="2016" fillId="0" borderId="0" xfId="0" applyFill="true" applyBorder="true" applyNumberFormat="true" applyFont="true"/>
    <xf numFmtId="0" fontId="2017" fillId="0" borderId="0" xfId="0" applyFill="true" applyBorder="true" applyNumberFormat="true" applyFont="true"/>
    <xf numFmtId="0" fontId="2018" fillId="0" borderId="0" xfId="0" applyFill="true" applyBorder="true" applyNumberFormat="true" applyFont="true"/>
    <xf numFmtId="0" fontId="2019" fillId="0" borderId="0" xfId="0" applyFill="true" applyBorder="true" applyNumberFormat="true" applyFont="true"/>
    <xf numFmtId="0" fontId="2020" fillId="0" borderId="0" xfId="0" applyFill="true" applyBorder="true" applyNumberFormat="true" applyFont="true"/>
    <xf numFmtId="0" fontId="2021" fillId="0" borderId="0" xfId="0" applyFill="true" applyBorder="true" applyNumberFormat="true" applyFont="true"/>
    <xf numFmtId="0" fontId="2022" fillId="0" borderId="0" xfId="0" applyFill="true" applyBorder="true" applyNumberFormat="true" applyFont="true"/>
    <xf numFmtId="0" fontId="2023" fillId="0" borderId="0" xfId="0" applyFill="true" applyBorder="true" applyNumberFormat="true" applyFont="true"/>
    <xf numFmtId="0" fontId="2024" fillId="0" borderId="0" xfId="0" applyFill="true" applyBorder="true" applyNumberFormat="true" applyFont="true"/>
    <xf numFmtId="0" fontId="2025" fillId="0" borderId="0" xfId="0" applyFill="true" applyBorder="true" applyNumberFormat="true" applyFont="true"/>
    <xf numFmtId="0" fontId="2026" fillId="0" borderId="0" xfId="0" applyFill="true" applyBorder="true" applyNumberFormat="true" applyFont="true"/>
    <xf numFmtId="0" fontId="2027" fillId="0" borderId="0" xfId="0" applyFill="true" applyBorder="true" applyNumberFormat="true" applyFont="true"/>
    <xf numFmtId="0" fontId="2028" fillId="0" borderId="0" xfId="0" applyFill="true" applyBorder="true" applyNumberFormat="true" applyFont="true"/>
    <xf numFmtId="0" fontId="2029" fillId="0" borderId="0" xfId="0" applyFill="true" applyBorder="true" applyNumberFormat="true" applyFont="true"/>
    <xf numFmtId="0" fontId="2030" fillId="0" borderId="0" xfId="0" applyFill="true" applyBorder="true" applyNumberFormat="true" applyFont="true"/>
    <xf numFmtId="0" fontId="2031" fillId="0" borderId="0" xfId="0" applyFill="true" applyBorder="true" applyNumberFormat="true" applyFont="true"/>
    <xf numFmtId="0" fontId="2032" fillId="0" borderId="0" xfId="0" applyFill="true" applyBorder="true" applyNumberFormat="true" applyFont="true"/>
    <xf numFmtId="0" fontId="2033" fillId="0" borderId="0" xfId="0" applyFill="true" applyBorder="true" applyNumberFormat="true" applyFont="true"/>
    <xf numFmtId="0" fontId="2034" fillId="0" borderId="0" xfId="0" applyFill="true" applyBorder="true" applyNumberFormat="true" applyFont="true"/>
    <xf numFmtId="0" fontId="2035" fillId="0" borderId="0" xfId="0" applyFill="true" applyBorder="true" applyNumberFormat="true" applyFont="true"/>
    <xf numFmtId="0" fontId="2036" fillId="0" borderId="0" xfId="0" applyFill="true" applyBorder="true" applyNumberFormat="true" applyFont="true"/>
    <xf numFmtId="0" fontId="2037" fillId="0" borderId="0" xfId="0" applyFill="true" applyBorder="true" applyNumberFormat="true" applyFont="true"/>
    <xf numFmtId="0" fontId="2038" fillId="0" borderId="0" xfId="0" applyFill="true" applyBorder="true" applyNumberFormat="true" applyFont="true"/>
    <xf numFmtId="0" fontId="2039" fillId="0" borderId="0" xfId="0" applyFill="true" applyBorder="true" applyNumberFormat="true" applyFont="true"/>
    <xf numFmtId="0" fontId="2040" fillId="0" borderId="0" xfId="0" applyFill="true" applyBorder="true" applyNumberFormat="true" applyFont="true"/>
    <xf numFmtId="0" fontId="2041" fillId="0" borderId="0" xfId="0" applyFill="true" applyBorder="true" applyNumberFormat="true" applyFont="true"/>
    <xf numFmtId="0" fontId="2042" fillId="0" borderId="0" xfId="0" applyFill="true" applyBorder="true" applyNumberFormat="true" applyFont="true"/>
    <xf numFmtId="0" fontId="2043" fillId="0" borderId="0" xfId="0" applyFill="true" applyBorder="true" applyNumberFormat="true" applyFont="true"/>
    <xf numFmtId="0" fontId="2044" fillId="0" borderId="0" xfId="0" applyFill="true" applyBorder="true" applyNumberFormat="true" applyFont="true"/>
    <xf numFmtId="0" fontId="2045" fillId="0" borderId="0" xfId="0" applyFill="true" applyBorder="true" applyNumberFormat="true" applyFont="true"/>
    <xf numFmtId="0" fontId="2046" fillId="0" borderId="0" xfId="0" applyFill="true" applyBorder="true" applyNumberFormat="true" applyFont="true"/>
    <xf numFmtId="0" fontId="2047" fillId="0" borderId="0" xfId="0" applyFill="true" applyBorder="true" applyNumberFormat="true" applyFont="true"/>
    <xf numFmtId="0" fontId="2048" fillId="0" borderId="0" xfId="0" applyFill="true" applyBorder="true" applyNumberFormat="true" applyFont="true"/>
    <xf numFmtId="0" fontId="2049" fillId="0" borderId="0" xfId="0" applyFill="true" applyBorder="true" applyNumberFormat="true" applyFont="true"/>
    <xf numFmtId="0" fontId="2050" fillId="0" borderId="0" xfId="0" applyFill="true" applyBorder="true" applyNumberFormat="true" applyFont="true"/>
    <xf numFmtId="0" fontId="2051" fillId="0" borderId="0" xfId="0" applyFill="true" applyBorder="true" applyNumberFormat="true" applyFont="true"/>
    <xf numFmtId="0" fontId="2052" fillId="0" borderId="0" xfId="0" applyFill="true" applyBorder="true" applyNumberFormat="true" applyFont="true"/>
    <xf numFmtId="0" fontId="2053" fillId="0" borderId="0" xfId="0" applyFill="true" applyBorder="true" applyNumberFormat="true" applyFont="true"/>
    <xf numFmtId="0" fontId="2054" fillId="0" borderId="0" xfId="0" applyFill="true" applyBorder="true" applyNumberFormat="true" applyFont="true"/>
    <xf numFmtId="0" fontId="2055" fillId="0" borderId="0" xfId="0" applyFill="true" applyBorder="true" applyNumberFormat="true" applyFont="true"/>
    <xf numFmtId="0" fontId="2056" fillId="0" borderId="0" xfId="0" applyFill="true" applyBorder="true" applyNumberFormat="true" applyFont="true"/>
    <xf numFmtId="0" fontId="2057" fillId="0" borderId="0" xfId="0" applyFill="true" applyBorder="true" applyNumberFormat="true" applyFont="true"/>
    <xf numFmtId="0" fontId="2058" fillId="0" borderId="0" xfId="0" applyFill="true" applyBorder="true" applyNumberFormat="true" applyFont="true"/>
    <xf numFmtId="0" fontId="2059" fillId="0" borderId="0" xfId="0" applyFill="true" applyBorder="true" applyNumberFormat="true" applyFont="true"/>
    <xf numFmtId="0" fontId="2060" fillId="0" borderId="0" xfId="0" applyFill="true" applyBorder="true" applyNumberFormat="true" applyFont="true"/>
    <xf numFmtId="0" fontId="2061" fillId="0" borderId="0" xfId="0" applyFill="true" applyBorder="true" applyNumberFormat="true" applyFont="true"/>
    <xf numFmtId="0" fontId="2062" fillId="0" borderId="0" xfId="0" applyFill="true" applyBorder="true" applyNumberFormat="true" applyFont="true"/>
    <xf numFmtId="0" fontId="2063" fillId="0" borderId="0" xfId="0" applyFill="true" applyBorder="true" applyNumberFormat="true" applyFont="true"/>
    <xf numFmtId="0" fontId="2064" fillId="0" borderId="0" xfId="0" applyFill="true" applyBorder="true" applyNumberFormat="true" applyFont="true"/>
    <xf numFmtId="0" fontId="2065" fillId="0" borderId="0" xfId="0" applyFill="true" applyBorder="true" applyNumberFormat="true" applyFont="true"/>
    <xf numFmtId="0" fontId="2066" fillId="0" borderId="0" xfId="0" applyFill="true" applyBorder="true" applyNumberFormat="true" applyFont="true"/>
    <xf numFmtId="0" fontId="2067" fillId="0" borderId="0" xfId="0" applyFill="true" applyBorder="true" applyNumberFormat="true" applyFont="true"/>
    <xf numFmtId="0" fontId="2068" fillId="0" borderId="0" xfId="0" applyFill="true" applyBorder="true" applyNumberFormat="true" applyFont="true"/>
    <xf numFmtId="0" fontId="2069" fillId="0" borderId="0" xfId="0" applyFill="true" applyBorder="true" applyNumberFormat="true" applyFont="true"/>
    <xf numFmtId="0" fontId="2070" fillId="0" borderId="0" xfId="0" applyFill="true" applyBorder="true" applyNumberFormat="true" applyFont="true"/>
    <xf numFmtId="0" fontId="2071" fillId="0" borderId="0" xfId="0" applyFill="true" applyBorder="true" applyNumberFormat="true" applyFont="true"/>
    <xf numFmtId="0" fontId="2072" fillId="0" borderId="0" xfId="0" applyFill="true" applyBorder="true" applyNumberFormat="true" applyFont="true"/>
    <xf numFmtId="0" fontId="2073" fillId="0" borderId="0" xfId="0" applyFill="true" applyBorder="true" applyNumberFormat="true" applyFont="true"/>
    <xf numFmtId="0" fontId="2074" fillId="0" borderId="0" xfId="0" applyFill="true" applyBorder="true" applyNumberFormat="true" applyFont="true"/>
    <xf numFmtId="0" fontId="2075" fillId="0" borderId="0" xfId="0" applyFill="true" applyBorder="true" applyNumberFormat="true" applyFont="true"/>
    <xf numFmtId="0" fontId="2076" fillId="0" borderId="0" xfId="0" applyFill="true" applyBorder="true" applyNumberFormat="true" applyFont="true"/>
    <xf numFmtId="0" fontId="2077" fillId="0" borderId="0" xfId="0" applyFill="true" applyBorder="true" applyNumberFormat="true" applyFont="true"/>
    <xf numFmtId="0" fontId="2078" fillId="0" borderId="0" xfId="0" applyFill="true" applyBorder="true" applyNumberFormat="true" applyFont="true"/>
    <xf numFmtId="0" fontId="2079" fillId="0" borderId="0" xfId="0" applyFill="true" applyBorder="true" applyNumberFormat="true" applyFont="true"/>
    <xf numFmtId="0" fontId="2080" fillId="0" borderId="0" xfId="0" applyFill="true" applyBorder="true" applyNumberFormat="true" applyFont="true"/>
    <xf numFmtId="0" fontId="2081" fillId="0" borderId="0" xfId="0" applyFill="true" applyBorder="true" applyNumberFormat="true" applyFont="true"/>
    <xf numFmtId="0" fontId="2082" fillId="0" borderId="0" xfId="0" applyFill="true" applyBorder="true" applyNumberFormat="true" applyFont="true"/>
    <xf numFmtId="0" fontId="2083" fillId="0" borderId="0" xfId="0" applyFill="true" applyBorder="true" applyNumberFormat="true" applyFont="true"/>
    <xf numFmtId="0" fontId="2084" fillId="0" borderId="0" xfId="0" applyFill="true" applyBorder="true" applyNumberFormat="true" applyFont="true"/>
    <xf numFmtId="0" fontId="2085" fillId="0" borderId="0" xfId="0" applyFill="true" applyBorder="true" applyNumberFormat="true" applyFont="true"/>
    <xf numFmtId="0" fontId="2086" fillId="0" borderId="0" xfId="0" applyFill="true" applyBorder="true" applyNumberFormat="true" applyFont="true"/>
    <xf numFmtId="0" fontId="2087" fillId="0" borderId="0" xfId="0" applyFill="true" applyBorder="true" applyNumberFormat="true" applyFont="true"/>
    <xf numFmtId="0" fontId="2088" fillId="0" borderId="0" xfId="0" applyFill="true" applyBorder="true" applyNumberFormat="true" applyFont="true"/>
    <xf numFmtId="0" fontId="2089" fillId="0" borderId="0" xfId="0" applyFill="true" applyBorder="true" applyNumberFormat="true" applyFont="true"/>
    <xf numFmtId="0" fontId="2090" fillId="0" borderId="0" xfId="0" applyFill="true" applyBorder="true" applyNumberFormat="true" applyFont="true"/>
    <xf numFmtId="0" fontId="2091" fillId="0" borderId="0" xfId="0" applyFill="true" applyBorder="true" applyNumberFormat="true" applyFont="true"/>
    <xf numFmtId="0" fontId="2092" fillId="0" borderId="0" xfId="0" applyFill="true" applyBorder="true" applyNumberFormat="true" applyFont="true"/>
    <xf numFmtId="0" fontId="2093" fillId="0" borderId="0" xfId="0" applyFill="true" applyBorder="true" applyNumberFormat="true" applyFont="true"/>
    <xf numFmtId="0" fontId="2094" fillId="0" borderId="0" xfId="0" applyFill="true" applyBorder="true" applyNumberFormat="true" applyFont="true"/>
    <xf numFmtId="0" fontId="2095" fillId="0" borderId="0" xfId="0" applyFill="true" applyBorder="true" applyNumberFormat="true" applyFont="true"/>
    <xf numFmtId="0" fontId="2096" fillId="0" borderId="0" xfId="0" applyFill="true" applyBorder="true" applyNumberFormat="true" applyFont="true"/>
    <xf numFmtId="0" fontId="2097" fillId="0" borderId="0" xfId="0" applyFill="true" applyBorder="true" applyNumberFormat="true" applyFont="true"/>
    <xf numFmtId="0" fontId="2098" fillId="0" borderId="0" xfId="0" applyFill="true" applyBorder="true" applyNumberFormat="true" applyFont="true"/>
    <xf numFmtId="0" fontId="2099" fillId="0" borderId="0" xfId="0" applyFill="true" applyBorder="true" applyNumberFormat="true" applyFont="true"/>
    <xf numFmtId="0" fontId="2100" fillId="0" borderId="0" xfId="0" applyFill="true" applyBorder="true" applyNumberFormat="true" applyFont="true"/>
    <xf numFmtId="0" fontId="2101" fillId="0" borderId="0" xfId="0" applyFill="true" applyBorder="true" applyNumberFormat="true" applyFont="true"/>
    <xf numFmtId="0" fontId="2102" fillId="0" borderId="0" xfId="0" applyFill="true" applyBorder="true" applyNumberFormat="true" applyFont="true"/>
    <xf numFmtId="0" fontId="2103" fillId="0" borderId="0" xfId="0" applyFill="true" applyBorder="true" applyNumberFormat="true" applyFont="true"/>
    <xf numFmtId="0" fontId="2104" fillId="0" borderId="0" xfId="0" applyFill="true" applyBorder="true" applyNumberFormat="true" applyFont="true"/>
    <xf numFmtId="0" fontId="2105" fillId="0" borderId="0" xfId="0" applyFill="true" applyBorder="true" applyNumberFormat="true" applyFont="true"/>
    <xf numFmtId="0" fontId="2106" fillId="0" borderId="0" xfId="0" applyFill="true" applyBorder="true" applyNumberFormat="true" applyFont="true"/>
    <xf numFmtId="0" fontId="2107" fillId="0" borderId="0" xfId="0" applyFill="true" applyBorder="true" applyNumberFormat="true" applyFont="true"/>
    <xf numFmtId="0" fontId="2108" fillId="0" borderId="0" xfId="0" applyFill="true" applyBorder="true" applyNumberFormat="true" applyFont="true"/>
    <xf numFmtId="0" fontId="2109" fillId="0" borderId="0" xfId="0" applyFill="true" applyBorder="true" applyNumberFormat="true" applyFont="true"/>
    <xf numFmtId="0" fontId="2110" fillId="0" borderId="0" xfId="0" applyFill="true" applyBorder="true" applyNumberFormat="true" applyFont="true"/>
    <xf numFmtId="0" fontId="2111" fillId="0" borderId="0" xfId="0" applyFill="true" applyBorder="true" applyNumberFormat="true" applyFont="true"/>
    <xf numFmtId="0" fontId="2112" fillId="0" borderId="0" xfId="0" applyFill="true" applyBorder="true" applyNumberFormat="true" applyFont="true"/>
    <xf numFmtId="0" fontId="2113" fillId="0" borderId="0" xfId="0" applyFill="true" applyBorder="true" applyNumberFormat="true" applyFont="true"/>
    <xf numFmtId="0" fontId="2114" fillId="0" borderId="0" xfId="0" applyFill="true" applyBorder="true" applyNumberFormat="true" applyFont="true"/>
    <xf numFmtId="0" fontId="2115" fillId="0" borderId="0" xfId="0" applyFill="true" applyBorder="true" applyNumberFormat="true" applyFont="true"/>
    <xf numFmtId="0" fontId="2116" fillId="0" borderId="0" xfId="0" applyFill="true" applyBorder="true" applyNumberFormat="true" applyFont="true"/>
    <xf numFmtId="0" fontId="2117" fillId="0" borderId="0" xfId="0" applyFill="true" applyBorder="true" applyNumberFormat="true" applyFont="true"/>
    <xf numFmtId="0" fontId="2118" fillId="0" borderId="0" xfId="0" applyFill="true" applyBorder="true" applyNumberFormat="true" applyFont="true"/>
    <xf numFmtId="0" fontId="2119" fillId="0" borderId="0" xfId="0" applyFill="true" applyBorder="true" applyNumberFormat="true" applyFont="true"/>
    <xf numFmtId="0" fontId="2120" fillId="0" borderId="0" xfId="0" applyFill="true" applyBorder="true" applyNumberFormat="true" applyFont="true"/>
    <xf numFmtId="0" fontId="2121" fillId="0" borderId="0" xfId="0" applyFill="true" applyBorder="true" applyNumberFormat="true" applyFont="true"/>
    <xf numFmtId="0" fontId="2122" fillId="0" borderId="0" xfId="0" applyFill="true" applyBorder="true" applyNumberFormat="true" applyFont="true"/>
    <xf numFmtId="0" fontId="2123" fillId="0" borderId="0" xfId="0" applyFill="true" applyBorder="true" applyNumberFormat="true" applyFont="true"/>
    <xf numFmtId="0" fontId="2124" fillId="0" borderId="0" xfId="0" applyFill="true" applyBorder="true" applyNumberFormat="true" applyFont="true"/>
    <xf numFmtId="0" fontId="2125" fillId="0" borderId="0" xfId="0" applyFill="true" applyBorder="true" applyNumberFormat="true" applyFont="true"/>
    <xf numFmtId="0" fontId="2126" fillId="0" borderId="0" xfId="0" applyFill="true" applyBorder="true" applyNumberFormat="true" applyFont="true"/>
    <xf numFmtId="0" fontId="2127" fillId="0" borderId="0" xfId="0" applyFill="true" applyBorder="true" applyNumberFormat="true" applyFont="true"/>
    <xf numFmtId="0" fontId="2128" fillId="0" borderId="0" xfId="0" applyFill="true" applyBorder="true" applyNumberFormat="true" applyFont="true"/>
    <xf numFmtId="0" fontId="2129" fillId="0" borderId="0" xfId="0" applyFill="true" applyBorder="true" applyNumberFormat="true" applyFont="true"/>
    <xf numFmtId="0" fontId="2130" fillId="0" borderId="0" xfId="0" applyFill="true" applyBorder="true" applyNumberFormat="true" applyFont="true"/>
    <xf numFmtId="0" fontId="2131" fillId="0" borderId="0" xfId="0" applyFill="true" applyBorder="true" applyNumberFormat="true" applyFont="true"/>
    <xf numFmtId="0" fontId="2132" fillId="0" borderId="0" xfId="0" applyFill="true" applyBorder="true" applyNumberFormat="true" applyFont="true"/>
    <xf numFmtId="0" fontId="2133" fillId="0" borderId="0" xfId="0" applyFill="true" applyBorder="true" applyNumberFormat="true" applyFont="true"/>
    <xf numFmtId="0" fontId="2134" fillId="0" borderId="0" xfId="0" applyFill="true" applyBorder="true" applyNumberFormat="true" applyFont="true"/>
    <xf numFmtId="0" fontId="2135" fillId="0" borderId="0" xfId="0" applyFill="true" applyBorder="true" applyNumberFormat="true" applyFont="true"/>
    <xf numFmtId="0" fontId="2136" fillId="0" borderId="0" xfId="0" applyFill="true" applyBorder="true" applyNumberFormat="true" applyFont="true"/>
    <xf numFmtId="0" fontId="2137" fillId="0" borderId="0" xfId="0" applyFill="true" applyBorder="true" applyNumberFormat="true" applyFont="true"/>
    <xf numFmtId="0" fontId="2138" fillId="0" borderId="0" xfId="0" applyFill="true" applyBorder="true" applyNumberFormat="true" applyFont="true"/>
    <xf numFmtId="0" fontId="2139" fillId="0" borderId="0" xfId="0" applyFill="true" applyBorder="true" applyNumberFormat="true" applyFont="true"/>
    <xf numFmtId="0" fontId="2140" fillId="0" borderId="0" xfId="0" applyFill="true" applyBorder="true" applyNumberFormat="true" applyFont="true"/>
    <xf numFmtId="0" fontId="2141" fillId="0" borderId="0" xfId="0" applyFill="true" applyBorder="true" applyNumberFormat="true" applyFont="true"/>
    <xf numFmtId="0" fontId="2142" fillId="0" borderId="0" xfId="0" applyFill="true" applyBorder="true" applyNumberFormat="true" applyFont="true"/>
    <xf numFmtId="0" fontId="2143" fillId="0" borderId="0" xfId="0" applyFill="true" applyBorder="true" applyNumberFormat="true" applyFont="true"/>
    <xf numFmtId="0" fontId="2144" fillId="0" borderId="0" xfId="0" applyFill="true" applyBorder="true" applyNumberFormat="true" applyFont="true"/>
    <xf numFmtId="0" fontId="2145" fillId="0" borderId="0" xfId="0" applyFill="true" applyBorder="true" applyNumberFormat="true" applyFont="true"/>
    <xf numFmtId="0" fontId="2146" fillId="0" borderId="0" xfId="0" applyFill="true" applyBorder="true" applyNumberFormat="true" applyFont="true"/>
    <xf numFmtId="0" fontId="2147" fillId="0" borderId="0" xfId="0" applyFill="true" applyBorder="true" applyNumberFormat="true" applyFont="true"/>
    <xf numFmtId="0" fontId="2148" fillId="0" borderId="0" xfId="0" applyFill="true" applyBorder="true" applyNumberFormat="true" applyFont="true"/>
    <xf numFmtId="0" fontId="2149" fillId="0" borderId="0" xfId="0" applyFill="true" applyBorder="true" applyNumberFormat="true" applyFont="true"/>
    <xf numFmtId="0" fontId="2150" fillId="0" borderId="0" xfId="0" applyFill="true" applyBorder="true" applyNumberFormat="true" applyFont="true"/>
    <xf numFmtId="0" fontId="2151" fillId="0" borderId="0" xfId="0" applyFill="true" applyBorder="true" applyNumberFormat="true" applyFont="true"/>
    <xf numFmtId="0" fontId="2152" fillId="0" borderId="0" xfId="0" applyFill="true" applyBorder="true" applyNumberFormat="true" applyFont="true"/>
    <xf numFmtId="0" fontId="2153" fillId="0" borderId="0" xfId="0" applyFill="true" applyBorder="true" applyNumberFormat="true" applyFont="true"/>
    <xf numFmtId="0" fontId="2154" fillId="0" borderId="0" xfId="0" applyFill="true" applyBorder="true" applyNumberFormat="true" applyFont="true"/>
    <xf numFmtId="0" fontId="2155" fillId="0" borderId="0" xfId="0" applyFill="true" applyBorder="true" applyNumberFormat="true" applyFont="true"/>
    <xf numFmtId="0" fontId="2156" fillId="0" borderId="0" xfId="0" applyFill="true" applyBorder="true" applyNumberFormat="true" applyFont="true"/>
    <xf numFmtId="0" fontId="2157" fillId="0" borderId="0" xfId="0" applyFill="true" applyBorder="true" applyNumberFormat="true" applyFont="true"/>
    <xf numFmtId="0" fontId="2158" fillId="0" borderId="0" xfId="0" applyFill="true" applyBorder="true" applyNumberFormat="true" applyFont="true"/>
    <xf numFmtId="0" fontId="2159" fillId="0" borderId="0" xfId="0" applyFill="true" applyBorder="true" applyNumberFormat="true" applyFont="true"/>
    <xf numFmtId="0" fontId="2160" fillId="0" borderId="0" xfId="0" applyFill="true" applyBorder="true" applyNumberFormat="true" applyFont="true"/>
    <xf numFmtId="0" fontId="2161" fillId="0" borderId="0" xfId="0" applyFill="true" applyBorder="true" applyNumberFormat="true" applyFont="true"/>
    <xf numFmtId="0" fontId="2162" fillId="0" borderId="0" xfId="0" applyFill="true" applyBorder="true" applyNumberFormat="true" applyFont="true"/>
    <xf numFmtId="0" fontId="2163" fillId="0" borderId="0" xfId="0" applyFill="true" applyBorder="true" applyNumberFormat="true" applyFont="true"/>
    <xf numFmtId="0" fontId="2164" fillId="0" borderId="0" xfId="0" applyFill="true" applyBorder="true" applyNumberFormat="true" applyFont="true"/>
    <xf numFmtId="0" fontId="2165" fillId="0" borderId="0" xfId="0" applyFill="true" applyBorder="true" applyNumberFormat="true" applyFont="true"/>
    <xf numFmtId="0" fontId="2166" fillId="0" borderId="0" xfId="0" applyFill="true" applyBorder="true" applyNumberFormat="true" applyFont="true"/>
    <xf numFmtId="0" fontId="2167" fillId="0" borderId="0" xfId="0" applyFill="true" applyBorder="true" applyNumberFormat="true" applyFont="true"/>
    <xf numFmtId="0" fontId="2168" fillId="0" borderId="0" xfId="0" applyFill="true" applyBorder="true" applyNumberFormat="true" applyFont="true"/>
    <xf numFmtId="0" fontId="2169" fillId="0" borderId="0" xfId="0" applyFill="true" applyBorder="true" applyNumberFormat="true" applyFont="true"/>
    <xf numFmtId="0" fontId="2170" fillId="0" borderId="0" xfId="0" applyFill="true" applyBorder="true" applyNumberFormat="true" applyFont="true"/>
    <xf numFmtId="0" fontId="2171" fillId="0" borderId="0" xfId="0" applyFill="true" applyBorder="true" applyNumberFormat="true" applyFont="true"/>
    <xf numFmtId="0" fontId="2172" fillId="0" borderId="0" xfId="0" applyFill="true" applyBorder="true" applyNumberFormat="true" applyFont="true"/>
    <xf numFmtId="0" fontId="2173" fillId="0" borderId="0" xfId="0" applyFill="true" applyBorder="true" applyNumberFormat="true" applyFont="true"/>
    <xf numFmtId="0" fontId="2174" fillId="0" borderId="0" xfId="0" applyFill="true" applyBorder="true" applyNumberFormat="true" applyFont="true"/>
    <xf numFmtId="0" fontId="2175" fillId="0" borderId="0" xfId="0" applyFill="true" applyBorder="true" applyNumberFormat="true" applyFont="true"/>
    <xf numFmtId="0" fontId="2176" fillId="0" borderId="0" xfId="0" applyFill="true" applyBorder="true" applyNumberFormat="true" applyFont="true"/>
    <xf numFmtId="0" fontId="2177" fillId="0" borderId="0" xfId="0" applyFill="true" applyBorder="true" applyNumberFormat="true" applyFont="true"/>
    <xf numFmtId="0" fontId="2178" fillId="0" borderId="0" xfId="0" applyFill="true" applyBorder="true" applyNumberFormat="true" applyFont="true"/>
    <xf numFmtId="0" fontId="2179" fillId="0" borderId="0" xfId="0" applyFill="true" applyBorder="true" applyNumberFormat="true" applyFont="true"/>
    <xf numFmtId="0" fontId="2180" fillId="0" borderId="0" xfId="0" applyFill="true" applyBorder="true" applyNumberFormat="true" applyFont="true"/>
    <xf numFmtId="0" fontId="2181" fillId="0" borderId="0" xfId="0" applyFill="true" applyBorder="true" applyNumberFormat="true" applyFont="true"/>
    <xf numFmtId="0" fontId="2182" fillId="0" borderId="0" xfId="0" applyFill="true" applyBorder="true" applyNumberFormat="true" applyFont="true"/>
    <xf numFmtId="0" fontId="2183" fillId="0" borderId="0" xfId="0" applyFill="true" applyBorder="true" applyNumberFormat="true" applyFont="true"/>
    <xf numFmtId="0" fontId="2184" fillId="0" borderId="0" xfId="0" applyFill="true" applyBorder="true" applyNumberFormat="true" applyFont="true"/>
    <xf numFmtId="0" fontId="2185" fillId="0" borderId="0" xfId="0" applyFill="true" applyBorder="true" applyNumberFormat="true" applyFont="true"/>
    <xf numFmtId="0" fontId="2186" fillId="0" borderId="0" xfId="0" applyFill="true" applyBorder="true" applyNumberFormat="true" applyFont="true"/>
    <xf numFmtId="0" fontId="2187" fillId="0" borderId="0" xfId="0" applyFill="true" applyBorder="true" applyNumberFormat="true" applyFont="true"/>
    <xf numFmtId="0" fontId="2188" fillId="0" borderId="0" xfId="0" applyFill="true" applyBorder="true" applyNumberFormat="true" applyFont="true"/>
    <xf numFmtId="0" fontId="2189" fillId="0" borderId="0" xfId="0" applyFill="true" applyBorder="true" applyNumberFormat="true" applyFont="true"/>
    <xf numFmtId="0" fontId="2190" fillId="0" borderId="0" xfId="0" applyFill="true" applyBorder="true" applyNumberFormat="true" applyFont="true"/>
    <xf numFmtId="0" fontId="2191" fillId="0" borderId="0" xfId="0" applyFill="true" applyBorder="true" applyNumberFormat="true" applyFont="true"/>
    <xf numFmtId="0" fontId="2192" fillId="0" borderId="0" xfId="0" applyFill="true" applyBorder="true" applyNumberFormat="true" applyFont="true"/>
    <xf numFmtId="0" fontId="2193" fillId="0" borderId="0" xfId="0" applyFill="true" applyBorder="true" applyNumberFormat="true" applyFont="true"/>
    <xf numFmtId="0" fontId="2194" fillId="0" borderId="0" xfId="0" applyFill="true" applyBorder="true" applyNumberFormat="true" applyFont="true"/>
    <xf numFmtId="0" fontId="2195" fillId="0" borderId="0" xfId="0" applyFill="true" applyBorder="true" applyNumberFormat="true" applyFont="true"/>
    <xf numFmtId="0" fontId="2196" fillId="0" borderId="0" xfId="0" applyFill="true" applyBorder="true" applyNumberFormat="true" applyFont="true"/>
    <xf numFmtId="0" fontId="2197" fillId="0" borderId="0" xfId="0" applyFill="true" applyBorder="true" applyNumberFormat="true" applyFont="true"/>
    <xf numFmtId="0" fontId="2198" fillId="0" borderId="0" xfId="0" applyFill="true" applyBorder="true" applyNumberFormat="true" applyFont="true"/>
    <xf numFmtId="0" fontId="2199" fillId="0" borderId="0" xfId="0" applyFill="true" applyBorder="true" applyNumberFormat="true" applyFont="true"/>
    <xf numFmtId="0" fontId="2200" fillId="0" borderId="0" xfId="0" applyFill="true" applyBorder="true" applyNumberFormat="true" applyFont="true"/>
    <xf numFmtId="0" fontId="2201" fillId="0" borderId="0" xfId="0" applyFill="true" applyBorder="true" applyNumberFormat="true" applyFont="true"/>
    <xf numFmtId="0" fontId="2202" fillId="0" borderId="0" xfId="0" applyFill="true" applyBorder="true" applyNumberFormat="true" applyFont="true"/>
    <xf numFmtId="0" fontId="2203" fillId="0" borderId="0" xfId="0" applyFill="true" applyBorder="true" applyNumberFormat="true" applyFont="true"/>
    <xf numFmtId="0" fontId="2204" fillId="0" borderId="0" xfId="0" applyFill="true" applyBorder="true" applyNumberFormat="true" applyFont="true"/>
    <xf numFmtId="0" fontId="2205" fillId="0" borderId="0" xfId="0" applyFill="true" applyBorder="true" applyNumberFormat="true" applyFont="true"/>
    <xf numFmtId="0" fontId="2206" fillId="0" borderId="0" xfId="0" applyFill="true" applyBorder="true" applyNumberFormat="true" applyFont="true"/>
    <xf numFmtId="0" fontId="2207" fillId="0" borderId="0" xfId="0" applyFill="true" applyBorder="true" applyNumberFormat="true" applyFont="true"/>
    <xf numFmtId="0" fontId="2208" fillId="0" borderId="0" xfId="0" applyFill="true" applyBorder="true" applyNumberFormat="true" applyFont="true"/>
    <xf numFmtId="0" fontId="2209" fillId="0" borderId="0" xfId="0" applyFill="true" applyBorder="true" applyNumberFormat="true" applyFont="true"/>
    <xf numFmtId="0" fontId="2210" fillId="0" borderId="0" xfId="0" applyFill="true" applyBorder="true" applyNumberFormat="true" applyFont="true"/>
    <xf numFmtId="0" fontId="2211" fillId="0" borderId="0" xfId="0" applyFill="true" applyBorder="true" applyNumberFormat="true" applyFont="true"/>
    <xf numFmtId="0" fontId="2212" fillId="0" borderId="0" xfId="0" applyFill="true" applyBorder="true" applyNumberFormat="true" applyFont="true"/>
    <xf numFmtId="0" fontId="2213" fillId="0" borderId="0" xfId="0" applyFill="true" applyBorder="true" applyNumberFormat="true" applyFont="true"/>
    <xf numFmtId="0" fontId="2214" fillId="0" borderId="0" xfId="0" applyFill="true" applyBorder="true" applyNumberFormat="true" applyFont="true"/>
    <xf numFmtId="0" fontId="2215" fillId="0" borderId="0" xfId="0" applyFill="true" applyBorder="true" applyNumberFormat="true" applyFont="true"/>
    <xf numFmtId="0" fontId="2216" fillId="0" borderId="0" xfId="0" applyFill="true" applyBorder="true" applyNumberFormat="true" applyFont="true"/>
    <xf numFmtId="0" fontId="2217" fillId="0" borderId="0" xfId="0" applyFill="true" applyBorder="true" applyNumberFormat="true" applyFont="true"/>
    <xf numFmtId="0" fontId="2218" fillId="0" borderId="0" xfId="0" applyFill="true" applyBorder="true" applyNumberFormat="true" applyFont="true"/>
    <xf numFmtId="0" fontId="2219" fillId="0" borderId="0" xfId="0" applyFill="true" applyBorder="true" applyNumberFormat="true" applyFont="true"/>
    <xf numFmtId="0" fontId="2220" fillId="0" borderId="0" xfId="0" applyFill="true" applyBorder="true" applyNumberFormat="true" applyFont="true"/>
    <xf numFmtId="0" fontId="2221" fillId="0" borderId="0" xfId="0" applyFill="true" applyBorder="true" applyNumberFormat="true" applyFont="true"/>
    <xf numFmtId="0" fontId="2222" fillId="0" borderId="0" xfId="0" applyFill="true" applyBorder="true" applyNumberFormat="true" applyFont="true"/>
    <xf numFmtId="0" fontId="2223" fillId="0" borderId="0" xfId="0" applyFill="true" applyBorder="true" applyNumberFormat="true" applyFont="true"/>
    <xf numFmtId="0" fontId="2224" fillId="0" borderId="0" xfId="0" applyFill="true" applyBorder="true" applyNumberFormat="true" applyFont="true"/>
    <xf numFmtId="0" fontId="2225" fillId="0" borderId="0" xfId="0" applyFill="true" applyBorder="true" applyNumberFormat="true" applyFont="true"/>
    <xf numFmtId="0" fontId="2226" fillId="0" borderId="0" xfId="0" applyFill="true" applyBorder="true" applyNumberFormat="true" applyFont="true"/>
    <xf numFmtId="0" fontId="2227" fillId="0" borderId="0" xfId="0" applyFill="true" applyBorder="true" applyNumberFormat="true" applyFont="true"/>
    <xf numFmtId="0" fontId="2228" fillId="0" borderId="0" xfId="0" applyFill="true" applyBorder="true" applyNumberFormat="true" applyFont="true"/>
    <xf numFmtId="0" fontId="2229" fillId="0" borderId="0" xfId="0" applyFill="true" applyBorder="true" applyNumberFormat="true" applyFont="true"/>
    <xf numFmtId="0" fontId="2230" fillId="0" borderId="0" xfId="0" applyFill="true" applyBorder="true" applyNumberFormat="true" applyFont="true"/>
    <xf numFmtId="0" fontId="2231" fillId="0" borderId="0" xfId="0" applyFill="true" applyBorder="true" applyNumberFormat="true" applyFont="true"/>
    <xf numFmtId="0" fontId="2232" fillId="0" borderId="0" xfId="0" applyFill="true" applyBorder="true" applyNumberFormat="true" applyFont="true"/>
    <xf numFmtId="0" fontId="2233" fillId="0" borderId="0" xfId="0" applyFill="true" applyBorder="true" applyNumberFormat="true" applyFont="true"/>
    <xf numFmtId="0" fontId="2234" fillId="0" borderId="0" xfId="0" applyFill="true" applyBorder="true" applyNumberFormat="true" applyFont="true"/>
    <xf numFmtId="0" fontId="2235" fillId="0" borderId="0" xfId="0" applyFill="true" applyBorder="true" applyNumberFormat="true" applyFont="true"/>
    <xf numFmtId="0" fontId="2236" fillId="0" borderId="0" xfId="0" applyFill="true" applyBorder="true" applyNumberFormat="true" applyFont="true"/>
    <xf numFmtId="0" fontId="2237" fillId="0" borderId="0" xfId="0" applyFill="true" applyBorder="true" applyNumberFormat="true" applyFont="true"/>
    <xf numFmtId="0" fontId="2238" fillId="0" borderId="0" xfId="0" applyFill="true" applyBorder="true" applyNumberFormat="true" applyFont="true"/>
    <xf numFmtId="0" fontId="2239" fillId="0" borderId="0" xfId="0" applyFill="true" applyBorder="true" applyNumberFormat="true" applyFont="true"/>
    <xf numFmtId="0" fontId="2240" fillId="0" borderId="0" xfId="0" applyFill="true" applyBorder="true" applyNumberFormat="true" applyFont="true"/>
    <xf numFmtId="0" fontId="2241" fillId="0" borderId="0" xfId="0" applyFill="true" applyBorder="true" applyNumberFormat="true" applyFont="true"/>
    <xf numFmtId="0" fontId="2242" fillId="0" borderId="0" xfId="0" applyFill="true" applyBorder="true" applyNumberFormat="true" applyFont="true"/>
    <xf numFmtId="0" fontId="2243" fillId="0" borderId="0" xfId="0" applyFill="true" applyBorder="true" applyNumberFormat="true" applyFont="true"/>
    <xf numFmtId="0" fontId="2244" fillId="0" borderId="0" xfId="0" applyFill="true" applyBorder="true" applyNumberFormat="true" applyFont="true"/>
    <xf numFmtId="0" fontId="2245" fillId="0" borderId="0" xfId="0" applyFill="true" applyBorder="true" applyNumberFormat="true" applyFont="true"/>
    <xf numFmtId="0" fontId="2246" fillId="0" borderId="0" xfId="0" applyFill="true" applyBorder="true" applyNumberFormat="true" applyFont="true"/>
    <xf numFmtId="0" fontId="2247" fillId="0" borderId="0" xfId="0" applyFill="true" applyBorder="true" applyNumberFormat="true" applyFont="true"/>
    <xf numFmtId="0" fontId="2248" fillId="0" borderId="0" xfId="0" applyFill="true" applyBorder="true" applyNumberFormat="true" applyFont="true"/>
    <xf numFmtId="0" fontId="2249" fillId="0" borderId="0" xfId="0" applyFill="true" applyBorder="true" applyNumberFormat="true" applyFont="true"/>
    <xf numFmtId="0" fontId="2250" fillId="0" borderId="0" xfId="0" applyFill="true" applyBorder="true" applyNumberFormat="true" applyFont="true"/>
    <xf numFmtId="0" fontId="2251" fillId="0" borderId="0" xfId="0" applyFill="true" applyBorder="true" applyNumberFormat="true" applyFont="true"/>
    <xf numFmtId="0" fontId="2252" fillId="0" borderId="0" xfId="0" applyFill="true" applyBorder="true" applyNumberFormat="true" applyFont="true"/>
    <xf numFmtId="0" fontId="2253" fillId="0" borderId="0" xfId="0" applyFill="true" applyBorder="true" applyNumberFormat="true" applyFont="true"/>
    <xf numFmtId="0" fontId="2254" fillId="0" borderId="0" xfId="0" applyFill="true" applyBorder="true" applyNumberFormat="true" applyFont="true"/>
    <xf numFmtId="0" fontId="2255" fillId="0" borderId="0" xfId="0" applyFill="true" applyBorder="true" applyNumberFormat="true" applyFont="true"/>
    <xf numFmtId="0" fontId="2256" fillId="0" borderId="0" xfId="0" applyFill="true" applyBorder="true" applyNumberFormat="true" applyFont="true"/>
    <xf numFmtId="0" fontId="2257" fillId="0" borderId="0" xfId="0" applyFill="true" applyBorder="true" applyNumberFormat="true" applyFont="true"/>
    <xf numFmtId="0" fontId="2258" fillId="0" borderId="0" xfId="0" applyFill="true" applyBorder="true" applyNumberFormat="true" applyFont="true"/>
    <xf numFmtId="0" fontId="2259" fillId="0" borderId="0" xfId="0" applyFill="true" applyBorder="true" applyNumberFormat="true" applyFont="true"/>
    <xf numFmtId="0" fontId="2260" fillId="0" borderId="0" xfId="0" applyFill="true" applyBorder="true" applyNumberFormat="true" applyFont="true"/>
    <xf numFmtId="0" fontId="2261" fillId="0" borderId="0" xfId="0" applyFill="true" applyBorder="true" applyNumberFormat="true" applyFont="true"/>
    <xf numFmtId="0" fontId="2262" fillId="0" borderId="0" xfId="0" applyFill="true" applyBorder="true" applyNumberFormat="true" applyFont="true"/>
    <xf numFmtId="0" fontId="2263" fillId="0" borderId="0" xfId="0" applyFill="true" applyBorder="true" applyNumberFormat="true" applyFont="true"/>
    <xf numFmtId="0" fontId="2264" fillId="0" borderId="0" xfId="0" applyFill="true" applyBorder="true" applyNumberFormat="true" applyFont="true"/>
    <xf numFmtId="0" fontId="2265" fillId="0" borderId="0" xfId="0" applyFill="true" applyBorder="true" applyNumberFormat="true" applyFont="true"/>
    <xf numFmtId="0" fontId="2266" fillId="0" borderId="0" xfId="0" applyFill="true" applyBorder="true" applyNumberFormat="true" applyFont="true"/>
    <xf numFmtId="0" fontId="2267" fillId="0" borderId="0" xfId="0" applyFill="true" applyBorder="true" applyNumberFormat="true" applyFont="true"/>
    <xf numFmtId="0" fontId="2268" fillId="0" borderId="0" xfId="0" applyFill="true" applyBorder="true" applyNumberFormat="true" applyFont="true"/>
    <xf numFmtId="0" fontId="2269" fillId="0" borderId="0" xfId="0" applyFill="true" applyBorder="true" applyNumberFormat="true" applyFont="true"/>
    <xf numFmtId="0" fontId="2270" fillId="0" borderId="0" xfId="0" applyFill="true" applyBorder="true" applyNumberFormat="true" applyFont="true"/>
    <xf numFmtId="0" fontId="2271" fillId="0" borderId="0" xfId="0" applyFill="true" applyBorder="true" applyNumberFormat="true" applyFont="true"/>
    <xf numFmtId="0" fontId="2272" fillId="0" borderId="0" xfId="0" applyFill="true" applyBorder="true" applyNumberFormat="true" applyFont="true"/>
    <xf numFmtId="0" fontId="2273" fillId="0" borderId="0" xfId="0" applyFill="true" applyBorder="true" applyNumberFormat="true" applyFont="true"/>
    <xf numFmtId="0" fontId="2274" fillId="0" borderId="0" xfId="0" applyFill="true" applyBorder="true" applyNumberFormat="true" applyFont="true"/>
    <xf numFmtId="0" fontId="2275" fillId="0" borderId="0" xfId="0" applyFill="true" applyBorder="true" applyNumberFormat="true" applyFont="true"/>
    <xf numFmtId="0" fontId="2276" fillId="0" borderId="0" xfId="0" applyFill="true" applyBorder="true" applyNumberFormat="true" applyFont="true"/>
    <xf numFmtId="0" fontId="2277" fillId="0" borderId="0" xfId="0" applyFill="true" applyBorder="true" applyNumberFormat="true" applyFont="true"/>
    <xf numFmtId="0" fontId="2278" fillId="0" borderId="0" xfId="0" applyFill="true" applyBorder="true" applyNumberFormat="true" applyFont="true"/>
    <xf numFmtId="0" fontId="2279" fillId="0" borderId="0" xfId="0" applyFill="true" applyBorder="true" applyNumberFormat="true" applyFont="true"/>
    <xf numFmtId="0" fontId="2280" fillId="0" borderId="0" xfId="0" applyFill="true" applyBorder="true" applyNumberFormat="true" applyFont="true"/>
    <xf numFmtId="0" fontId="2281" fillId="0" borderId="0" xfId="0" applyFill="true" applyBorder="true" applyNumberFormat="true" applyFont="true"/>
    <xf numFmtId="0" fontId="2282" fillId="0" borderId="0" xfId="0" applyFill="true" applyBorder="true" applyNumberFormat="true" applyFont="true"/>
    <xf numFmtId="0" fontId="2283" fillId="0" borderId="0" xfId="0" applyFill="true" applyBorder="true" applyNumberFormat="true" applyFont="true"/>
    <xf numFmtId="0" fontId="2284" fillId="0" borderId="0" xfId="0" applyFill="true" applyBorder="true" applyNumberFormat="true" applyFont="true"/>
    <xf numFmtId="0" fontId="2285" fillId="0" borderId="0" xfId="0" applyFill="true" applyBorder="true" applyNumberFormat="true" applyFont="true"/>
    <xf numFmtId="0" fontId="2286" fillId="0" borderId="0" xfId="0" applyFill="true" applyBorder="true" applyNumberFormat="true" applyFont="true"/>
    <xf numFmtId="0" fontId="2287" fillId="0" borderId="0" xfId="0" applyFill="true" applyBorder="true" applyNumberFormat="true" applyFont="true"/>
    <xf numFmtId="0" fontId="2288" fillId="0" borderId="0" xfId="0" applyFill="true" applyBorder="true" applyNumberFormat="true" applyFont="true"/>
    <xf numFmtId="0" fontId="2289" fillId="0" borderId="0" xfId="0" applyFill="true" applyBorder="true" applyNumberFormat="true" applyFont="true"/>
    <xf numFmtId="0" fontId="2290" fillId="0" borderId="0" xfId="0" applyFill="true" applyBorder="true" applyNumberFormat="true" applyFont="true"/>
    <xf numFmtId="0" fontId="2291" fillId="0" borderId="0" xfId="0" applyFill="true" applyBorder="true" applyNumberFormat="true" applyFont="true"/>
    <xf numFmtId="0" fontId="2292" fillId="0" borderId="0" xfId="0" applyFill="true" applyBorder="true" applyNumberFormat="true" applyFont="true"/>
    <xf numFmtId="0" fontId="2293" fillId="0" borderId="0" xfId="0" applyFill="true" applyBorder="true" applyNumberFormat="true" applyFont="true"/>
    <xf numFmtId="0" fontId="2294" fillId="0" borderId="0" xfId="0" applyFill="true" applyBorder="true" applyNumberFormat="true" applyFont="true"/>
    <xf numFmtId="0" fontId="2295" fillId="0" borderId="0" xfId="0" applyFill="true" applyBorder="true" applyNumberFormat="true" applyFont="true"/>
    <xf numFmtId="0" fontId="2296" fillId="0" borderId="0" xfId="0" applyFill="true" applyBorder="true" applyNumberFormat="true" applyFont="true"/>
    <xf numFmtId="0" fontId="2297" fillId="0" borderId="0" xfId="0" applyFill="true" applyBorder="true" applyNumberFormat="true" applyFont="true"/>
    <xf numFmtId="0" fontId="2298" fillId="0" borderId="0" xfId="0" applyFill="true" applyBorder="true" applyNumberFormat="true" applyFont="true"/>
    <xf numFmtId="0" fontId="2299" fillId="0" borderId="0" xfId="0" applyFill="true" applyBorder="true" applyNumberFormat="true" applyFont="true"/>
    <xf numFmtId="0" fontId="2300" fillId="0" borderId="0" xfId="0" applyFill="true" applyBorder="true" applyNumberFormat="true" applyFont="true"/>
    <xf numFmtId="0" fontId="2301" fillId="0" borderId="0" xfId="0" applyFill="true" applyBorder="true" applyNumberFormat="true" applyFont="true"/>
    <xf numFmtId="0" fontId="2302" fillId="0" borderId="0" xfId="0" applyFill="true" applyBorder="true" applyNumberFormat="true" applyFont="true"/>
    <xf numFmtId="0" fontId="2303" fillId="0" borderId="0" xfId="0" applyFill="true" applyBorder="true" applyNumberFormat="true" applyFont="true"/>
    <xf numFmtId="0" fontId="2304" fillId="0" borderId="0" xfId="0" applyFill="true" applyBorder="true" applyNumberFormat="true" applyFont="true"/>
    <xf numFmtId="0" fontId="2305" fillId="0" borderId="0" xfId="0" applyFill="true" applyBorder="true" applyNumberFormat="true" applyFont="true"/>
    <xf numFmtId="0" fontId="2306" fillId="0" borderId="0" xfId="0" applyFill="true" applyBorder="true" applyNumberFormat="true" applyFont="true"/>
    <xf numFmtId="0" fontId="2307" fillId="0" borderId="0" xfId="0" applyFill="true" applyBorder="true" applyNumberFormat="true" applyFont="true"/>
    <xf numFmtId="0" fontId="2308" fillId="0" borderId="0" xfId="0" applyFill="true" applyBorder="true" applyNumberFormat="true" applyFont="true"/>
    <xf numFmtId="0" fontId="2309" fillId="0" borderId="0" xfId="0" applyFill="true" applyBorder="true" applyNumberFormat="true" applyFont="true"/>
    <xf numFmtId="0" fontId="2310" fillId="0" borderId="0" xfId="0" applyFill="true" applyBorder="true" applyNumberFormat="true" applyFont="true"/>
    <xf numFmtId="0" fontId="2311" fillId="0" borderId="0" xfId="0" applyFill="true" applyBorder="true" applyNumberFormat="true" applyFont="true"/>
    <xf numFmtId="0" fontId="2312" fillId="0" borderId="0" xfId="0" applyFill="true" applyBorder="true" applyNumberFormat="true" applyFont="true"/>
    <xf numFmtId="0" fontId="2313" fillId="0" borderId="0" xfId="0" applyFill="true" applyBorder="true" applyNumberFormat="true" applyFont="true"/>
    <xf numFmtId="0" fontId="2314" fillId="0" borderId="0" xfId="0" applyFill="true" applyBorder="true" applyNumberFormat="true" applyFont="true"/>
    <xf numFmtId="0" fontId="2315" fillId="0" borderId="0" xfId="0" applyFill="true" applyBorder="true" applyNumberFormat="true" applyFont="true"/>
    <xf numFmtId="0" fontId="2316" fillId="0" borderId="0" xfId="0" applyFill="true" applyBorder="true" applyNumberFormat="true" applyFont="true"/>
    <xf numFmtId="0" fontId="2317" fillId="0" borderId="0" xfId="0" applyFill="true" applyBorder="true" applyNumberFormat="true" applyFont="true"/>
    <xf numFmtId="0" fontId="2318" fillId="0" borderId="0" xfId="0" applyFill="true" applyBorder="true" applyNumberFormat="true" applyFont="true"/>
    <xf numFmtId="0" fontId="2319" fillId="0" borderId="0" xfId="0" applyFill="true" applyBorder="true" applyNumberFormat="true" applyFont="true"/>
    <xf numFmtId="0" fontId="2320" fillId="0" borderId="0" xfId="0" applyFill="true" applyBorder="true" applyNumberFormat="true" applyFont="true"/>
    <xf numFmtId="0" fontId="2321" fillId="0" borderId="0" xfId="0" applyFill="true" applyBorder="true" applyNumberFormat="true" applyFont="true"/>
    <xf numFmtId="0" fontId="2322" fillId="0" borderId="0" xfId="0" applyFill="true" applyBorder="true" applyNumberFormat="true" applyFont="true"/>
    <xf numFmtId="0" fontId="2323" fillId="0" borderId="0" xfId="0" applyFill="true" applyBorder="true" applyNumberFormat="true" applyFont="true"/>
    <xf numFmtId="0" fontId="2324" fillId="0" borderId="0" xfId="0" applyFill="true" applyBorder="true" applyNumberFormat="true" applyFont="true"/>
    <xf numFmtId="0" fontId="2325" fillId="0" borderId="0" xfId="0" applyFill="true" applyBorder="true" applyNumberFormat="true" applyFont="true"/>
    <xf numFmtId="0" fontId="2326" fillId="0" borderId="0" xfId="0" applyFill="true" applyBorder="true" applyNumberFormat="true" applyFont="true"/>
    <xf numFmtId="0" fontId="2327" fillId="0" borderId="0" xfId="0" applyFill="true" applyBorder="true" applyNumberFormat="true" applyFont="true"/>
    <xf numFmtId="0" fontId="2328" fillId="0" borderId="0" xfId="0" applyFill="true" applyBorder="true" applyNumberFormat="true" applyFont="true"/>
    <xf numFmtId="0" fontId="2329" fillId="0" borderId="0" xfId="0" applyFill="true" applyBorder="true" applyNumberFormat="true" applyFont="true"/>
    <xf numFmtId="0" fontId="2330" fillId="0" borderId="0" xfId="0" applyFill="true" applyBorder="true" applyNumberFormat="true" applyFont="true"/>
    <xf numFmtId="0" fontId="2331" fillId="0" borderId="0" xfId="0" applyFill="true" applyBorder="true" applyNumberFormat="true" applyFont="true"/>
    <xf numFmtId="0" fontId="2332" fillId="0" borderId="0" xfId="0" applyFill="true" applyBorder="true" applyNumberFormat="true" applyFont="true"/>
    <xf numFmtId="0" fontId="2333" fillId="0" borderId="0" xfId="0" applyFill="true" applyBorder="true" applyNumberFormat="true" applyFont="true"/>
    <xf numFmtId="0" fontId="2334" fillId="0" borderId="0" xfId="0" applyFill="true" applyBorder="true" applyNumberFormat="true" applyFont="true"/>
    <xf numFmtId="0" fontId="2335" fillId="0" borderId="0" xfId="0" applyFill="true" applyBorder="true" applyNumberFormat="true" applyFont="true"/>
    <xf numFmtId="0" fontId="2336" fillId="0" borderId="0" xfId="0" applyFill="true" applyBorder="true" applyNumberFormat="true" applyFont="true"/>
    <xf numFmtId="0" fontId="2337" fillId="0" borderId="0" xfId="0" applyFill="true" applyBorder="true" applyNumberFormat="true" applyFont="true"/>
    <xf numFmtId="0" fontId="2338" fillId="0" borderId="0" xfId="0" applyFill="true" applyBorder="true" applyNumberFormat="true" applyFont="true"/>
    <xf numFmtId="0" fontId="2339" fillId="0" borderId="0" xfId="0" applyFill="true" applyBorder="true" applyNumberFormat="true" applyFont="true"/>
    <xf numFmtId="0" fontId="2340" fillId="0" borderId="0" xfId="0" applyFill="true" applyBorder="true" applyNumberFormat="true" applyFont="true"/>
    <xf numFmtId="0" fontId="2341" fillId="0" borderId="0" xfId="0" applyFill="true" applyBorder="true" applyNumberFormat="true" applyFont="true"/>
    <xf numFmtId="0" fontId="2342" fillId="0" borderId="0" xfId="0" applyFill="true" applyBorder="true" applyNumberFormat="true" applyFont="true"/>
    <xf numFmtId="0" fontId="2343" fillId="0" borderId="0" xfId="0" applyFill="true" applyBorder="true" applyNumberFormat="true" applyFont="true"/>
    <xf numFmtId="0" fontId="2344" fillId="0" borderId="0" xfId="0" applyFill="true" applyBorder="true" applyNumberFormat="true" applyFont="true"/>
    <xf numFmtId="0" fontId="2345" fillId="0" borderId="0" xfId="0" applyFill="true" applyBorder="true" applyNumberFormat="true" applyFont="true"/>
    <xf numFmtId="0" fontId="2346" fillId="0" borderId="0" xfId="0" applyFill="true" applyBorder="true" applyNumberFormat="true" applyFont="true"/>
    <xf numFmtId="0" fontId="2347" fillId="0" borderId="0" xfId="0" applyFill="true" applyBorder="true" applyNumberFormat="true" applyFont="true"/>
    <xf numFmtId="0" fontId="2348" fillId="0" borderId="0" xfId="0" applyFill="true" applyBorder="true" applyNumberFormat="true" applyFont="true"/>
    <xf numFmtId="0" fontId="2349" fillId="0" borderId="0" xfId="0" applyFill="true" applyBorder="true" applyNumberFormat="true" applyFont="true"/>
    <xf numFmtId="0" fontId="2350" fillId="0" borderId="0" xfId="0" applyFill="true" applyBorder="true" applyNumberFormat="true" applyFont="true"/>
    <xf numFmtId="0" fontId="2351" fillId="0" borderId="0" xfId="0" applyFill="true" applyBorder="true" applyNumberFormat="true" applyFont="true"/>
    <xf numFmtId="0" fontId="2352" fillId="0" borderId="0" xfId="0" applyFill="true" applyBorder="true" applyNumberFormat="true" applyFont="true"/>
    <xf numFmtId="0" fontId="2353" fillId="0" borderId="0" xfId="0" applyFill="true" applyBorder="true" applyNumberFormat="true" applyFont="true"/>
    <xf numFmtId="0" fontId="2354" fillId="0" borderId="0" xfId="0" applyFill="true" applyBorder="true" applyNumberFormat="true" applyFont="true"/>
    <xf numFmtId="0" fontId="2355" fillId="0" borderId="0" xfId="0" applyFill="true" applyBorder="true" applyNumberFormat="true" applyFont="true"/>
    <xf numFmtId="0" fontId="2356" fillId="0" borderId="0" xfId="0" applyFill="true" applyBorder="true" applyNumberFormat="true" applyFont="true"/>
    <xf numFmtId="0" fontId="2357" fillId="0" borderId="0" xfId="0" applyFill="true" applyBorder="true" applyNumberFormat="true" applyFont="true"/>
    <xf numFmtId="0" fontId="2358" fillId="0" borderId="0" xfId="0" applyFill="true" applyBorder="true" applyNumberFormat="true" applyFont="true"/>
    <xf numFmtId="0" fontId="2359" fillId="0" borderId="0" xfId="0" applyFill="true" applyBorder="true" applyNumberFormat="true" applyFont="true"/>
    <xf numFmtId="0" fontId="2360" fillId="0" borderId="0" xfId="0" applyFill="true" applyBorder="true" applyNumberFormat="true" applyFont="true"/>
    <xf numFmtId="0" fontId="2361" fillId="0" borderId="0" xfId="0" applyFill="true" applyBorder="true" applyNumberFormat="true" applyFont="true"/>
    <xf numFmtId="0" fontId="2362" fillId="0" borderId="0" xfId="0" applyFill="true" applyBorder="true" applyNumberFormat="true" applyFont="true"/>
    <xf numFmtId="0" fontId="2363" fillId="0" borderId="0" xfId="0" applyFill="true" applyBorder="true" applyNumberFormat="true" applyFont="true"/>
    <xf numFmtId="0" fontId="2364" fillId="0" borderId="0" xfId="0" applyFill="true" applyBorder="true" applyNumberFormat="true" applyFont="true"/>
    <xf numFmtId="0" fontId="2365" fillId="0" borderId="0" xfId="0" applyFill="true" applyBorder="true" applyNumberFormat="true" applyFont="true"/>
    <xf numFmtId="0" fontId="2366" fillId="0" borderId="0" xfId="0" applyFill="true" applyBorder="true" applyNumberFormat="true" applyFont="true"/>
    <xf numFmtId="0" fontId="2367" fillId="0" borderId="0" xfId="0" applyFill="true" applyBorder="true" applyNumberFormat="true" applyFont="true"/>
    <xf numFmtId="0" fontId="2368" fillId="0" borderId="0" xfId="0" applyFill="true" applyBorder="true" applyNumberFormat="true" applyFont="true"/>
    <xf numFmtId="0" fontId="2369" fillId="0" borderId="0" xfId="0" applyFill="true" applyBorder="true" applyNumberFormat="true" applyFont="true"/>
    <xf numFmtId="0" fontId="2370" fillId="0" borderId="0" xfId="0" applyFill="true" applyBorder="true" applyNumberFormat="true" applyFont="true"/>
    <xf numFmtId="0" fontId="2371" fillId="0" borderId="0" xfId="0" applyFill="true" applyBorder="true" applyNumberFormat="true" applyFont="true"/>
    <xf numFmtId="0" fontId="2372" fillId="0" borderId="0" xfId="0" applyFill="true" applyBorder="true" applyNumberFormat="true" applyFont="true"/>
    <xf numFmtId="0" fontId="2373" fillId="0" borderId="0" xfId="0" applyFill="true" applyBorder="true" applyNumberFormat="true" applyFont="true"/>
    <xf numFmtId="0" fontId="2374" fillId="0" borderId="0" xfId="0" applyFill="true" applyBorder="true" applyNumberFormat="true" applyFont="true"/>
    <xf numFmtId="0" fontId="2375" fillId="0" borderId="0" xfId="0" applyFill="true" applyBorder="true" applyNumberFormat="true" applyFont="true"/>
    <xf numFmtId="0" fontId="2376" fillId="0" borderId="0" xfId="0" applyFill="true" applyBorder="true" applyNumberFormat="true" applyFont="true"/>
    <xf numFmtId="0" fontId="2377" fillId="0" borderId="0" xfId="0" applyFill="true" applyBorder="true" applyNumberFormat="true" applyFont="true"/>
    <xf numFmtId="0" fontId="2378" fillId="0" borderId="0" xfId="0" applyFill="true" applyBorder="true" applyNumberFormat="true" applyFont="true"/>
    <xf numFmtId="0" fontId="2379" fillId="0" borderId="0" xfId="0" applyFill="true" applyBorder="true" applyNumberFormat="true" applyFont="true"/>
    <xf numFmtId="0" fontId="2380" fillId="0" borderId="0" xfId="0" applyFill="true" applyBorder="true" applyNumberFormat="true" applyFont="true"/>
    <xf numFmtId="0" fontId="2381" fillId="0" borderId="0" xfId="0" applyFill="true" applyBorder="true" applyNumberFormat="true" applyFont="true"/>
    <xf numFmtId="0" fontId="2382" fillId="0" borderId="0" xfId="0" applyFill="true" applyBorder="true" applyNumberFormat="true" applyFont="true"/>
    <xf numFmtId="0" fontId="2383" fillId="0" borderId="0" xfId="0" applyFill="true" applyBorder="true" applyNumberFormat="true" applyFont="true"/>
    <xf numFmtId="0" fontId="2384" fillId="0" borderId="0" xfId="0" applyFill="true" applyBorder="true" applyNumberFormat="true" applyFont="true"/>
    <xf numFmtId="0" fontId="2385" fillId="0" borderId="0" xfId="0" applyFill="true" applyBorder="true" applyNumberFormat="true" applyFont="true"/>
    <xf numFmtId="0" fontId="2386" fillId="0" borderId="0" xfId="0" applyFill="true" applyBorder="true" applyNumberFormat="true" applyFont="true"/>
    <xf numFmtId="0" fontId="2387" fillId="0" borderId="0" xfId="0" applyFill="true" applyBorder="true" applyNumberFormat="true" applyFont="true"/>
    <xf numFmtId="0" fontId="2388" fillId="0" borderId="0" xfId="0" applyFill="true" applyBorder="true" applyNumberFormat="true" applyFont="true"/>
    <xf numFmtId="0" fontId="2389" fillId="0" borderId="0" xfId="0" applyFill="true" applyBorder="true" applyNumberFormat="true" applyFont="true"/>
    <xf numFmtId="0" fontId="2390" fillId="0" borderId="0" xfId="0" applyFill="true" applyBorder="true" applyNumberFormat="true" applyFont="true"/>
    <xf numFmtId="0" fontId="2391" fillId="0" borderId="0" xfId="0" applyFill="true" applyBorder="true" applyNumberFormat="true" applyFont="true"/>
    <xf numFmtId="0" fontId="2392" fillId="0" borderId="0" xfId="0" applyFill="true" applyBorder="true" applyNumberFormat="true" applyFont="true"/>
    <xf numFmtId="0" fontId="2393" fillId="0" borderId="0" xfId="0" applyFill="true" applyBorder="true" applyNumberFormat="true" applyFont="true"/>
    <xf numFmtId="0" fontId="2394" fillId="0" borderId="0" xfId="0" applyFill="true" applyBorder="true" applyNumberFormat="true" applyFont="true"/>
    <xf numFmtId="0" fontId="2395" fillId="0" borderId="0" xfId="0" applyFill="true" applyBorder="true" applyNumberFormat="true" applyFont="true"/>
    <xf numFmtId="0" fontId="2396" fillId="0" borderId="0" xfId="0" applyFill="true" applyBorder="true" applyNumberFormat="true" applyFont="true"/>
    <xf numFmtId="0" fontId="2397" fillId="0" borderId="0" xfId="0" applyFill="true" applyBorder="true" applyNumberFormat="true" applyFont="true"/>
    <xf numFmtId="0" fontId="2398" fillId="0" borderId="0" xfId="0" applyFill="true" applyBorder="true" applyNumberFormat="true" applyFont="true"/>
    <xf numFmtId="0" fontId="2399" fillId="0" borderId="0" xfId="0" applyFill="true" applyBorder="true" applyNumberFormat="true" applyFont="true"/>
    <xf numFmtId="0" fontId="2400" fillId="0" borderId="0" xfId="0" applyFill="true" applyBorder="true" applyNumberFormat="true" applyFont="true"/>
    <xf numFmtId="0" fontId="2401" fillId="0" borderId="0" xfId="0" applyFill="true" applyBorder="true" applyNumberFormat="true" applyFont="true"/>
    <xf numFmtId="0" fontId="2402" fillId="0" borderId="0" xfId="0" applyFill="true" applyBorder="true" applyNumberFormat="true" applyFont="true"/>
    <xf numFmtId="0" fontId="2403" fillId="0" borderId="0" xfId="0" applyFill="true" applyBorder="true" applyNumberFormat="true" applyFont="true"/>
    <xf numFmtId="0" fontId="2404" fillId="0" borderId="0" xfId="0" applyFill="true" applyBorder="true" applyNumberFormat="true" applyFont="true"/>
    <xf numFmtId="0" fontId="2405" fillId="0" borderId="0" xfId="0" applyFill="true" applyBorder="true" applyNumberFormat="true" applyFont="true"/>
    <xf numFmtId="0" fontId="2406" fillId="0" borderId="0" xfId="0" applyFill="true" applyBorder="true" applyNumberFormat="true" applyFont="true"/>
    <xf numFmtId="0" fontId="2407" fillId="0" borderId="0" xfId="0" applyFill="true" applyBorder="true" applyNumberFormat="true" applyFont="true"/>
    <xf numFmtId="0" fontId="2408" fillId="0" borderId="0" xfId="0" applyFill="true" applyBorder="true" applyNumberFormat="true" applyFont="true"/>
    <xf numFmtId="0" fontId="2409" fillId="0" borderId="0" xfId="0" applyFill="true" applyBorder="true" applyNumberFormat="true" applyFont="true"/>
    <xf numFmtId="0" fontId="2410" fillId="0" borderId="0" xfId="0" applyFill="true" applyBorder="true" applyNumberFormat="true" applyFont="true"/>
    <xf numFmtId="0" fontId="2411" fillId="0" borderId="0" xfId="0" applyFill="true" applyBorder="true" applyNumberFormat="true" applyFont="true"/>
    <xf numFmtId="0" fontId="2412" fillId="0" borderId="0" xfId="0" applyFill="true" applyBorder="true" applyNumberFormat="true" applyFont="true"/>
    <xf numFmtId="0" fontId="2413" fillId="0" borderId="0" xfId="0" applyFill="true" applyBorder="true" applyNumberFormat="true" applyFont="true"/>
    <xf numFmtId="0" fontId="2414" fillId="0" borderId="0" xfId="0" applyFill="true" applyBorder="true" applyNumberFormat="true" applyFont="true"/>
    <xf numFmtId="0" fontId="2415" fillId="0" borderId="0" xfId="0" applyFill="true" applyBorder="true" applyNumberFormat="true" applyFont="true"/>
    <xf numFmtId="0" fontId="2416" fillId="0" borderId="0" xfId="0" applyFill="true" applyBorder="true" applyNumberFormat="true" applyFont="true"/>
    <xf numFmtId="0" fontId="2417" fillId="0" borderId="0" xfId="0" applyFill="true" applyBorder="true" applyNumberFormat="true" applyFont="true"/>
    <xf numFmtId="0" fontId="2418" fillId="0" borderId="0" xfId="0" applyFill="true" applyBorder="true" applyNumberFormat="true" applyFont="true"/>
    <xf numFmtId="0" fontId="2419" fillId="0" borderId="0" xfId="0" applyFill="true" applyBorder="true" applyNumberFormat="true" applyFont="true"/>
    <xf numFmtId="0" fontId="2420" fillId="0" borderId="0" xfId="0" applyFill="true" applyBorder="true" applyNumberFormat="true" applyFont="true"/>
    <xf numFmtId="0" fontId="2421" fillId="0" borderId="0" xfId="0" applyFill="true" applyBorder="true" applyNumberFormat="true" applyFont="true"/>
    <xf numFmtId="0" fontId="2422" fillId="0" borderId="0" xfId="0" applyFill="true" applyBorder="true" applyNumberFormat="true" applyFont="true"/>
    <xf numFmtId="0" fontId="2423" fillId="0" borderId="0" xfId="0" applyFill="true" applyBorder="true" applyNumberFormat="true" applyFont="true"/>
    <xf numFmtId="0" fontId="2424" fillId="0" borderId="0" xfId="0" applyFill="true" applyBorder="true" applyNumberFormat="true" applyFont="true"/>
    <xf numFmtId="0" fontId="2425" fillId="0" borderId="0" xfId="0" applyFill="true" applyBorder="true" applyNumberFormat="true" applyFont="true"/>
    <xf numFmtId="0" fontId="2426" fillId="0" borderId="0" xfId="0" applyFill="true" applyBorder="true" applyNumberFormat="true" applyFont="true"/>
    <xf numFmtId="0" fontId="2427" fillId="0" borderId="0" xfId="0" applyFill="true" applyBorder="true" applyNumberFormat="true" applyFont="true"/>
    <xf numFmtId="0" fontId="2428" fillId="0" borderId="0" xfId="0" applyFill="true" applyBorder="true" applyNumberFormat="true" applyFont="true"/>
    <xf numFmtId="0" fontId="2429" fillId="0" borderId="0" xfId="0" applyFill="true" applyBorder="true" applyNumberFormat="true" applyFont="true"/>
    <xf numFmtId="0" fontId="2430" fillId="0" borderId="0" xfId="0" applyFill="true" applyBorder="true" applyNumberFormat="true" applyFont="true"/>
    <xf numFmtId="0" fontId="2431" fillId="0" borderId="0" xfId="0" applyFill="true" applyBorder="true" applyNumberFormat="true" applyFont="true"/>
    <xf numFmtId="0" fontId="2432" fillId="0" borderId="0" xfId="0" applyFill="true" applyBorder="true" applyNumberFormat="true" applyFont="true"/>
    <xf numFmtId="0" fontId="2433" fillId="0" borderId="0" xfId="0" applyFill="true" applyBorder="true" applyNumberFormat="true" applyFont="true"/>
    <xf numFmtId="0" fontId="2434" fillId="0" borderId="0" xfId="0" applyFill="true" applyBorder="true" applyNumberFormat="true" applyFont="true"/>
    <xf numFmtId="0" fontId="2435" fillId="0" borderId="0" xfId="0" applyFill="true" applyBorder="true" applyNumberFormat="true" applyFont="true"/>
    <xf numFmtId="0" fontId="2436" fillId="0" borderId="0" xfId="0" applyFill="true" applyBorder="true" applyNumberFormat="true" applyFont="true"/>
    <xf numFmtId="0" fontId="2437" fillId="0" borderId="0" xfId="0" applyFill="true" applyBorder="true" applyNumberFormat="true" applyFont="true"/>
    <xf numFmtId="0" fontId="2438" fillId="0" borderId="0" xfId="0" applyFill="true" applyBorder="true" applyNumberFormat="true" applyFont="true"/>
    <xf numFmtId="0" fontId="2439" fillId="0" borderId="0" xfId="0" applyFill="true" applyBorder="true" applyNumberFormat="true" applyFont="true"/>
    <xf numFmtId="0" fontId="2440" fillId="0" borderId="0" xfId="0" applyFill="true" applyBorder="true" applyNumberFormat="true" applyFont="true"/>
    <xf numFmtId="0" fontId="2441" fillId="0" borderId="0" xfId="0" applyFill="true" applyBorder="true" applyNumberFormat="true" applyFont="true"/>
    <xf numFmtId="0" fontId="2442" fillId="0" borderId="0" xfId="0" applyFill="true" applyBorder="true" applyNumberFormat="true" applyFont="true"/>
    <xf numFmtId="0" fontId="2443" fillId="0" borderId="0" xfId="0" applyFill="true" applyBorder="true" applyNumberFormat="true" applyFont="true"/>
    <xf numFmtId="0" fontId="2444" fillId="0" borderId="0" xfId="0" applyFill="true" applyBorder="true" applyNumberFormat="true" applyFont="true"/>
    <xf numFmtId="0" fontId="2445" fillId="0" borderId="0" xfId="0" applyFill="true" applyBorder="true" applyNumberFormat="true" applyFont="true"/>
    <xf numFmtId="0" fontId="2446" fillId="0" borderId="0" xfId="0" applyFill="true" applyBorder="true" applyNumberFormat="true" applyFont="true"/>
    <xf numFmtId="0" fontId="2447" fillId="0" borderId="0" xfId="0" applyFill="true" applyBorder="true" applyNumberFormat="true" applyFont="true"/>
    <xf numFmtId="0" fontId="2448" fillId="0" borderId="0" xfId="0" applyFill="true" applyBorder="true" applyNumberFormat="true" applyFont="true"/>
    <xf numFmtId="0" fontId="2449" fillId="0" borderId="0" xfId="0" applyFill="true" applyBorder="true" applyNumberFormat="true" applyFont="true"/>
    <xf numFmtId="0" fontId="2450" fillId="0" borderId="0" xfId="0" applyFill="true" applyBorder="true" applyNumberFormat="true" applyFont="true"/>
    <xf numFmtId="0" fontId="2451" fillId="0" borderId="0" xfId="0" applyFill="true" applyBorder="true" applyNumberFormat="true" applyFont="true"/>
    <xf numFmtId="0" fontId="2452" fillId="0" borderId="0" xfId="0" applyFill="true" applyBorder="true" applyNumberFormat="true" applyFont="true"/>
    <xf numFmtId="0" fontId="2453" fillId="0" borderId="0" xfId="0" applyFill="true" applyBorder="true" applyNumberFormat="true" applyFont="true"/>
    <xf numFmtId="0" fontId="2454" fillId="0" borderId="0" xfId="0" applyFill="true" applyBorder="true" applyNumberFormat="true" applyFont="true"/>
    <xf numFmtId="0" fontId="2455" fillId="0" borderId="0" xfId="0" applyFill="true" applyBorder="true" applyNumberFormat="true" applyFont="true"/>
    <xf numFmtId="0" fontId="2456" fillId="0" borderId="0" xfId="0" applyFill="true" applyBorder="true" applyNumberFormat="true" applyFont="true"/>
    <xf numFmtId="0" fontId="2457" fillId="0" borderId="0" xfId="0" applyFill="true" applyBorder="true" applyNumberFormat="true" applyFont="true"/>
    <xf numFmtId="0" fontId="2458" fillId="0" borderId="0" xfId="0" applyFill="true" applyBorder="true" applyNumberFormat="true" applyFont="true"/>
    <xf numFmtId="0" fontId="2459" fillId="0" borderId="0" xfId="0" applyFill="true" applyBorder="true" applyNumberFormat="true" applyFont="true"/>
    <xf numFmtId="0" fontId="2460" fillId="0" borderId="0" xfId="0" applyFill="true" applyBorder="true" applyNumberFormat="true" applyFont="true"/>
    <xf numFmtId="0" fontId="2461" fillId="0" borderId="0" xfId="0" applyFill="true" applyBorder="true" applyNumberFormat="true" applyFont="true"/>
    <xf numFmtId="0" fontId="2462" fillId="0" borderId="0" xfId="0" applyFill="true" applyBorder="true" applyNumberFormat="true" applyFont="true"/>
    <xf numFmtId="0" fontId="2463" fillId="0" borderId="0" xfId="0" applyFill="true" applyBorder="true" applyNumberFormat="true" applyFont="true"/>
    <xf numFmtId="0" fontId="2464" fillId="0" borderId="0" xfId="0" applyFill="true" applyBorder="true" applyNumberFormat="true" applyFont="true"/>
    <xf numFmtId="0" fontId="2465" fillId="0" borderId="0" xfId="0" applyFill="true" applyBorder="true" applyNumberFormat="true" applyFont="true"/>
    <xf numFmtId="0" fontId="2466" fillId="0" borderId="0" xfId="0" applyFill="true" applyBorder="true" applyNumberFormat="true" applyFont="true"/>
    <xf numFmtId="0" fontId="2467" fillId="0" borderId="0" xfId="0" applyFill="true" applyBorder="true" applyNumberFormat="true" applyFont="true"/>
    <xf numFmtId="0" fontId="2468" fillId="0" borderId="0" xfId="0" applyFill="true" applyBorder="true" applyNumberFormat="true" applyFont="true"/>
    <xf numFmtId="0" fontId="2469" fillId="0" borderId="0" xfId="0" applyFill="true" applyBorder="true" applyNumberFormat="true" applyFont="true"/>
    <xf numFmtId="0" fontId="2470" fillId="0" borderId="0" xfId="0" applyFill="true" applyBorder="true" applyNumberFormat="true" applyFont="true"/>
    <xf numFmtId="0" fontId="2471" fillId="0" borderId="0" xfId="0" applyFill="true" applyBorder="true" applyNumberFormat="true" applyFont="true"/>
    <xf numFmtId="0" fontId="2472" fillId="0" borderId="0" xfId="0" applyFill="true" applyBorder="true" applyNumberFormat="true" applyFont="true"/>
    <xf numFmtId="0" fontId="2473" fillId="0" borderId="0" xfId="0" applyFill="true" applyBorder="true" applyNumberFormat="true" applyFont="true"/>
    <xf numFmtId="0" fontId="2474" fillId="0" borderId="0" xfId="0" applyFill="true" applyBorder="true" applyNumberFormat="true" applyFont="true"/>
    <xf numFmtId="0" fontId="2475" fillId="0" borderId="0" xfId="0" applyFill="true" applyBorder="true" applyNumberFormat="true" applyFont="true"/>
    <xf numFmtId="0" fontId="2476" fillId="0" borderId="0" xfId="0" applyFill="true" applyBorder="true" applyNumberFormat="true" applyFont="true"/>
    <xf numFmtId="0" fontId="2477" fillId="0" borderId="0" xfId="0" applyFill="true" applyBorder="true" applyNumberFormat="true" applyFont="true"/>
    <xf numFmtId="0" fontId="2478" fillId="0" borderId="0" xfId="0" applyFill="true" applyBorder="true" applyNumberFormat="true" applyFont="true"/>
    <xf numFmtId="0" fontId="2479" fillId="0" borderId="0" xfId="0" applyFill="true" applyBorder="true" applyNumberFormat="true" applyFont="true"/>
    <xf numFmtId="0" fontId="2480" fillId="0" borderId="0" xfId="0" applyFill="true" applyBorder="true" applyNumberFormat="true" applyFont="true"/>
    <xf numFmtId="0" fontId="2481" fillId="0" borderId="0" xfId="0" applyFill="true" applyBorder="true" applyNumberFormat="true" applyFont="true"/>
    <xf numFmtId="0" fontId="2482" fillId="0" borderId="0" xfId="0" applyFill="true" applyBorder="true" applyNumberFormat="true" applyFont="true"/>
    <xf numFmtId="0" fontId="2483" fillId="0" borderId="0" xfId="0" applyFill="true" applyBorder="true" applyNumberFormat="true" applyFont="true"/>
    <xf numFmtId="0" fontId="2484" fillId="0" borderId="0" xfId="0" applyFill="true" applyBorder="true" applyNumberFormat="true" applyFont="true"/>
    <xf numFmtId="0" fontId="2485" fillId="0" borderId="0" xfId="0" applyFill="true" applyBorder="true" applyNumberFormat="true" applyFont="true"/>
    <xf numFmtId="0" fontId="2486" fillId="0" borderId="0" xfId="0" applyFill="true" applyBorder="true" applyNumberFormat="true" applyFont="true"/>
    <xf numFmtId="0" fontId="2487" fillId="0" borderId="0" xfId="0" applyFill="true" applyBorder="true" applyNumberFormat="true" applyFont="true"/>
    <xf numFmtId="0" fontId="2488" fillId="0" borderId="0" xfId="0" applyFill="true" applyBorder="true" applyNumberFormat="true" applyFont="true"/>
    <xf numFmtId="0" fontId="2489" fillId="0" borderId="0" xfId="0" applyFill="true" applyBorder="true" applyNumberFormat="true" applyFont="true"/>
    <xf numFmtId="0" fontId="2490" fillId="0" borderId="0" xfId="0" applyFill="true" applyBorder="true" applyNumberFormat="true" applyFont="true"/>
    <xf numFmtId="0" fontId="2491" fillId="0" borderId="0" xfId="0" applyFill="true" applyBorder="true" applyNumberFormat="true" applyFont="true"/>
    <xf numFmtId="0" fontId="2492" fillId="0" borderId="0" xfId="0" applyFill="true" applyBorder="true" applyNumberFormat="true" applyFont="true"/>
    <xf numFmtId="0" fontId="2493" fillId="0" borderId="0" xfId="0" applyFill="true" applyBorder="true" applyNumberFormat="true" applyFont="true"/>
    <xf numFmtId="0" fontId="2494" fillId="0" borderId="0" xfId="0" applyFill="true" applyBorder="true" applyNumberFormat="true" applyFont="true"/>
    <xf numFmtId="0" fontId="2495" fillId="0" borderId="0" xfId="0" applyFill="true" applyBorder="true" applyNumberFormat="true" applyFont="true"/>
    <xf numFmtId="0" fontId="2496" fillId="0" borderId="0" xfId="0" applyFill="true" applyBorder="true" applyNumberFormat="true" applyFont="true"/>
    <xf numFmtId="0" fontId="2497" fillId="0" borderId="0" xfId="0" applyFill="true" applyBorder="true" applyNumberFormat="true" applyFont="true"/>
    <xf numFmtId="0" fontId="2498" fillId="0" borderId="0" xfId="0" applyFill="true" applyBorder="true" applyNumberFormat="true" applyFont="true"/>
    <xf numFmtId="0" fontId="2499" fillId="0" borderId="0" xfId="0" applyFill="true" applyBorder="true" applyNumberFormat="true" applyFont="true"/>
    <xf numFmtId="0" fontId="2500" fillId="0" borderId="0" xfId="0" applyFill="true" applyBorder="true" applyNumberFormat="true" applyFont="true"/>
    <xf numFmtId="0" fontId="2501" fillId="0" borderId="0" xfId="0" applyFill="true" applyBorder="true" applyNumberFormat="true" applyFont="true"/>
    <xf numFmtId="0" fontId="2502" fillId="0" borderId="0" xfId="0" applyFill="true" applyBorder="true" applyNumberFormat="true" applyFont="true"/>
    <xf numFmtId="0" fontId="2503" fillId="0" borderId="0" xfId="0" applyFill="true" applyBorder="true" applyNumberFormat="true" applyFont="true"/>
    <xf numFmtId="0" fontId="2504" fillId="0" borderId="0" xfId="0" applyFill="true" applyBorder="true" applyNumberFormat="true" applyFont="true"/>
    <xf numFmtId="0" fontId="2505" fillId="0" borderId="0" xfId="0" applyFill="true" applyBorder="true" applyNumberFormat="true" applyFont="true"/>
    <xf numFmtId="0" fontId="2506" fillId="0" borderId="0" xfId="0" applyFill="true" applyBorder="true" applyNumberFormat="true" applyFont="true"/>
    <xf numFmtId="0" fontId="2507" fillId="0" borderId="0" xfId="0" applyFill="true" applyBorder="true" applyNumberFormat="true" applyFont="true"/>
    <xf numFmtId="0" fontId="2508" fillId="0" borderId="0" xfId="0" applyFill="true" applyBorder="true" applyNumberFormat="true" applyFont="true"/>
    <xf numFmtId="0" fontId="2509" fillId="0" borderId="0" xfId="0" applyFill="true" applyBorder="true" applyNumberFormat="true" applyFont="true"/>
    <xf numFmtId="0" fontId="2510" fillId="0" borderId="0" xfId="0" applyFill="true" applyBorder="true" applyNumberFormat="true" applyFont="true"/>
    <xf numFmtId="0" fontId="2511" fillId="0" borderId="0" xfId="0" applyFill="true" applyBorder="true" applyNumberFormat="true" applyFont="true"/>
    <xf numFmtId="0" fontId="2512" fillId="0" borderId="0" xfId="0" applyFill="true" applyBorder="true" applyNumberFormat="true" applyFont="true"/>
    <xf numFmtId="0" fontId="2513" fillId="0" borderId="0" xfId="0" applyFill="true" applyBorder="true" applyNumberFormat="true" applyFont="true"/>
    <xf numFmtId="0" fontId="2514" fillId="0" borderId="0" xfId="0" applyFill="true" applyBorder="true" applyNumberFormat="true" applyFont="true"/>
    <xf numFmtId="0" fontId="2515" fillId="0" borderId="0" xfId="0" applyFill="true" applyBorder="true" applyNumberFormat="true" applyFont="true"/>
    <xf numFmtId="0" fontId="2516" fillId="0" borderId="0" xfId="0" applyFill="true" applyBorder="true" applyNumberFormat="true" applyFont="true"/>
    <xf numFmtId="0" fontId="2517" fillId="0" borderId="0" xfId="0" applyFill="true" applyBorder="true" applyNumberFormat="true" applyFont="true"/>
    <xf numFmtId="0" fontId="2518" fillId="0" borderId="0" xfId="0" applyFill="true" applyBorder="true" applyNumberFormat="true" applyFont="true"/>
    <xf numFmtId="0" fontId="2519" fillId="0" borderId="0" xfId="0" applyFill="true" applyBorder="true" applyNumberFormat="true" applyFont="true"/>
    <xf numFmtId="0" fontId="2520" fillId="0" borderId="0" xfId="0" applyFill="true" applyBorder="true" applyNumberFormat="true" applyFont="true"/>
    <xf numFmtId="0" fontId="2521" fillId="0" borderId="0" xfId="0" applyFill="true" applyBorder="true" applyNumberFormat="true" applyFont="true"/>
    <xf numFmtId="0" fontId="2522" fillId="0" borderId="0" xfId="0" applyFill="true" applyBorder="true" applyNumberFormat="true" applyFont="true"/>
    <xf numFmtId="0" fontId="2523" fillId="0" borderId="0" xfId="0" applyFill="true" applyBorder="true" applyNumberFormat="true" applyFont="true"/>
    <xf numFmtId="0" fontId="2524" fillId="0" borderId="0" xfId="0" applyFill="true" applyBorder="true" applyNumberFormat="true" applyFont="true"/>
    <xf numFmtId="0" fontId="2525" fillId="0" borderId="0" xfId="0" applyFill="true" applyBorder="true" applyNumberFormat="true" applyFont="true"/>
    <xf numFmtId="0" fontId="2526" fillId="0" borderId="0" xfId="0" applyFill="true" applyBorder="true" applyNumberFormat="true" applyFont="true"/>
    <xf numFmtId="0" fontId="2527" fillId="0" borderId="0" xfId="0" applyFill="true" applyBorder="true" applyNumberFormat="true" applyFont="true"/>
    <xf numFmtId="0" fontId="2528" fillId="0" borderId="0" xfId="0" applyFill="true" applyBorder="true" applyNumberFormat="true" applyFont="true"/>
    <xf numFmtId="0" fontId="2529" fillId="0" borderId="0" xfId="0" applyFill="true" applyBorder="true" applyNumberFormat="true" applyFont="true"/>
    <xf numFmtId="0" fontId="2530" fillId="0" borderId="0" xfId="0" applyFill="true" applyBorder="true" applyNumberFormat="true" applyFont="true"/>
    <xf numFmtId="0" fontId="2531" fillId="0" borderId="0" xfId="0" applyFill="true" applyBorder="true" applyNumberFormat="true" applyFont="true"/>
    <xf numFmtId="0" fontId="2532" fillId="0" borderId="0" xfId="0" applyFill="true" applyBorder="true" applyNumberFormat="true" applyFont="true"/>
    <xf numFmtId="0" fontId="2533" fillId="0" borderId="0" xfId="0" applyFill="true" applyBorder="true" applyNumberFormat="true" applyFont="true"/>
    <xf numFmtId="0" fontId="2534" fillId="0" borderId="0" xfId="0" applyFill="true" applyBorder="true" applyNumberFormat="true" applyFont="true"/>
    <xf numFmtId="0" fontId="2535" fillId="0" borderId="0" xfId="0" applyFill="true" applyBorder="true" applyNumberFormat="true" applyFont="true"/>
    <xf numFmtId="0" fontId="2536" fillId="0" borderId="0" xfId="0" applyFill="true" applyBorder="true" applyNumberFormat="true" applyFont="true"/>
    <xf numFmtId="0" fontId="2537" fillId="0" borderId="0" xfId="0" applyFill="true" applyBorder="true" applyNumberFormat="true" applyFont="true"/>
    <xf numFmtId="0" fontId="2538" fillId="0" borderId="0" xfId="0" applyFill="true" applyBorder="true" applyNumberFormat="true" applyFont="true"/>
    <xf numFmtId="0" fontId="2539" fillId="0" borderId="0" xfId="0" applyFill="true" applyBorder="true" applyNumberFormat="true" applyFont="true"/>
    <xf numFmtId="0" fontId="2540" fillId="0" borderId="0" xfId="0" applyFill="true" applyBorder="true" applyNumberFormat="true" applyFont="true"/>
    <xf numFmtId="0" fontId="2541" fillId="0" borderId="0" xfId="0" applyFill="true" applyBorder="true" applyNumberFormat="true" applyFont="true"/>
    <xf numFmtId="0" fontId="2542" fillId="0" borderId="0" xfId="0" applyFill="true" applyBorder="true" applyNumberFormat="true" applyFont="true"/>
    <xf numFmtId="0" fontId="2543" fillId="0" borderId="0" xfId="0" applyFill="true" applyBorder="true" applyNumberFormat="true" applyFont="true"/>
    <xf numFmtId="0" fontId="2544" fillId="0" borderId="0" xfId="0" applyFill="true" applyBorder="true" applyNumberFormat="true" applyFont="true"/>
    <xf numFmtId="0" fontId="2545" fillId="0" borderId="0" xfId="0" applyFill="true" applyBorder="true" applyNumberFormat="true" applyFont="true"/>
    <xf numFmtId="0" fontId="2546" fillId="0" borderId="0" xfId="0" applyFill="true" applyBorder="true" applyNumberFormat="true" applyFont="true"/>
    <xf numFmtId="0" fontId="2547" fillId="0" borderId="0" xfId="0" applyFill="true" applyBorder="true" applyNumberFormat="true" applyFont="true"/>
    <xf numFmtId="0" fontId="2548" fillId="0" borderId="0" xfId="0" applyFill="true" applyBorder="true" applyNumberFormat="true" applyFont="true"/>
    <xf numFmtId="0" fontId="2549" fillId="0" borderId="0" xfId="0" applyFill="true" applyBorder="true" applyNumberFormat="true" applyFont="true"/>
    <xf numFmtId="0" fontId="2550" fillId="0" borderId="0" xfId="0" applyFill="true" applyBorder="true" applyNumberFormat="true" applyFont="true"/>
    <xf numFmtId="0" fontId="2551" fillId="0" borderId="0" xfId="0" applyFill="true" applyBorder="true" applyNumberFormat="true" applyFont="true"/>
    <xf numFmtId="0" fontId="2552" fillId="0" borderId="0" xfId="0" applyFill="true" applyBorder="true" applyNumberFormat="true" applyFont="true"/>
    <xf numFmtId="0" fontId="2553" fillId="0" borderId="0" xfId="0" applyFill="true" applyBorder="true" applyNumberFormat="true" applyFont="true"/>
    <xf numFmtId="0" fontId="2554" fillId="0" borderId="0" xfId="0" applyFill="true" applyBorder="true" applyNumberFormat="true" applyFont="true"/>
    <xf numFmtId="0" fontId="2555" fillId="0" borderId="0" xfId="0" applyFill="true" applyBorder="true" applyNumberFormat="true" applyFont="true"/>
    <xf numFmtId="0" fontId="2556" fillId="0" borderId="0" xfId="0" applyFill="true" applyBorder="true" applyNumberFormat="true" applyFont="true"/>
    <xf numFmtId="0" fontId="2557" fillId="0" borderId="0" xfId="0" applyFill="true" applyBorder="true" applyNumberFormat="true" applyFont="true"/>
    <xf numFmtId="0" fontId="2558" fillId="0" borderId="0" xfId="0" applyFill="true" applyBorder="true" applyNumberFormat="true" applyFont="true"/>
    <xf numFmtId="0" fontId="2559" fillId="0" borderId="0" xfId="0" applyFill="true" applyBorder="true" applyNumberFormat="true" applyFont="true"/>
    <xf numFmtId="0" fontId="2560" fillId="0" borderId="0" xfId="0" applyFill="true" applyBorder="true" applyNumberFormat="true" applyFont="true"/>
    <xf numFmtId="0" fontId="2561" fillId="0" borderId="0" xfId="0" applyFill="true" applyBorder="true" applyNumberFormat="true" applyFont="true"/>
    <xf numFmtId="0" fontId="2562" fillId="0" borderId="0" xfId="0" applyFill="true" applyBorder="true" applyNumberFormat="true" applyFont="true"/>
    <xf numFmtId="0" fontId="2563" fillId="0" borderId="0" xfId="0" applyFill="true" applyBorder="true" applyNumberFormat="true" applyFont="true"/>
    <xf numFmtId="0" fontId="2564" fillId="0" borderId="0" xfId="0" applyFill="true" applyBorder="true" applyNumberFormat="true" applyFont="true"/>
    <xf numFmtId="0" fontId="2565" fillId="0" borderId="0" xfId="0" applyFill="true" applyBorder="true" applyNumberFormat="true" applyFont="true"/>
    <xf numFmtId="0" fontId="2566" fillId="0" borderId="0" xfId="0" applyFill="true" applyBorder="true" applyNumberFormat="true" applyFont="true"/>
    <xf numFmtId="0" fontId="2567" fillId="0" borderId="0" xfId="0" applyFill="true" applyBorder="true" applyNumberFormat="true" applyFont="true"/>
    <xf numFmtId="0" fontId="2568" fillId="0" borderId="0" xfId="0" applyFill="true" applyBorder="true" applyNumberFormat="true" applyFont="true"/>
    <xf numFmtId="0" fontId="2569" fillId="0" borderId="0" xfId="0" applyFill="true" applyBorder="true" applyNumberFormat="true" applyFont="true"/>
    <xf numFmtId="0" fontId="2570" fillId="0" borderId="0" xfId="0" applyFill="true" applyBorder="true" applyNumberFormat="true" applyFont="true"/>
    <xf numFmtId="0" fontId="2571" fillId="0" borderId="0" xfId="0" applyFill="true" applyBorder="true" applyNumberFormat="true" applyFont="true"/>
    <xf numFmtId="0" fontId="2572" fillId="0" borderId="0" xfId="0" applyFill="true" applyBorder="true" applyNumberFormat="true" applyFont="true"/>
    <xf numFmtId="0" fontId="2573" fillId="0" borderId="0" xfId="0" applyFill="true" applyBorder="true" applyNumberFormat="true" applyFont="true"/>
    <xf numFmtId="0" fontId="2574" fillId="0" borderId="0" xfId="0" applyFill="true" applyBorder="true" applyNumberFormat="true" applyFont="true"/>
    <xf numFmtId="0" fontId="2575" fillId="0" borderId="0" xfId="0" applyFill="true" applyBorder="true" applyNumberFormat="true" applyFont="true"/>
    <xf numFmtId="0" fontId="2576" fillId="0" borderId="0" xfId="0" applyFill="true" applyBorder="true" applyNumberFormat="true" applyFont="true"/>
    <xf numFmtId="0" fontId="2577" fillId="0" borderId="0" xfId="0" applyFill="true" applyBorder="true" applyNumberFormat="true" applyFont="true"/>
    <xf numFmtId="0" fontId="2578" fillId="0" borderId="0" xfId="0" applyFill="true" applyBorder="true" applyNumberFormat="true" applyFont="true"/>
    <xf numFmtId="0" fontId="2579" fillId="0" borderId="0" xfId="0" applyFill="true" applyBorder="true" applyNumberFormat="true" applyFont="true"/>
    <xf numFmtId="0" fontId="2580" fillId="0" borderId="0" xfId="0" applyFill="true" applyBorder="true" applyNumberFormat="true" applyFont="true"/>
    <xf numFmtId="0" fontId="2581" fillId="0" borderId="0" xfId="0" applyFill="true" applyBorder="true" applyNumberFormat="true" applyFont="true"/>
    <xf numFmtId="0" fontId="2582" fillId="0" borderId="0" xfId="0" applyFill="true" applyBorder="true" applyNumberFormat="true" applyFont="true"/>
    <xf numFmtId="0" fontId="2583" fillId="0" borderId="0" xfId="0" applyFill="true" applyBorder="true" applyNumberFormat="true" applyFont="true"/>
    <xf numFmtId="0" fontId="2584" fillId="0" borderId="0" xfId="0" applyFill="true" applyBorder="true" applyNumberFormat="true" applyFont="true"/>
    <xf numFmtId="0" fontId="2585" fillId="0" borderId="0" xfId="0" applyFill="true" applyBorder="true" applyNumberFormat="true" applyFont="true"/>
    <xf numFmtId="0" fontId="2586" fillId="0" borderId="0" xfId="0" applyFill="true" applyBorder="true" applyNumberFormat="true" applyFont="true"/>
    <xf numFmtId="0" fontId="2587" fillId="0" borderId="0" xfId="0" applyFill="true" applyBorder="true" applyNumberFormat="true" applyFont="true"/>
    <xf numFmtId="0" fontId="2588" fillId="0" borderId="0" xfId="0" applyFill="true" applyBorder="true" applyNumberFormat="true" applyFont="true"/>
    <xf numFmtId="0" fontId="2589" fillId="0" borderId="0" xfId="0" applyFill="true" applyBorder="true" applyNumberFormat="true" applyFont="true"/>
    <xf numFmtId="0" fontId="2590" fillId="0" borderId="0" xfId="0" applyFill="true" applyBorder="true" applyNumberFormat="true" applyFont="true"/>
    <xf numFmtId="0" fontId="2591" fillId="0" borderId="0" xfId="0" applyFill="true" applyBorder="true" applyNumberFormat="true" applyFont="true"/>
    <xf numFmtId="0" fontId="2592" fillId="0" borderId="0" xfId="0" applyFill="true" applyBorder="true" applyNumberFormat="true" applyFont="true"/>
    <xf numFmtId="0" fontId="2593" fillId="0" borderId="0" xfId="0" applyFill="true" applyBorder="true" applyNumberFormat="true" applyFont="true"/>
    <xf numFmtId="0" fontId="2594" fillId="0" borderId="0" xfId="0" applyFill="true" applyBorder="true" applyNumberFormat="true" applyFont="true"/>
    <xf numFmtId="0" fontId="2595" fillId="0" borderId="0" xfId="0" applyFill="true" applyBorder="true" applyNumberFormat="true" applyFont="true"/>
    <xf numFmtId="0" fontId="2596" fillId="0" borderId="0" xfId="0" applyFill="true" applyBorder="true" applyNumberFormat="true" applyFont="true"/>
    <xf numFmtId="0" fontId="2597" fillId="0" borderId="0" xfId="0" applyFill="true" applyBorder="true" applyNumberFormat="true" applyFont="true"/>
    <xf numFmtId="0" fontId="2598" fillId="0" borderId="0" xfId="0" applyFill="true" applyBorder="true" applyNumberFormat="true" applyFont="true"/>
    <xf numFmtId="0" fontId="2599" fillId="0" borderId="0" xfId="0" applyFill="true" applyBorder="true" applyNumberFormat="true" applyFont="true"/>
    <xf numFmtId="0" fontId="2600" fillId="0" borderId="0" xfId="0" applyFill="true" applyBorder="true" applyNumberFormat="true" applyFont="true"/>
    <xf numFmtId="0" fontId="2601" fillId="0" borderId="0" xfId="0" applyFill="true" applyBorder="true" applyNumberFormat="true" applyFont="true"/>
    <xf numFmtId="0" fontId="2602" fillId="0" borderId="0" xfId="0" applyFill="true" applyBorder="true" applyNumberFormat="true" applyFont="true"/>
    <xf numFmtId="0" fontId="2603" fillId="0" borderId="0" xfId="0" applyFill="true" applyBorder="true" applyNumberFormat="true" applyFont="true"/>
    <xf numFmtId="0" fontId="2604" fillId="0" borderId="0" xfId="0" applyFill="true" applyBorder="true" applyNumberFormat="true" applyFont="true"/>
    <xf numFmtId="0" fontId="2605" fillId="0" borderId="0" xfId="0" applyFill="true" applyBorder="true" applyNumberFormat="true" applyFont="true"/>
    <xf numFmtId="0" fontId="2606" fillId="0" borderId="0" xfId="0" applyFill="true" applyBorder="true" applyNumberFormat="true" applyFont="true"/>
    <xf numFmtId="0" fontId="2607" fillId="0" borderId="0" xfId="0" applyFill="true" applyBorder="true" applyNumberFormat="true" applyFont="true"/>
    <xf numFmtId="0" fontId="2608" fillId="0" borderId="0" xfId="0" applyFill="true" applyBorder="true" applyNumberFormat="true" applyFont="true"/>
    <xf numFmtId="0" fontId="2609" fillId="0" borderId="0" xfId="0" applyFill="true" applyBorder="true" applyNumberFormat="true" applyFont="true"/>
    <xf numFmtId="0" fontId="2610" fillId="0" borderId="0" xfId="0" applyFill="true" applyBorder="true" applyNumberFormat="true" applyFont="true"/>
    <xf numFmtId="0" fontId="2611" fillId="0" borderId="0" xfId="0" applyFill="true" applyBorder="true" applyNumberFormat="true" applyFont="true"/>
    <xf numFmtId="0" fontId="2612" fillId="0" borderId="0" xfId="0" applyFill="true" applyBorder="true" applyNumberFormat="true" applyFont="true"/>
    <xf numFmtId="0" fontId="2613" fillId="0" borderId="0" xfId="0" applyFill="true" applyBorder="true" applyNumberFormat="true" applyFont="true"/>
    <xf numFmtId="0" fontId="2614" fillId="0" borderId="0" xfId="0" applyFill="true" applyBorder="true" applyNumberFormat="true" applyFont="true"/>
    <xf numFmtId="0" fontId="2615" fillId="0" borderId="0" xfId="0" applyFill="true" applyBorder="true" applyNumberFormat="true" applyFont="true"/>
    <xf numFmtId="0" fontId="2616" fillId="0" borderId="0" xfId="0" applyFill="true" applyBorder="true" applyNumberFormat="true" applyFont="true"/>
    <xf numFmtId="0" fontId="2617" fillId="0" borderId="0" xfId="0" applyFill="true" applyBorder="true" applyNumberFormat="true" applyFont="true"/>
    <xf numFmtId="0" fontId="2618" fillId="0" borderId="0" xfId="0" applyFill="true" applyBorder="true" applyNumberFormat="true" applyFont="true"/>
    <xf numFmtId="0" fontId="2619" fillId="0" borderId="0" xfId="0" applyFill="true" applyBorder="true" applyNumberFormat="true" applyFont="true"/>
    <xf numFmtId="0" fontId="2620" fillId="0" borderId="0" xfId="0" applyFill="true" applyBorder="true" applyNumberFormat="true" applyFont="true"/>
    <xf numFmtId="0" fontId="2621" fillId="0" borderId="0" xfId="0" applyFill="true" applyBorder="true" applyNumberFormat="true" applyFont="true"/>
    <xf numFmtId="0" fontId="2622" fillId="0" borderId="0" xfId="0" applyFill="true" applyBorder="true" applyNumberFormat="true" applyFont="true"/>
    <xf numFmtId="0" fontId="2623" fillId="0" borderId="0" xfId="0" applyFill="true" applyBorder="true" applyNumberFormat="true" applyFont="true"/>
    <xf numFmtId="0" fontId="2624" fillId="0" borderId="0" xfId="0" applyFill="true" applyBorder="true" applyNumberFormat="true" applyFont="true"/>
    <xf numFmtId="0" fontId="2625" fillId="0" borderId="0" xfId="0" applyFill="true" applyBorder="true" applyNumberFormat="true" applyFont="true"/>
    <xf numFmtId="0" fontId="2626" fillId="0" borderId="0" xfId="0" applyFill="true" applyBorder="true" applyNumberFormat="true" applyFont="true"/>
    <xf numFmtId="0" fontId="2627" fillId="0" borderId="0" xfId="0" applyFill="true" applyBorder="true" applyNumberFormat="true" applyFont="true"/>
    <xf numFmtId="0" fontId="2628" fillId="0" borderId="0" xfId="0" applyFill="true" applyBorder="true" applyNumberFormat="true" applyFont="true"/>
    <xf numFmtId="0" fontId="2629" fillId="0" borderId="0" xfId="0" applyFill="true" applyBorder="true" applyNumberFormat="true" applyFont="true"/>
    <xf numFmtId="0" fontId="2630" fillId="0" borderId="0" xfId="0" applyFill="true" applyBorder="true" applyNumberFormat="true" applyFont="true"/>
    <xf numFmtId="0" fontId="2631" fillId="0" borderId="0" xfId="0" applyFill="true" applyBorder="true" applyNumberFormat="true" applyFont="true"/>
    <xf numFmtId="0" fontId="2632" fillId="0" borderId="0" xfId="0" applyFill="true" applyBorder="true" applyNumberFormat="true" applyFont="true"/>
    <xf numFmtId="0" fontId="2633" fillId="0" borderId="0" xfId="0" applyFill="true" applyBorder="true" applyNumberFormat="true" applyFont="true"/>
    <xf numFmtId="0" fontId="2634" fillId="0" borderId="0" xfId="0" applyFill="true" applyBorder="true" applyNumberFormat="true" applyFont="true"/>
    <xf numFmtId="0" fontId="2635" fillId="0" borderId="0" xfId="0" applyFill="true" applyBorder="true" applyNumberFormat="true" applyFont="true"/>
    <xf numFmtId="0" fontId="2636" fillId="0" borderId="0" xfId="0" applyFill="true" applyBorder="true" applyNumberFormat="true" applyFont="true"/>
    <xf numFmtId="0" fontId="2637" fillId="0" borderId="0" xfId="0" applyFill="true" applyBorder="true" applyNumberFormat="true" applyFont="true"/>
    <xf numFmtId="0" fontId="2638" fillId="0" borderId="0" xfId="0" applyFill="true" applyBorder="true" applyNumberFormat="true" applyFont="true"/>
    <xf numFmtId="0" fontId="2639" fillId="0" borderId="0" xfId="0" applyFill="true" applyBorder="true" applyNumberFormat="true" applyFont="true"/>
    <xf numFmtId="0" fontId="2640" fillId="0" borderId="0" xfId="0" applyFill="true" applyBorder="true" applyNumberFormat="true" applyFont="true"/>
    <xf numFmtId="0" fontId="2641" fillId="0" borderId="0" xfId="0" applyFill="true" applyBorder="true" applyNumberFormat="true" applyFont="true"/>
    <xf numFmtId="0" fontId="2642" fillId="0" borderId="0" xfId="0" applyFill="true" applyBorder="true" applyNumberFormat="true" applyFont="true"/>
    <xf numFmtId="0" fontId="2643" fillId="0" borderId="0" xfId="0" applyFill="true" applyBorder="true" applyNumberFormat="true" applyFont="true"/>
    <xf numFmtId="0" fontId="2644" fillId="0" borderId="0" xfId="0" applyFill="true" applyBorder="true" applyNumberFormat="true" applyFont="true"/>
    <xf numFmtId="0" fontId="2645" fillId="0" borderId="0" xfId="0" applyFill="true" applyBorder="true" applyNumberFormat="true" applyFont="true"/>
    <xf numFmtId="0" fontId="2646" fillId="0" borderId="0" xfId="0" applyFill="true" applyBorder="true" applyNumberFormat="true" applyFont="true"/>
    <xf numFmtId="0" fontId="2647" fillId="0" borderId="0" xfId="0" applyFill="true" applyBorder="true" applyNumberFormat="true" applyFont="true"/>
    <xf numFmtId="0" fontId="2648" fillId="0" borderId="0" xfId="0" applyFill="true" applyBorder="true" applyNumberFormat="true" applyFont="true"/>
    <xf numFmtId="0" fontId="2649" fillId="0" borderId="0" xfId="0" applyFill="true" applyBorder="true" applyNumberFormat="true" applyFont="true"/>
    <xf numFmtId="0" fontId="2650" fillId="0" borderId="0" xfId="0" applyFill="true" applyBorder="true" applyNumberFormat="true" applyFont="true"/>
    <xf numFmtId="0" fontId="2651" fillId="0" borderId="0" xfId="0" applyFill="true" applyBorder="true" applyNumberFormat="true" applyFont="true"/>
    <xf numFmtId="0" fontId="2652" fillId="0" borderId="0" xfId="0" applyFill="true" applyBorder="true" applyNumberFormat="true" applyFont="true"/>
    <xf numFmtId="0" fontId="2653" fillId="0" borderId="0" xfId="0" applyFill="true" applyBorder="true" applyNumberFormat="true" applyFont="true"/>
    <xf numFmtId="0" fontId="2654" fillId="0" borderId="0" xfId="0" applyFill="true" applyBorder="true" applyNumberFormat="true" applyFont="true"/>
    <xf numFmtId="0" fontId="2655" fillId="0" borderId="0" xfId="0" applyFill="true" applyBorder="true" applyNumberFormat="true" applyFont="true"/>
    <xf numFmtId="0" fontId="2656" fillId="0" borderId="0" xfId="0" applyFill="true" applyBorder="true" applyNumberFormat="true" applyFont="true"/>
    <xf numFmtId="0" fontId="2657" fillId="0" borderId="0" xfId="0" applyFill="true" applyBorder="true" applyNumberFormat="true" applyFont="true"/>
    <xf numFmtId="0" fontId="2658" fillId="0" borderId="0" xfId="0" applyFill="true" applyBorder="true" applyNumberFormat="true" applyFont="true"/>
    <xf numFmtId="0" fontId="2659" fillId="0" borderId="0" xfId="0" applyFill="true" applyBorder="true" applyNumberFormat="true" applyFont="true"/>
    <xf numFmtId="0" fontId="2660" fillId="0" borderId="0" xfId="0" applyFill="true" applyBorder="true" applyNumberFormat="true" applyFont="true"/>
    <xf numFmtId="0" fontId="2661" fillId="0" borderId="0" xfId="0" applyFill="true" applyBorder="true" applyNumberFormat="true" applyFont="true"/>
    <xf numFmtId="0" fontId="2662" fillId="0" borderId="0" xfId="0" applyFill="true" applyBorder="true" applyNumberFormat="true" applyFont="true"/>
    <xf numFmtId="0" fontId="2663" fillId="0" borderId="0" xfId="0" applyFill="true" applyBorder="true" applyNumberFormat="true" applyFont="true"/>
    <xf numFmtId="0" fontId="2664" fillId="0" borderId="0" xfId="0" applyFill="true" applyBorder="true" applyNumberFormat="true" applyFont="true"/>
    <xf numFmtId="0" fontId="2665" fillId="0" borderId="0" xfId="0" applyFill="true" applyBorder="true" applyNumberFormat="true" applyFont="true"/>
    <xf numFmtId="0" fontId="2666" fillId="0" borderId="0" xfId="0" applyFill="true" applyBorder="true" applyNumberFormat="true" applyFont="true"/>
    <xf numFmtId="0" fontId="2667" fillId="0" borderId="0" xfId="0" applyFill="true" applyBorder="true" applyNumberFormat="true" applyFont="true"/>
    <xf numFmtId="0" fontId="2668" fillId="0" borderId="0" xfId="0" applyFill="true" applyBorder="true" applyNumberFormat="true" applyFont="true"/>
    <xf numFmtId="0" fontId="2669" fillId="0" borderId="0" xfId="0" applyFill="true" applyBorder="true" applyNumberFormat="true" applyFont="true"/>
    <xf numFmtId="0" fontId="2670" fillId="0" borderId="0" xfId="0" applyFill="true" applyBorder="true" applyNumberFormat="true" applyFont="true"/>
    <xf numFmtId="0" fontId="2671" fillId="0" borderId="0" xfId="0" applyFill="true" applyBorder="true" applyNumberFormat="true" applyFont="true"/>
    <xf numFmtId="0" fontId="2672" fillId="0" borderId="0" xfId="0" applyFill="true" applyBorder="true" applyNumberFormat="true" applyFont="true"/>
    <xf numFmtId="0" fontId="2673" fillId="0" borderId="0" xfId="0" applyFill="true" applyBorder="true" applyNumberFormat="true" applyFont="true"/>
    <xf numFmtId="0" fontId="2674" fillId="0" borderId="0" xfId="0" applyFill="true" applyBorder="true" applyNumberFormat="true" applyFont="true"/>
    <xf numFmtId="0" fontId="2675" fillId="0" borderId="0" xfId="0" applyFill="true" applyBorder="true" applyNumberFormat="true" applyFont="true"/>
    <xf numFmtId="0" fontId="2676" fillId="0" borderId="0" xfId="0" applyFill="true" applyBorder="true" applyNumberFormat="true" applyFont="true"/>
    <xf numFmtId="0" fontId="2677" fillId="0" borderId="0" xfId="0" applyFill="true" applyBorder="true" applyNumberFormat="true" applyFont="true"/>
    <xf numFmtId="0" fontId="2678" fillId="0" borderId="0" xfId="0" applyFill="true" applyBorder="true" applyNumberFormat="true" applyFont="true"/>
    <xf numFmtId="0" fontId="2679" fillId="0" borderId="0" xfId="0" applyFill="true" applyBorder="true" applyNumberFormat="true" applyFont="true"/>
    <xf numFmtId="0" fontId="2680" fillId="0" borderId="0" xfId="0" applyFill="true" applyBorder="true" applyNumberFormat="true" applyFont="true"/>
    <xf numFmtId="0" fontId="2681" fillId="0" borderId="0" xfId="0" applyFill="true" applyBorder="true" applyNumberFormat="true" applyFont="true"/>
    <xf numFmtId="0" fontId="2682" fillId="0" borderId="0" xfId="0" applyFill="true" applyBorder="true" applyNumberFormat="true" applyFont="true"/>
    <xf numFmtId="0" fontId="2683" fillId="0" borderId="0" xfId="0" applyFill="true" applyBorder="true" applyNumberFormat="true" applyFont="true"/>
    <xf numFmtId="0" fontId="2684" fillId="0" borderId="0" xfId="0" applyFill="true" applyBorder="true" applyNumberFormat="true" applyFont="true"/>
    <xf numFmtId="0" fontId="2685" fillId="0" borderId="0" xfId="0" applyFill="true" applyBorder="true" applyNumberFormat="true" applyFont="true"/>
    <xf numFmtId="0" fontId="2686" fillId="0" borderId="0" xfId="0" applyFill="true" applyBorder="true" applyNumberFormat="true" applyFont="true"/>
    <xf numFmtId="0" fontId="2687" fillId="0" borderId="0" xfId="0" applyFill="true" applyBorder="true" applyNumberFormat="true" applyFont="true"/>
    <xf numFmtId="0" fontId="2688" fillId="0" borderId="0" xfId="0" applyFill="true" applyBorder="true" applyNumberFormat="true" applyFont="true"/>
    <xf numFmtId="0" fontId="2689" fillId="0" borderId="0" xfId="0" applyFill="true" applyBorder="true" applyNumberFormat="true" applyFont="true"/>
    <xf numFmtId="0" fontId="2690" fillId="0" borderId="0" xfId="0" applyFill="true" applyBorder="true" applyNumberFormat="true" applyFont="true"/>
    <xf numFmtId="0" fontId="2691" fillId="0" borderId="0" xfId="0" applyFill="true" applyBorder="true" applyNumberFormat="true" applyFont="true"/>
    <xf numFmtId="0" fontId="2692" fillId="0" borderId="0" xfId="0" applyFill="true" applyBorder="true" applyNumberFormat="true" applyFont="true"/>
    <xf numFmtId="0" fontId="2693" fillId="0" borderId="0" xfId="0" applyFill="true" applyBorder="true" applyNumberFormat="true" applyFont="true"/>
    <xf numFmtId="0" fontId="2694" fillId="0" borderId="0" xfId="0" applyFill="true" applyBorder="true" applyNumberFormat="true" applyFont="true"/>
    <xf numFmtId="0" fontId="2695" fillId="0" borderId="0" xfId="0" applyFill="true" applyBorder="true" applyNumberFormat="true" applyFont="true"/>
    <xf numFmtId="0" fontId="2696" fillId="0" borderId="0" xfId="0" applyFill="true" applyBorder="true" applyNumberFormat="true" applyFont="true"/>
    <xf numFmtId="0" fontId="2697" fillId="0" borderId="0" xfId="0" applyFill="true" applyBorder="true" applyNumberFormat="true" applyFont="true"/>
    <xf numFmtId="0" fontId="2698" fillId="0" borderId="0" xfId="0" applyFill="true" applyBorder="true" applyNumberFormat="true" applyFont="true"/>
    <xf numFmtId="0" fontId="2699" fillId="0" borderId="0" xfId="0" applyFill="true" applyBorder="true" applyNumberFormat="true" applyFont="true"/>
    <xf numFmtId="0" fontId="2700" fillId="0" borderId="0" xfId="0" applyFill="true" applyBorder="true" applyNumberFormat="true" applyFont="true"/>
    <xf numFmtId="0" fontId="2701" fillId="0" borderId="0" xfId="0" applyFill="true" applyBorder="true" applyNumberFormat="true" applyFont="true"/>
    <xf numFmtId="0" fontId="2702" fillId="0" borderId="0" xfId="0" applyFill="true" applyBorder="true" applyNumberFormat="true" applyFont="true"/>
    <xf numFmtId="0" fontId="2703" fillId="0" borderId="0" xfId="0" applyFill="true" applyBorder="true" applyNumberFormat="true" applyFont="true"/>
    <xf numFmtId="0" fontId="2704" fillId="0" borderId="0" xfId="0" applyFill="true" applyBorder="true" applyNumberFormat="true" applyFont="true"/>
    <xf numFmtId="0" fontId="2705" fillId="0" borderId="0" xfId="0" applyFill="true" applyBorder="true" applyNumberFormat="true" applyFont="true"/>
    <xf numFmtId="0" fontId="2706" fillId="0" borderId="0" xfId="0" applyFill="true" applyBorder="true" applyNumberFormat="true" applyFont="true"/>
    <xf numFmtId="0" fontId="2707" fillId="0" borderId="0" xfId="0" applyFill="true" applyBorder="true" applyNumberFormat="true" applyFont="true"/>
    <xf numFmtId="0" fontId="2708" fillId="0" borderId="0" xfId="0" applyFill="true" applyBorder="true" applyNumberFormat="true" applyFont="true"/>
    <xf numFmtId="0" fontId="2709" fillId="0" borderId="0" xfId="0" applyFill="true" applyBorder="true" applyNumberFormat="true" applyFont="true"/>
    <xf numFmtId="0" fontId="2710" fillId="0" borderId="0" xfId="0" applyFill="true" applyBorder="true" applyNumberFormat="true" applyFont="true"/>
    <xf numFmtId="0" fontId="2711" fillId="0" borderId="0" xfId="0" applyFill="true" applyBorder="true" applyNumberFormat="true" applyFont="true"/>
    <xf numFmtId="0" fontId="2712" fillId="0" borderId="0" xfId="0" applyFill="true" applyBorder="true" applyNumberFormat="true" applyFont="true"/>
    <xf numFmtId="0" fontId="2713" fillId="0" borderId="0" xfId="0" applyFill="true" applyBorder="true" applyNumberFormat="true" applyFont="true"/>
    <xf numFmtId="0" fontId="2714" fillId="0" borderId="0" xfId="0" applyFill="true" applyBorder="true" applyNumberFormat="true" applyFont="true"/>
    <xf numFmtId="0" fontId="2715" fillId="0" borderId="0" xfId="0" applyFill="true" applyBorder="true" applyNumberFormat="true" applyFont="true"/>
    <xf numFmtId="0" fontId="2716" fillId="0" borderId="0" xfId="0" applyFill="true" applyBorder="true" applyNumberFormat="true" applyFont="true"/>
    <xf numFmtId="0" fontId="2717" fillId="0" borderId="0" xfId="0" applyFill="true" applyBorder="true" applyNumberFormat="true" applyFont="true"/>
    <xf numFmtId="0" fontId="2718" fillId="0" borderId="0" xfId="0" applyFill="true" applyBorder="true" applyNumberFormat="true" applyFont="true"/>
    <xf numFmtId="0" fontId="2719" fillId="0" borderId="0" xfId="0" applyFill="true" applyBorder="true" applyNumberFormat="true" applyFont="true"/>
    <xf numFmtId="0" fontId="2720" fillId="0" borderId="0" xfId="0" applyFill="true" applyBorder="true" applyNumberFormat="true" applyFont="true"/>
    <xf numFmtId="0" fontId="2721" fillId="0" borderId="0" xfId="0" applyFill="true" applyBorder="true" applyNumberFormat="true" applyFont="true"/>
    <xf numFmtId="0" fontId="2722" fillId="0" borderId="0" xfId="0" applyFill="true" applyBorder="true" applyNumberFormat="true" applyFont="true"/>
    <xf numFmtId="0" fontId="2723" fillId="0" borderId="0" xfId="0" applyFill="true" applyBorder="true" applyNumberFormat="true" applyFont="true"/>
    <xf numFmtId="0" fontId="2724" fillId="0" borderId="0" xfId="0" applyFill="true" applyBorder="true" applyNumberFormat="true" applyFont="true"/>
    <xf numFmtId="0" fontId="2725" fillId="0" borderId="0" xfId="0" applyFill="true" applyBorder="true" applyNumberFormat="true" applyFont="true"/>
    <xf numFmtId="0" fontId="2726" fillId="0" borderId="0" xfId="0" applyFill="true" applyBorder="true" applyNumberFormat="true" applyFont="true"/>
    <xf numFmtId="0" fontId="2727" fillId="0" borderId="0" xfId="0" applyFill="true" applyBorder="true" applyNumberFormat="true" applyFont="true"/>
    <xf numFmtId="0" fontId="2728" fillId="0" borderId="0" xfId="0" applyFill="true" applyBorder="true" applyNumberFormat="true" applyFont="true"/>
    <xf numFmtId="0" fontId="2729" fillId="0" borderId="0" xfId="0" applyFill="true" applyBorder="true" applyNumberFormat="true" applyFont="true"/>
    <xf numFmtId="0" fontId="2730" fillId="0" borderId="0" xfId="0" applyFill="true" applyBorder="true" applyNumberFormat="true" applyFont="true"/>
    <xf numFmtId="0" fontId="2731" fillId="0" borderId="0" xfId="0" applyFill="true" applyBorder="true" applyNumberFormat="true" applyFont="true"/>
    <xf numFmtId="0" fontId="2732" fillId="0" borderId="0" xfId="0" applyFill="true" applyBorder="true" applyNumberFormat="true" applyFont="true"/>
    <xf numFmtId="0" fontId="2733" fillId="0" borderId="0" xfId="0" applyFill="true" applyBorder="true" applyNumberFormat="true" applyFont="true"/>
    <xf numFmtId="0" fontId="2734" fillId="0" borderId="0" xfId="0" applyFill="true" applyBorder="true" applyNumberFormat="true" applyFont="true"/>
    <xf numFmtId="0" fontId="2735" fillId="0" borderId="0" xfId="0" applyFill="true" applyBorder="true" applyNumberFormat="true" applyFont="true"/>
    <xf numFmtId="0" fontId="2736" fillId="0" borderId="0" xfId="0" applyFill="true" applyBorder="true" applyNumberFormat="true" applyFont="true"/>
    <xf numFmtId="0" fontId="2737" fillId="0" borderId="0" xfId="0" applyFill="true" applyBorder="true" applyNumberFormat="true" applyFont="true"/>
    <xf numFmtId="0" fontId="2738" fillId="0" borderId="0" xfId="0" applyFill="true" applyBorder="true" applyNumberFormat="true" applyFont="true"/>
    <xf numFmtId="0" fontId="2739" fillId="0" borderId="0" xfId="0" applyFill="true" applyBorder="true" applyNumberFormat="true" applyFont="true"/>
    <xf numFmtId="0" fontId="2740" fillId="0" borderId="0" xfId="0" applyFill="true" applyBorder="true" applyNumberFormat="true" applyFont="true"/>
    <xf numFmtId="0" fontId="2741" fillId="0" borderId="0" xfId="0" applyFill="true" applyBorder="true" applyNumberFormat="true" applyFont="true"/>
    <xf numFmtId="0" fontId="2742" fillId="0" borderId="0" xfId="0" applyFill="true" applyBorder="true" applyNumberFormat="true" applyFont="true"/>
    <xf numFmtId="0" fontId="2743" fillId="0" borderId="0" xfId="0" applyFill="true" applyBorder="true" applyNumberFormat="true" applyFont="true"/>
    <xf numFmtId="0" fontId="2744" fillId="0" borderId="0" xfId="0" applyFill="true" applyBorder="true" applyNumberFormat="true" applyFont="true"/>
    <xf numFmtId="0" fontId="2745" fillId="0" borderId="0" xfId="0" applyFill="true" applyBorder="true" applyNumberFormat="true" applyFont="true"/>
    <xf numFmtId="0" fontId="2746" fillId="0" borderId="0" xfId="0" applyFill="true" applyBorder="true" applyNumberFormat="true" applyFont="true"/>
    <xf numFmtId="0" fontId="2747" fillId="0" borderId="0" xfId="0" applyFill="true" applyBorder="true" applyNumberFormat="true" applyFont="true"/>
    <xf numFmtId="0" fontId="2748" fillId="0" borderId="0" xfId="0" applyFill="true" applyBorder="true" applyNumberFormat="true" applyFont="true"/>
    <xf numFmtId="0" fontId="2749" fillId="0" borderId="0" xfId="0" applyFill="true" applyBorder="true" applyNumberFormat="true" applyFont="true"/>
    <xf numFmtId="0" fontId="2750" fillId="0" borderId="0" xfId="0" applyFill="true" applyBorder="true" applyNumberFormat="true" applyFont="true"/>
    <xf numFmtId="0" fontId="2751" fillId="0" borderId="0" xfId="0" applyFill="true" applyBorder="true" applyNumberFormat="true" applyFont="true"/>
    <xf numFmtId="0" fontId="2752" fillId="0" borderId="0" xfId="0" applyFill="true" applyBorder="true" applyNumberFormat="true" applyFont="true"/>
    <xf numFmtId="0" fontId="2753" fillId="0" borderId="0" xfId="0" applyFill="true" applyBorder="true" applyNumberFormat="true" applyFont="true"/>
    <xf numFmtId="0" fontId="2754" fillId="0" borderId="0" xfId="0" applyFill="true" applyBorder="true" applyNumberFormat="true" applyFont="true"/>
    <xf numFmtId="0" fontId="2755" fillId="0" borderId="0" xfId="0" applyFill="true" applyBorder="true" applyNumberFormat="true" applyFont="true"/>
    <xf numFmtId="0" fontId="2756" fillId="0" borderId="0" xfId="0" applyFill="true" applyBorder="true" applyNumberFormat="true" applyFont="true"/>
    <xf numFmtId="0" fontId="2757" fillId="0" borderId="0" xfId="0" applyFill="true" applyBorder="true" applyNumberFormat="true" applyFont="true"/>
    <xf numFmtId="0" fontId="2758" fillId="0" borderId="0" xfId="0" applyFill="true" applyBorder="true" applyNumberFormat="true" applyFont="true"/>
    <xf numFmtId="0" fontId="2759" fillId="0" borderId="0" xfId="0" applyFill="true" applyBorder="true" applyNumberFormat="true" applyFont="true"/>
    <xf numFmtId="0" fontId="2760" fillId="0" borderId="0" xfId="0" applyFill="true" applyBorder="true" applyNumberFormat="true" applyFont="true"/>
    <xf numFmtId="0" fontId="2761" fillId="0" borderId="0" xfId="0" applyFill="true" applyBorder="true" applyNumberFormat="true" applyFont="true"/>
    <xf numFmtId="0" fontId="2762" fillId="0" borderId="0" xfId="0" applyFill="true" applyBorder="true" applyNumberFormat="true" applyFont="true"/>
    <xf numFmtId="0" fontId="2763" fillId="0" borderId="0" xfId="0" applyFill="true" applyBorder="true" applyNumberFormat="true" applyFont="true"/>
    <xf numFmtId="0" fontId="2764" fillId="0" borderId="0" xfId="0" applyFill="true" applyBorder="true" applyNumberFormat="true" applyFont="true"/>
    <xf numFmtId="0" fontId="2765" fillId="0" borderId="0" xfId="0" applyFill="true" applyBorder="true" applyNumberFormat="true" applyFont="true"/>
    <xf numFmtId="0" fontId="2766" fillId="0" borderId="0" xfId="0" applyFill="true" applyBorder="true" applyNumberFormat="true" applyFont="true"/>
    <xf numFmtId="0" fontId="2767" fillId="0" borderId="0" xfId="0" applyFill="true" applyBorder="true" applyNumberFormat="true" applyFont="true"/>
    <xf numFmtId="0" fontId="2768" fillId="0" borderId="0" xfId="0" applyFill="true" applyBorder="true" applyNumberFormat="true" applyFont="true"/>
    <xf numFmtId="0" fontId="2769" fillId="0" borderId="0" xfId="0" applyFill="true" applyBorder="true" applyNumberFormat="true" applyFont="true"/>
    <xf numFmtId="0" fontId="2770" fillId="0" borderId="0" xfId="0" applyFill="true" applyBorder="true" applyNumberFormat="true" applyFont="true"/>
    <xf numFmtId="0" fontId="2771" fillId="0" borderId="0" xfId="0" applyFill="true" applyBorder="true" applyNumberFormat="true" applyFont="true"/>
    <xf numFmtId="0" fontId="2772" fillId="0" borderId="0" xfId="0" applyFill="true" applyBorder="true" applyNumberFormat="true" applyFont="true"/>
    <xf numFmtId="0" fontId="2773" fillId="0" borderId="0" xfId="0" applyFill="true" applyBorder="true" applyNumberFormat="true" applyFont="true"/>
    <xf numFmtId="0" fontId="2774" fillId="0" borderId="0" xfId="0" applyFill="true" applyBorder="true" applyNumberFormat="true" applyFont="true"/>
    <xf numFmtId="0" fontId="2775" fillId="0" borderId="0" xfId="0" applyFill="true" applyBorder="true" applyNumberFormat="true" applyFont="true"/>
    <xf numFmtId="0" fontId="2776" fillId="0" borderId="0" xfId="0" applyFill="true" applyBorder="true" applyNumberFormat="true" applyFont="true"/>
    <xf numFmtId="0" fontId="2777" fillId="0" borderId="0" xfId="0" applyFill="true" applyBorder="true" applyNumberFormat="true" applyFont="true"/>
    <xf numFmtId="0" fontId="2778" fillId="0" borderId="0" xfId="0" applyFill="true" applyBorder="true" applyNumberFormat="true" applyFont="true"/>
    <xf numFmtId="0" fontId="2779" fillId="0" borderId="0" xfId="0" applyFill="true" applyBorder="true" applyNumberFormat="true" applyFont="true"/>
    <xf numFmtId="0" fontId="2780" fillId="0" borderId="0" xfId="0" applyFill="true" applyBorder="true" applyNumberFormat="true" applyFont="true"/>
    <xf numFmtId="0" fontId="2781" fillId="0" borderId="0" xfId="0" applyFill="true" applyBorder="true" applyNumberFormat="true" applyFont="true"/>
    <xf numFmtId="0" fontId="2782" fillId="0" borderId="0" xfId="0" applyFill="true" applyBorder="true" applyNumberFormat="true" applyFont="true"/>
    <xf numFmtId="0" fontId="2783" fillId="0" borderId="0" xfId="0" applyFill="true" applyBorder="true" applyNumberFormat="true" applyFont="true"/>
    <xf numFmtId="0" fontId="2784" fillId="0" borderId="0" xfId="0" applyFill="true" applyBorder="true" applyNumberFormat="true" applyFont="true"/>
    <xf numFmtId="0" fontId="2785" fillId="0" borderId="0" xfId="0" applyFill="true" applyBorder="true" applyNumberFormat="true" applyFont="true"/>
    <xf numFmtId="0" fontId="2786" fillId="0" borderId="0" xfId="0" applyFill="true" applyBorder="true" applyNumberFormat="true" applyFont="true"/>
    <xf numFmtId="0" fontId="2787" fillId="0" borderId="0" xfId="0" applyFill="true" applyBorder="true" applyNumberFormat="true" applyFont="true"/>
    <xf numFmtId="0" fontId="2788" fillId="0" borderId="0" xfId="0" applyFill="true" applyBorder="true" applyNumberFormat="true" applyFont="true"/>
    <xf numFmtId="0" fontId="2789" fillId="0" borderId="0" xfId="0" applyFill="true" applyBorder="true" applyNumberFormat="true" applyFont="true"/>
    <xf numFmtId="0" fontId="2790" fillId="0" borderId="0" xfId="0" applyFill="true" applyBorder="true" applyNumberFormat="true" applyFont="true"/>
    <xf numFmtId="0" fontId="2791" fillId="0" borderId="0" xfId="0" applyFill="true" applyBorder="true" applyNumberFormat="true" applyFont="true"/>
    <xf numFmtId="0" fontId="2792" fillId="0" borderId="0" xfId="0" applyFill="true" applyBorder="true" applyNumberFormat="true" applyFont="true"/>
    <xf numFmtId="0" fontId="2793" fillId="0" borderId="0" xfId="0" applyFill="true" applyBorder="true" applyNumberFormat="true" applyFont="true"/>
    <xf numFmtId="0" fontId="2794" fillId="0" borderId="0" xfId="0" applyFill="true" applyBorder="true" applyNumberFormat="true" applyFont="true"/>
    <xf numFmtId="0" fontId="2795" fillId="0" borderId="0" xfId="0" applyFill="true" applyBorder="true" applyNumberFormat="true" applyFont="true"/>
    <xf numFmtId="0" fontId="2796" fillId="0" borderId="0" xfId="0" applyFill="true" applyBorder="true" applyNumberFormat="true" applyFont="true"/>
    <xf numFmtId="0" fontId="2797" fillId="0" borderId="0" xfId="0" applyFill="true" applyBorder="true" applyNumberFormat="true" applyFont="true"/>
    <xf numFmtId="0" fontId="2798" fillId="0" borderId="0" xfId="0" applyFill="true" applyBorder="true" applyNumberFormat="true" applyFont="true"/>
    <xf numFmtId="0" fontId="2799" fillId="0" borderId="0" xfId="0" applyFill="true" applyBorder="true" applyNumberFormat="true" applyFont="true"/>
    <xf numFmtId="0" fontId="2800" fillId="0" borderId="0" xfId="0" applyFill="true" applyBorder="true" applyNumberFormat="true" applyFont="true"/>
    <xf numFmtId="0" fontId="2801" fillId="0" borderId="0" xfId="0" applyFill="true" applyBorder="true" applyNumberFormat="true" applyFont="true"/>
    <xf numFmtId="0" fontId="2802" fillId="0" borderId="0" xfId="0" applyFill="true" applyBorder="true" applyNumberFormat="true" applyFont="true"/>
    <xf numFmtId="0" fontId="2803" fillId="0" borderId="0" xfId="0" applyFill="true" applyBorder="true" applyNumberFormat="true" applyFont="true"/>
    <xf numFmtId="0" fontId="2804" fillId="0" borderId="0" xfId="0" applyFill="true" applyBorder="true" applyNumberFormat="true" applyFont="true"/>
    <xf numFmtId="0" fontId="2805" fillId="0" borderId="0" xfId="0" applyFill="true" applyBorder="true" applyNumberFormat="true" applyFont="true"/>
    <xf numFmtId="0" fontId="2806" fillId="0" borderId="0" xfId="0" applyFill="true" applyBorder="true" applyNumberFormat="true" applyFont="true"/>
    <xf numFmtId="0" fontId="2807" fillId="0" borderId="0" xfId="0" applyFill="true" applyBorder="true" applyNumberFormat="true" applyFont="true"/>
    <xf numFmtId="0" fontId="2808" fillId="0" borderId="0" xfId="0" applyFill="true" applyBorder="true" applyNumberFormat="true" applyFont="true"/>
    <xf numFmtId="0" fontId="2809" fillId="0" borderId="0" xfId="0" applyFill="true" applyBorder="true" applyNumberFormat="true" applyFont="true"/>
    <xf numFmtId="0" fontId="2810" fillId="0" borderId="0" xfId="0" applyFill="true" applyBorder="true" applyNumberFormat="true" applyFont="true"/>
    <xf numFmtId="0" fontId="2811" fillId="0" borderId="0" xfId="0" applyFill="true" applyBorder="true" applyNumberFormat="true" applyFont="true"/>
    <xf numFmtId="0" fontId="2812" fillId="0" borderId="0" xfId="0" applyFill="true" applyBorder="true" applyNumberFormat="true" applyFont="true"/>
    <xf numFmtId="0" fontId="2813" fillId="0" borderId="0" xfId="0" applyFill="true" applyBorder="true" applyNumberFormat="true" applyFont="true"/>
    <xf numFmtId="0" fontId="2814" fillId="0" borderId="0" xfId="0" applyFill="true" applyBorder="true" applyNumberFormat="true" applyFont="true"/>
    <xf numFmtId="0" fontId="2815" fillId="0" borderId="0" xfId="0" applyFill="true" applyBorder="true" applyNumberFormat="true" applyFont="true"/>
    <xf numFmtId="0" fontId="2816" fillId="0" borderId="0" xfId="0" applyFill="true" applyBorder="true" applyNumberFormat="true" applyFont="true"/>
    <xf numFmtId="0" fontId="2817" fillId="0" borderId="0" xfId="0" applyFill="true" applyBorder="true" applyNumberFormat="true" applyFont="true"/>
    <xf numFmtId="0" fontId="2818" fillId="0" borderId="0" xfId="0" applyFill="true" applyBorder="true" applyNumberFormat="true" applyFont="true"/>
    <xf numFmtId="0" fontId="2819" fillId="0" borderId="0" xfId="0" applyFill="true" applyBorder="true" applyNumberFormat="true" applyFont="true"/>
    <xf numFmtId="0" fontId="2820" fillId="0" borderId="0" xfId="0" applyFill="true" applyBorder="true" applyNumberFormat="true" applyFont="true"/>
    <xf numFmtId="0" fontId="2821" fillId="0" borderId="0" xfId="0" applyFill="true" applyBorder="true" applyNumberFormat="true" applyFont="true"/>
    <xf numFmtId="0" fontId="2822" fillId="0" borderId="0" xfId="0" applyFill="true" applyBorder="true" applyNumberFormat="true" applyFont="true"/>
    <xf numFmtId="0" fontId="2823" fillId="0" borderId="0" xfId="0" applyFill="true" applyBorder="true" applyNumberFormat="true" applyFont="true"/>
    <xf numFmtId="0" fontId="2824" fillId="0" borderId="0" xfId="0" applyFill="true" applyBorder="true" applyNumberFormat="true" applyFont="true"/>
    <xf numFmtId="0" fontId="2825" fillId="0" borderId="0" xfId="0" applyFill="true" applyBorder="true" applyNumberFormat="true" applyFont="true"/>
    <xf numFmtId="0" fontId="2826" fillId="0" borderId="0" xfId="0" applyFill="true" applyBorder="true" applyNumberFormat="true" applyFont="true"/>
    <xf numFmtId="0" fontId="2827" fillId="0" borderId="0" xfId="0" applyFill="true" applyBorder="true" applyNumberFormat="true" applyFont="true"/>
    <xf numFmtId="0" fontId="2828" fillId="0" borderId="0" xfId="0" applyFill="true" applyBorder="true" applyNumberFormat="true" applyFont="true"/>
    <xf numFmtId="0" fontId="2829" fillId="0" borderId="0" xfId="0" applyFill="true" applyBorder="true" applyNumberFormat="true" applyFont="true"/>
    <xf numFmtId="0" fontId="2830" fillId="0" borderId="0" xfId="0" applyFill="true" applyBorder="true" applyNumberFormat="true" applyFont="true"/>
    <xf numFmtId="0" fontId="2831" fillId="0" borderId="0" xfId="0" applyFill="true" applyBorder="true" applyNumberFormat="true" applyFont="true"/>
    <xf numFmtId="0" fontId="2832" fillId="0" borderId="0" xfId="0" applyFill="true" applyBorder="true" applyNumberFormat="true" applyFont="true"/>
    <xf numFmtId="0" fontId="2833" fillId="0" borderId="0" xfId="0" applyFill="true" applyBorder="true" applyNumberFormat="true" applyFont="true"/>
    <xf numFmtId="0" fontId="2834" fillId="0" borderId="0" xfId="0" applyFill="true" applyBorder="true" applyNumberFormat="true" applyFont="true"/>
    <xf numFmtId="0" fontId="2835" fillId="0" borderId="0" xfId="0" applyFill="true" applyBorder="true" applyNumberFormat="true" applyFont="true"/>
    <xf numFmtId="0" fontId="2836" fillId="0" borderId="0" xfId="0" applyFill="true" applyBorder="true" applyNumberFormat="true" applyFont="true"/>
    <xf numFmtId="0" fontId="2837" fillId="0" borderId="0" xfId="0" applyFill="true" applyBorder="true" applyNumberFormat="true" applyFont="true"/>
    <xf numFmtId="0" fontId="2838" fillId="0" borderId="0" xfId="0" applyFill="true" applyBorder="true" applyNumberFormat="true" applyFont="true"/>
    <xf numFmtId="0" fontId="2839" fillId="0" borderId="0" xfId="0" applyFill="true" applyBorder="true" applyNumberFormat="true" applyFont="true"/>
    <xf numFmtId="0" fontId="2840" fillId="0" borderId="0" xfId="0" applyFill="true" applyBorder="true" applyNumberFormat="true" applyFont="true"/>
    <xf numFmtId="0" fontId="2841" fillId="0" borderId="0" xfId="0" applyFill="true" applyBorder="true" applyNumberFormat="true" applyFont="true"/>
    <xf numFmtId="0" fontId="2842" fillId="0" borderId="0" xfId="0" applyFill="true" applyBorder="true" applyNumberFormat="true" applyFont="true"/>
    <xf numFmtId="0" fontId="2843" fillId="0" borderId="0" xfId="0" applyFill="true" applyBorder="true" applyNumberFormat="true" applyFont="true"/>
    <xf numFmtId="0" fontId="2844" fillId="0" borderId="0" xfId="0" applyFill="true" applyBorder="true" applyNumberFormat="true" applyFont="true"/>
    <xf numFmtId="0" fontId="2845" fillId="0" borderId="0" xfId="0" applyFill="true" applyBorder="true" applyNumberFormat="true" applyFont="true"/>
    <xf numFmtId="0" fontId="2846" fillId="0" borderId="0" xfId="0" applyFill="true" applyBorder="true" applyNumberFormat="true" applyFont="true"/>
    <xf numFmtId="0" fontId="2847" fillId="0" borderId="0" xfId="0" applyFill="true" applyBorder="true" applyNumberFormat="true" applyFont="true"/>
    <xf numFmtId="0" fontId="2848" fillId="0" borderId="0" xfId="0" applyFill="true" applyBorder="true" applyNumberFormat="true" applyFont="true"/>
    <xf numFmtId="0" fontId="2849" fillId="0" borderId="0" xfId="0" applyFill="true" applyBorder="true" applyNumberFormat="true" applyFont="true"/>
    <xf numFmtId="0" fontId="2850" fillId="0" borderId="0" xfId="0" applyFill="true" applyBorder="true" applyNumberFormat="true" applyFont="true"/>
    <xf numFmtId="0" fontId="2851" fillId="0" borderId="0" xfId="0" applyFill="true" applyBorder="true" applyNumberFormat="true" applyFont="true"/>
    <xf numFmtId="0" fontId="2852" fillId="0" borderId="0" xfId="0" applyFill="true" applyBorder="true" applyNumberFormat="true" applyFont="true"/>
    <xf numFmtId="0" fontId="2853" fillId="0" borderId="0" xfId="0" applyFill="true" applyBorder="true" applyNumberFormat="true" applyFont="true"/>
    <xf numFmtId="0" fontId="2854" fillId="0" borderId="0" xfId="0" applyFill="true" applyBorder="true" applyNumberFormat="true" applyFont="true"/>
    <xf numFmtId="0" fontId="2855" fillId="0" borderId="0" xfId="0" applyFill="true" applyBorder="true" applyNumberFormat="true" applyFont="true"/>
    <xf numFmtId="0" fontId="2856" fillId="0" borderId="0" xfId="0" applyFill="true" applyBorder="true" applyNumberFormat="true" applyFont="true"/>
    <xf numFmtId="0" fontId="2857" fillId="0" borderId="0" xfId="0" applyFill="true" applyBorder="true" applyNumberFormat="true" applyFont="true"/>
    <xf numFmtId="0" fontId="2858" fillId="0" borderId="0" xfId="0" applyFill="true" applyBorder="true" applyNumberFormat="true" applyFont="true"/>
    <xf numFmtId="0" fontId="2859" fillId="0" borderId="0" xfId="0" applyFill="true" applyBorder="true" applyNumberFormat="true" applyFont="true"/>
    <xf numFmtId="0" fontId="2860" fillId="0" borderId="0" xfId="0" applyFill="true" applyBorder="true" applyNumberFormat="true" applyFont="true"/>
    <xf numFmtId="0" fontId="2861" fillId="0" borderId="0" xfId="0" applyFill="true" applyBorder="true" applyNumberFormat="true" applyFont="true"/>
    <xf numFmtId="0" fontId="2862" fillId="0" borderId="0" xfId="0" applyFill="true" applyBorder="true" applyNumberFormat="true" applyFont="true"/>
    <xf numFmtId="0" fontId="2863" fillId="0" borderId="0" xfId="0" applyFill="true" applyBorder="true" applyNumberFormat="true" applyFont="true"/>
    <xf numFmtId="0" fontId="2864" fillId="0" borderId="0" xfId="0" applyFill="true" applyBorder="true" applyNumberFormat="true" applyFont="true"/>
    <xf numFmtId="0" fontId="2865" fillId="0" borderId="0" xfId="0" applyFill="true" applyBorder="true" applyNumberFormat="true" applyFont="true"/>
    <xf numFmtId="0" fontId="2866" fillId="0" borderId="0" xfId="0" applyFill="true" applyBorder="true" applyNumberFormat="true" applyFont="true"/>
    <xf numFmtId="0" fontId="2867" fillId="0" borderId="0" xfId="0" applyFill="true" applyBorder="true" applyNumberFormat="true" applyFont="true"/>
    <xf numFmtId="0" fontId="2868" fillId="0" borderId="0" xfId="0" applyFill="true" applyBorder="true" applyNumberFormat="true" applyFont="true"/>
    <xf numFmtId="0" fontId="2869" fillId="0" borderId="0" xfId="0" applyFill="true" applyBorder="true" applyNumberFormat="true" applyFont="true"/>
    <xf numFmtId="0" fontId="2870" fillId="0" borderId="0" xfId="0" applyFill="true" applyBorder="true" applyNumberFormat="true" applyFont="true"/>
    <xf numFmtId="0" fontId="2871" fillId="0" borderId="0" xfId="0" applyFill="true" applyBorder="true" applyNumberFormat="true" applyFont="true"/>
    <xf numFmtId="0" fontId="2872" fillId="0" borderId="0" xfId="0" applyFill="true" applyBorder="true" applyNumberFormat="true" applyFont="true"/>
    <xf numFmtId="0" fontId="2873" fillId="0" borderId="0" xfId="0" applyFill="true" applyBorder="true" applyNumberFormat="true" applyFont="true"/>
    <xf numFmtId="0" fontId="2874" fillId="0" borderId="0" xfId="0" applyFill="true" applyBorder="true" applyNumberFormat="true" applyFont="true"/>
    <xf numFmtId="0" fontId="2875" fillId="0" borderId="0" xfId="0" applyFill="true" applyBorder="true" applyNumberFormat="true" applyFont="true"/>
    <xf numFmtId="0" fontId="2876" fillId="0" borderId="0" xfId="0" applyFill="true" applyBorder="true" applyNumberFormat="true" applyFont="true"/>
    <xf numFmtId="0" fontId="2877" fillId="0" borderId="0" xfId="0" applyFill="true" applyBorder="true" applyNumberFormat="true" applyFont="true"/>
    <xf numFmtId="0" fontId="2878" fillId="0" borderId="0" xfId="0" applyFill="true" applyBorder="true" applyNumberFormat="true" applyFont="true"/>
    <xf numFmtId="0" fontId="2879" fillId="0" borderId="0" xfId="0" applyFill="true" applyBorder="true" applyNumberFormat="true" applyFont="true"/>
    <xf numFmtId="0" fontId="2880" fillId="0" borderId="0" xfId="0" applyFill="true" applyBorder="true" applyNumberFormat="true" applyFont="true"/>
    <xf numFmtId="0" fontId="2881" fillId="0" borderId="0" xfId="0" applyFill="true" applyBorder="true" applyNumberFormat="true" applyFont="true"/>
    <xf numFmtId="0" fontId="2882" fillId="0" borderId="0" xfId="0" applyFill="true" applyBorder="true" applyNumberFormat="true" applyFont="true"/>
    <xf numFmtId="0" fontId="2883" fillId="0" borderId="0" xfId="0" applyFill="true" applyBorder="true" applyNumberFormat="true" applyFont="true"/>
    <xf numFmtId="0" fontId="2884" fillId="0" borderId="0" xfId="0" applyFill="true" applyBorder="true" applyNumberFormat="true" applyFont="true"/>
    <xf numFmtId="0" fontId="2885" fillId="0" borderId="0" xfId="0" applyFill="true" applyBorder="true" applyNumberFormat="true" applyFont="true"/>
    <xf numFmtId="0" fontId="2886" fillId="0" borderId="0" xfId="0" applyFill="true" applyBorder="true" applyNumberFormat="true" applyFont="true"/>
    <xf numFmtId="0" fontId="2887" fillId="0" borderId="0" xfId="0" applyFill="true" applyBorder="true" applyNumberFormat="true" applyFont="true"/>
    <xf numFmtId="0" fontId="2888" fillId="0" borderId="0" xfId="0" applyFill="true" applyBorder="true" applyNumberFormat="true" applyFont="true"/>
    <xf numFmtId="0" fontId="2889" fillId="0" borderId="0" xfId="0" applyFill="true" applyBorder="true" applyNumberFormat="true" applyFont="true"/>
    <xf numFmtId="0" fontId="2890" fillId="0" borderId="0" xfId="0" applyFill="true" applyBorder="true" applyNumberFormat="true" applyFont="true"/>
    <xf numFmtId="0" fontId="2891" fillId="0" borderId="0" xfId="0" applyFill="true" applyBorder="true" applyNumberFormat="true" applyFont="true"/>
    <xf numFmtId="0" fontId="2892" fillId="0" borderId="0" xfId="0" applyFill="true" applyBorder="true" applyNumberFormat="true" applyFont="true"/>
    <xf numFmtId="0" fontId="2893" fillId="0" borderId="0" xfId="0" applyFill="true" applyBorder="true" applyNumberFormat="true" applyFont="true"/>
    <xf numFmtId="0" fontId="2894" fillId="0" borderId="0" xfId="0" applyFill="true" applyBorder="true" applyNumberFormat="true" applyFont="true"/>
    <xf numFmtId="0" fontId="2895" fillId="0" borderId="0" xfId="0" applyFill="true" applyBorder="true" applyNumberFormat="true" applyFont="true"/>
    <xf numFmtId="0" fontId="2896" fillId="0" borderId="0" xfId="0" applyFill="true" applyBorder="true" applyNumberFormat="true" applyFont="true"/>
    <xf numFmtId="0" fontId="2897" fillId="0" borderId="0" xfId="0" applyFill="true" applyBorder="true" applyNumberFormat="true" applyFont="true"/>
    <xf numFmtId="0" fontId="2898" fillId="0" borderId="0" xfId="0" applyFill="true" applyBorder="true" applyNumberFormat="true" applyFont="true"/>
    <xf numFmtId="0" fontId="2899" fillId="0" borderId="0" xfId="0" applyFill="true" applyBorder="true" applyNumberFormat="true" applyFont="true"/>
    <xf numFmtId="0" fontId="2900" fillId="0" borderId="0" xfId="0" applyFill="true" applyBorder="true" applyNumberFormat="true" applyFont="true"/>
    <xf numFmtId="0" fontId="2901" fillId="0" borderId="0" xfId="0" applyFill="true" applyBorder="true" applyNumberFormat="true" applyFont="true"/>
    <xf numFmtId="0" fontId="2902" fillId="0" borderId="0" xfId="0" applyFill="true" applyBorder="true" applyNumberFormat="true" applyFont="true"/>
    <xf numFmtId="0" fontId="2903" fillId="0" borderId="0" xfId="0" applyFill="true" applyBorder="true" applyNumberFormat="true" applyFont="true"/>
    <xf numFmtId="0" fontId="2904" fillId="0" borderId="0" xfId="0" applyFill="true" applyBorder="true" applyNumberFormat="true" applyFont="true"/>
    <xf numFmtId="0" fontId="2905" fillId="0" borderId="0" xfId="0" applyFill="true" applyBorder="true" applyNumberFormat="true" applyFont="true"/>
    <xf numFmtId="0" fontId="2906" fillId="0" borderId="0" xfId="0" applyFill="true" applyBorder="true" applyNumberFormat="true" applyFont="true"/>
    <xf numFmtId="0" fontId="2907" fillId="0" borderId="0" xfId="0" applyFill="true" applyBorder="true" applyNumberFormat="true" applyFont="true"/>
    <xf numFmtId="0" fontId="2908" fillId="0" borderId="0" xfId="0" applyFill="true" applyBorder="true" applyNumberFormat="true" applyFont="true"/>
    <xf numFmtId="0" fontId="2909" fillId="0" borderId="0" xfId="0" applyFill="true" applyBorder="true" applyNumberFormat="true" applyFont="true"/>
    <xf numFmtId="0" fontId="2910" fillId="0" borderId="0" xfId="0" applyFill="true" applyBorder="true" applyNumberFormat="true" applyFont="true"/>
    <xf numFmtId="0" fontId="2911" fillId="0" borderId="0" xfId="0" applyFill="true" applyBorder="true" applyNumberFormat="true" applyFont="true"/>
    <xf numFmtId="0" fontId="2912" fillId="0" borderId="0" xfId="0" applyFill="true" applyBorder="true" applyNumberFormat="true" applyFont="true"/>
    <xf numFmtId="0" fontId="2913" fillId="0" borderId="0" xfId="0" applyFill="true" applyBorder="true" applyNumberFormat="true" applyFont="true"/>
    <xf numFmtId="0" fontId="2914" fillId="0" borderId="0" xfId="0" applyFill="true" applyBorder="true" applyNumberFormat="true" applyFont="true"/>
    <xf numFmtId="0" fontId="2915" fillId="0" borderId="0" xfId="0" applyFill="true" applyBorder="true" applyNumberFormat="true" applyFont="true"/>
    <xf numFmtId="0" fontId="2916" fillId="0" borderId="0" xfId="0" applyFill="true" applyBorder="true" applyNumberFormat="true" applyFont="true"/>
    <xf numFmtId="0" fontId="2917" fillId="0" borderId="0" xfId="0" applyFill="true" applyBorder="true" applyNumberFormat="true" applyFont="true"/>
    <xf numFmtId="0" fontId="2918" fillId="0" borderId="0" xfId="0" applyFill="true" applyBorder="true" applyNumberFormat="true" applyFont="true"/>
    <xf numFmtId="0" fontId="2919" fillId="0" borderId="0" xfId="0" applyFill="true" applyBorder="true" applyNumberFormat="true" applyFont="true"/>
    <xf numFmtId="0" fontId="2920" fillId="0" borderId="0" xfId="0" applyFill="true" applyBorder="true" applyNumberFormat="true" applyFont="true"/>
    <xf numFmtId="0" fontId="2921" fillId="0" borderId="0" xfId="0" applyFill="true" applyBorder="true" applyNumberFormat="true" applyFont="true"/>
    <xf numFmtId="0" fontId="2922" fillId="0" borderId="0" xfId="0" applyFill="true" applyBorder="true" applyNumberFormat="true" applyFont="true"/>
    <xf numFmtId="0" fontId="2923" fillId="0" borderId="0" xfId="0" applyFill="true" applyBorder="true" applyNumberFormat="true" applyFont="true"/>
    <xf numFmtId="0" fontId="2924" fillId="0" borderId="0" xfId="0" applyFill="true" applyBorder="true" applyNumberFormat="true" applyFont="true"/>
    <xf numFmtId="0" fontId="2925" fillId="0" borderId="0" xfId="0" applyFill="true" applyBorder="true" applyNumberFormat="true" applyFont="true"/>
    <xf numFmtId="0" fontId="2926" fillId="0" borderId="0" xfId="0" applyFill="true" applyBorder="true" applyNumberFormat="true" applyFont="true"/>
    <xf numFmtId="0" fontId="2927" fillId="0" borderId="0" xfId="0" applyFill="true" applyBorder="true" applyNumberFormat="true" applyFont="true"/>
    <xf numFmtId="0" fontId="2928" fillId="0" borderId="0" xfId="0" applyFill="true" applyBorder="true" applyNumberFormat="true" applyFont="true"/>
    <xf numFmtId="0" fontId="2929" fillId="0" borderId="0" xfId="0" applyFill="true" applyBorder="true" applyNumberFormat="true" applyFont="true"/>
    <xf numFmtId="0" fontId="2930" fillId="0" borderId="0" xfId="0" applyFill="true" applyBorder="true" applyNumberFormat="true" applyFont="true"/>
    <xf numFmtId="0" fontId="2931" fillId="0" borderId="0" xfId="0" applyFill="true" applyBorder="true" applyNumberFormat="true" applyFont="true"/>
    <xf numFmtId="0" fontId="2932" fillId="0" borderId="0" xfId="0" applyFill="true" applyBorder="true" applyNumberFormat="true" applyFont="true"/>
    <xf numFmtId="0" fontId="2933" fillId="0" borderId="0" xfId="0" applyFill="true" applyBorder="true" applyNumberFormat="true" applyFont="true"/>
    <xf numFmtId="0" fontId="2934" fillId="0" borderId="0" xfId="0" applyFill="true" applyBorder="true" applyNumberFormat="true" applyFont="true"/>
    <xf numFmtId="0" fontId="2935" fillId="0" borderId="0" xfId="0" applyFill="true" applyBorder="true" applyNumberFormat="true" applyFont="true"/>
    <xf numFmtId="0" fontId="2936" fillId="0" borderId="0" xfId="0" applyFill="true" applyBorder="true" applyNumberFormat="true" applyFont="true"/>
    <xf numFmtId="0" fontId="2937" fillId="0" borderId="0" xfId="0" applyFill="true" applyBorder="true" applyNumberFormat="true" applyFont="true"/>
    <xf numFmtId="0" fontId="2938" fillId="0" borderId="0" xfId="0" applyFill="true" applyBorder="true" applyNumberFormat="true" applyFont="true"/>
    <xf numFmtId="0" fontId="2939" fillId="0" borderId="0" xfId="0" applyFill="true" applyBorder="true" applyNumberFormat="true" applyFont="true"/>
    <xf numFmtId="0" fontId="2940" fillId="0" borderId="0" xfId="0" applyFill="true" applyBorder="true" applyNumberFormat="true" applyFont="true"/>
    <xf numFmtId="0" fontId="2941" fillId="0" borderId="0" xfId="0" applyFill="true" applyBorder="true" applyNumberFormat="true" applyFont="true"/>
    <xf numFmtId="0" fontId="2942" fillId="0" borderId="0" xfId="0" applyFill="true" applyBorder="true" applyNumberFormat="true" applyFont="true"/>
    <xf numFmtId="0" fontId="2943" fillId="0" borderId="0" xfId="0" applyFill="true" applyBorder="true" applyNumberFormat="true" applyFont="true"/>
    <xf numFmtId="0" fontId="2944" fillId="0" borderId="0" xfId="0" applyFill="true" applyBorder="true" applyNumberFormat="true" applyFont="true"/>
    <xf numFmtId="0" fontId="2945" fillId="0" borderId="0" xfId="0" applyFill="true" applyBorder="true" applyNumberFormat="true" applyFont="true"/>
    <xf numFmtId="0" fontId="2946" fillId="0" borderId="0" xfId="0" applyFill="true" applyBorder="true" applyNumberFormat="true" applyFont="true"/>
    <xf numFmtId="0" fontId="2947" fillId="0" borderId="0" xfId="0" applyFill="true" applyBorder="true" applyNumberFormat="true" applyFont="true"/>
    <xf numFmtId="0" fontId="2948" fillId="0" borderId="0" xfId="0" applyFill="true" applyBorder="true" applyNumberFormat="true" applyFont="true"/>
    <xf numFmtId="0" fontId="2949" fillId="0" borderId="0" xfId="0" applyFill="true" applyBorder="true" applyNumberFormat="true" applyFont="true"/>
    <xf numFmtId="0" fontId="2950" fillId="0" borderId="0" xfId="0" applyFill="true" applyBorder="true" applyNumberFormat="true" applyFont="true"/>
    <xf numFmtId="0" fontId="2951" fillId="0" borderId="0" xfId="0" applyFill="true" applyBorder="true" applyNumberFormat="true" applyFont="true"/>
    <xf numFmtId="0" fontId="2952" fillId="0" borderId="0" xfId="0" applyFill="true" applyBorder="true" applyNumberFormat="true" applyFont="true"/>
    <xf numFmtId="0" fontId="2953" fillId="0" borderId="0" xfId="0" applyFill="true" applyBorder="true" applyNumberFormat="true" applyFont="true"/>
    <xf numFmtId="0" fontId="2954" fillId="0" borderId="0" xfId="0" applyFill="true" applyBorder="true" applyNumberFormat="true" applyFont="true"/>
    <xf numFmtId="0" fontId="2955" fillId="0" borderId="0" xfId="0" applyFill="true" applyBorder="true" applyNumberFormat="true" applyFont="true"/>
    <xf numFmtId="0" fontId="2956" fillId="0" borderId="0" xfId="0" applyFill="true" applyBorder="true" applyNumberFormat="true" applyFont="true"/>
    <xf numFmtId="0" fontId="2957" fillId="0" borderId="0" xfId="0" applyFill="true" applyBorder="true" applyNumberFormat="true" applyFont="true"/>
    <xf numFmtId="0" fontId="2958" fillId="0" borderId="0" xfId="0" applyFill="true" applyBorder="true" applyNumberFormat="true" applyFont="true"/>
    <xf numFmtId="0" fontId="2959" fillId="0" borderId="0" xfId="0" applyFill="true" applyBorder="true" applyNumberFormat="true" applyFont="true"/>
    <xf numFmtId="0" fontId="2960" fillId="0" borderId="0" xfId="0" applyFill="true" applyBorder="true" applyNumberFormat="true" applyFont="true"/>
    <xf numFmtId="0" fontId="2961" fillId="0" borderId="0" xfId="0" applyFill="true" applyBorder="true" applyNumberFormat="true" applyFont="true"/>
    <xf numFmtId="0" fontId="2962" fillId="0" borderId="0" xfId="0" applyFill="true" applyBorder="true" applyNumberFormat="true" applyFont="true"/>
    <xf numFmtId="0" fontId="2963" fillId="0" borderId="0" xfId="0" applyFill="true" applyBorder="true" applyNumberFormat="true" applyFont="true"/>
    <xf numFmtId="0" fontId="2964" fillId="0" borderId="0" xfId="0" applyFill="true" applyBorder="true" applyNumberFormat="true" applyFont="true"/>
    <xf numFmtId="0" fontId="2965" fillId="0" borderId="0" xfId="0" applyFill="true" applyBorder="true" applyNumberFormat="true" applyFont="true"/>
    <xf numFmtId="0" fontId="2966" fillId="0" borderId="0" xfId="0" applyFill="true" applyBorder="true" applyNumberFormat="true" applyFont="true"/>
    <xf numFmtId="0" fontId="2967" fillId="0" borderId="0" xfId="0" applyFill="true" applyBorder="true" applyNumberFormat="true" applyFont="true"/>
    <xf numFmtId="0" fontId="2968" fillId="0" borderId="0" xfId="0" applyFill="true" applyBorder="true" applyNumberFormat="true" applyFont="true"/>
    <xf numFmtId="0" fontId="2969" fillId="0" borderId="0" xfId="0" applyFill="true" applyBorder="true" applyNumberFormat="true" applyFont="true"/>
    <xf numFmtId="0" fontId="2970" fillId="0" borderId="0" xfId="0" applyFill="true" applyBorder="true" applyNumberFormat="true" applyFont="true"/>
    <xf numFmtId="0" fontId="2971" fillId="0" borderId="0" xfId="0" applyFill="true" applyBorder="true" applyNumberFormat="true" applyFont="true"/>
    <xf numFmtId="0" fontId="2972" fillId="0" borderId="0" xfId="0" applyFill="true" applyBorder="true" applyNumberFormat="true" applyFont="true"/>
    <xf numFmtId="0" fontId="2973" fillId="0" borderId="0" xfId="0" applyFill="true" applyBorder="true" applyNumberFormat="true" applyFont="true"/>
    <xf numFmtId="0" fontId="2974" fillId="0" borderId="0" xfId="0" applyFill="true" applyBorder="true" applyNumberFormat="true" applyFont="true"/>
    <xf numFmtId="0" fontId="2975" fillId="0" borderId="0" xfId="0" applyFill="true" applyBorder="true" applyNumberFormat="true" applyFont="true"/>
    <xf numFmtId="0" fontId="2976" fillId="0" borderId="0" xfId="0" applyFill="true" applyBorder="true" applyNumberFormat="true" applyFont="true"/>
    <xf numFmtId="0" fontId="2977" fillId="0" borderId="0" xfId="0" applyFill="true" applyBorder="true" applyNumberFormat="true" applyFont="true"/>
    <xf numFmtId="0" fontId="2978" fillId="0" borderId="0" xfId="0" applyFill="true" applyBorder="true" applyNumberFormat="true" applyFont="true"/>
    <xf numFmtId="0" fontId="2979" fillId="0" borderId="0" xfId="0" applyFill="true" applyBorder="true" applyNumberFormat="true" applyFont="true"/>
    <xf numFmtId="0" fontId="2980" fillId="0" borderId="0" xfId="0" applyFill="true" applyBorder="true" applyNumberFormat="true" applyFont="true"/>
    <xf numFmtId="0" fontId="2981" fillId="0" borderId="0" xfId="0" applyFill="true" applyBorder="true" applyNumberFormat="true" applyFont="true"/>
    <xf numFmtId="0" fontId="2982" fillId="0" borderId="0" xfId="0" applyFill="true" applyBorder="true" applyNumberFormat="true" applyFont="true"/>
    <xf numFmtId="0" fontId="2983" fillId="0" borderId="0" xfId="0" applyFill="true" applyBorder="true" applyNumberFormat="true" applyFont="true"/>
    <xf numFmtId="0" fontId="2984" fillId="0" borderId="0" xfId="0" applyFill="true" applyBorder="true" applyNumberFormat="true" applyFont="true"/>
    <xf numFmtId="0" fontId="2985" fillId="0" borderId="0" xfId="0" applyFill="true" applyBorder="true" applyNumberFormat="true" applyFont="true"/>
    <xf numFmtId="0" fontId="2986" fillId="0" borderId="0" xfId="0" applyFill="true" applyBorder="true" applyNumberFormat="true" applyFont="true"/>
    <xf numFmtId="0" fontId="2987" fillId="0" borderId="0" xfId="0" applyFill="true" applyBorder="true" applyNumberFormat="true" applyFont="true"/>
    <xf numFmtId="0" fontId="2988" fillId="0" borderId="0" xfId="0" applyFill="true" applyBorder="true" applyNumberFormat="true" applyFont="true"/>
    <xf numFmtId="0" fontId="2989" fillId="0" borderId="0" xfId="0" applyFill="true" applyBorder="true" applyNumberFormat="true" applyFont="true"/>
    <xf numFmtId="0" fontId="2990" fillId="0" borderId="0" xfId="0" applyFill="true" applyBorder="true" applyNumberFormat="true" applyFont="true"/>
    <xf numFmtId="0" fontId="2991" fillId="0" borderId="0" xfId="0" applyFill="true" applyBorder="true" applyNumberFormat="true" applyFont="true"/>
    <xf numFmtId="0" fontId="2992" fillId="0" borderId="0" xfId="0" applyFill="true" applyBorder="true" applyNumberFormat="true" applyFont="true"/>
    <xf numFmtId="0" fontId="2993" fillId="0" borderId="0" xfId="0" applyFill="true" applyBorder="true" applyNumberFormat="true" applyFont="true"/>
    <xf numFmtId="0" fontId="2994" fillId="0" borderId="0" xfId="0" applyFill="true" applyBorder="true" applyNumberFormat="true" applyFont="true"/>
    <xf numFmtId="0" fontId="2995" fillId="0" borderId="0" xfId="0" applyFill="true" applyBorder="true" applyNumberFormat="true" applyFont="true"/>
    <xf numFmtId="0" fontId="2996" fillId="0" borderId="0" xfId="0" applyFill="true" applyBorder="true" applyNumberFormat="true" applyFont="true"/>
    <xf numFmtId="0" fontId="2997" fillId="0" borderId="0" xfId="0" applyFill="true" applyBorder="true" applyNumberFormat="true" applyFont="true"/>
    <xf numFmtId="0" fontId="2998" fillId="0" borderId="0" xfId="0" applyFill="true" applyBorder="true" applyNumberFormat="true" applyFont="true"/>
    <xf numFmtId="0" fontId="2999" fillId="0" borderId="0" xfId="0" applyFill="true" applyBorder="true" applyNumberFormat="true" applyFont="true"/>
    <xf numFmtId="0" fontId="3000" fillId="0" borderId="0" xfId="0" applyFill="true" applyBorder="true" applyNumberFormat="true" applyFont="true"/>
    <xf numFmtId="0" fontId="3001" fillId="0" borderId="0" xfId="0" applyFill="true" applyBorder="true" applyNumberFormat="true" applyFont="true"/>
    <xf numFmtId="0" fontId="3002" fillId="0" borderId="0" xfId="0" applyFill="true" applyBorder="true" applyNumberFormat="true" applyFont="true"/>
    <xf numFmtId="0" fontId="3003" fillId="0" borderId="0" xfId="0" applyFill="true" applyBorder="true" applyNumberFormat="true" applyFont="true"/>
    <xf numFmtId="0" fontId="3004" fillId="0" borderId="0" xfId="0" applyFill="true" applyBorder="true" applyNumberFormat="true" applyFont="true"/>
    <xf numFmtId="0" fontId="3005" fillId="0" borderId="0" xfId="0" applyFill="true" applyBorder="true" applyNumberFormat="true" applyFont="true"/>
    <xf numFmtId="0" fontId="3006" fillId="0" borderId="0" xfId="0" applyFill="true" applyBorder="true" applyNumberFormat="true" applyFont="true"/>
    <xf numFmtId="0" fontId="3007" fillId="0" borderId="0" xfId="0" applyFill="true" applyBorder="true" applyNumberFormat="true" applyFont="true"/>
    <xf numFmtId="0" fontId="3008" fillId="0" borderId="0" xfId="0" applyFill="true" applyBorder="true" applyNumberFormat="true" applyFont="true"/>
    <xf numFmtId="0" fontId="3009" fillId="0" borderId="0" xfId="0" applyFill="true" applyBorder="true" applyNumberFormat="true" applyFont="true"/>
    <xf numFmtId="0" fontId="3010" fillId="0" borderId="0" xfId="0" applyFill="true" applyBorder="true" applyNumberFormat="true" applyFont="true"/>
    <xf numFmtId="0" fontId="3011" fillId="0" borderId="0" xfId="0" applyFill="true" applyBorder="true" applyNumberFormat="true" applyFont="true"/>
    <xf numFmtId="0" fontId="3012" fillId="0" borderId="0" xfId="0" applyFill="true" applyBorder="true" applyNumberFormat="true" applyFont="true"/>
    <xf numFmtId="0" fontId="3013" fillId="0" borderId="0" xfId="0" applyFill="true" applyBorder="true" applyNumberFormat="true" applyFont="true"/>
    <xf numFmtId="0" fontId="3014" fillId="0" borderId="0" xfId="0" applyFill="true" applyBorder="true" applyNumberFormat="true" applyFont="true"/>
    <xf numFmtId="0" fontId="3015" fillId="0" borderId="0" xfId="0" applyFill="true" applyBorder="true" applyNumberFormat="true" applyFont="true"/>
    <xf numFmtId="0" fontId="3016" fillId="0" borderId="0" xfId="0" applyFill="true" applyBorder="true" applyNumberFormat="true" applyFont="true"/>
    <xf numFmtId="0" fontId="3017" fillId="0" borderId="0" xfId="0" applyFill="true" applyBorder="true" applyNumberFormat="true" applyFont="true"/>
    <xf numFmtId="0" fontId="3018" fillId="0" borderId="0" xfId="0" applyFill="true" applyBorder="true" applyNumberFormat="true" applyFont="true"/>
    <xf numFmtId="0" fontId="3019" fillId="0" borderId="0" xfId="0" applyFill="true" applyBorder="true" applyNumberFormat="true" applyFont="true"/>
    <xf numFmtId="0" fontId="3020" fillId="0" borderId="0" xfId="0" applyFill="true" applyBorder="true" applyNumberFormat="true" applyFont="true"/>
    <xf numFmtId="0" fontId="3021" fillId="0" borderId="0" xfId="0" applyFill="true" applyBorder="true" applyNumberFormat="true" applyFont="true"/>
    <xf numFmtId="0" fontId="3022" fillId="0" borderId="0" xfId="0" applyFill="true" applyBorder="true" applyNumberFormat="true" applyFont="true"/>
    <xf numFmtId="0" fontId="3023" fillId="0" borderId="0" xfId="0" applyFill="true" applyBorder="true" applyNumberFormat="true" applyFont="true"/>
    <xf numFmtId="0" fontId="3024" fillId="0" borderId="0" xfId="0" applyFill="true" applyBorder="true" applyNumberFormat="true" applyFont="true"/>
    <xf numFmtId="0" fontId="3025" fillId="0" borderId="0" xfId="0" applyFill="true" applyBorder="true" applyNumberFormat="true" applyFont="true"/>
    <xf numFmtId="0" fontId="3026" fillId="0" borderId="0" xfId="0" applyFill="true" applyBorder="true" applyNumberFormat="true" applyFont="true"/>
    <xf numFmtId="0" fontId="3027" fillId="0" borderId="0" xfId="0" applyFill="true" applyBorder="true" applyNumberFormat="true" applyFont="true"/>
    <xf numFmtId="0" fontId="3028" fillId="0" borderId="0" xfId="0" applyFill="true" applyBorder="true" applyNumberFormat="true" applyFont="true"/>
    <xf numFmtId="0" fontId="3029" fillId="0" borderId="0" xfId="0" applyFill="true" applyBorder="true" applyNumberFormat="true" applyFont="true"/>
    <xf numFmtId="0" fontId="3030" fillId="0" borderId="0" xfId="0" applyFill="true" applyBorder="true" applyNumberFormat="true" applyFont="true"/>
    <xf numFmtId="0" fontId="3031" fillId="0" borderId="0" xfId="0" applyFill="true" applyBorder="true" applyNumberFormat="true" applyFont="true"/>
    <xf numFmtId="0" fontId="3032" fillId="0" borderId="0" xfId="0" applyFill="true" applyBorder="true" applyNumberFormat="true" applyFont="true"/>
    <xf numFmtId="0" fontId="3033" fillId="0" borderId="0" xfId="0" applyFill="true" applyBorder="true" applyNumberFormat="true" applyFont="true"/>
    <xf numFmtId="0" fontId="3034" fillId="0" borderId="0" xfId="0" applyFill="true" applyBorder="true" applyNumberFormat="true" applyFont="true"/>
    <xf numFmtId="0" fontId="3035" fillId="0" borderId="0" xfId="0" applyFill="true" applyBorder="true" applyNumberFormat="true" applyFont="true"/>
    <xf numFmtId="0" fontId="3036" fillId="0" borderId="0" xfId="0" applyFill="true" applyBorder="true" applyNumberFormat="true" applyFont="true"/>
    <xf numFmtId="0" fontId="3037" fillId="0" borderId="0" xfId="0" applyFill="true" applyBorder="true" applyNumberFormat="true" applyFont="true"/>
    <xf numFmtId="0" fontId="3038" fillId="0" borderId="0" xfId="0" applyFill="true" applyBorder="true" applyNumberFormat="true" applyFont="true"/>
    <xf numFmtId="0" fontId="3039" fillId="0" borderId="0" xfId="0" applyFill="true" applyBorder="true" applyNumberFormat="true" applyFont="true"/>
    <xf numFmtId="0" fontId="3040" fillId="0" borderId="0" xfId="0" applyFill="true" applyBorder="true" applyNumberFormat="true" applyFont="true"/>
    <xf numFmtId="0" fontId="3041" fillId="0" borderId="0" xfId="0" applyFill="true" applyBorder="true" applyNumberFormat="true" applyFont="true"/>
    <xf numFmtId="0" fontId="3042" fillId="0" borderId="0" xfId="0" applyFill="true" applyBorder="true" applyNumberFormat="true" applyFont="true"/>
    <xf numFmtId="0" fontId="3043" fillId="0" borderId="0" xfId="0" applyFill="true" applyBorder="true" applyNumberFormat="true" applyFont="true"/>
    <xf numFmtId="0" fontId="3044" fillId="0" borderId="0" xfId="0" applyFill="true" applyBorder="true" applyNumberFormat="true" applyFont="true"/>
    <xf numFmtId="0" fontId="3045" fillId="0" borderId="0" xfId="0" applyFill="true" applyBorder="true" applyNumberFormat="true" applyFont="true"/>
    <xf numFmtId="0" fontId="3046" fillId="0" borderId="0" xfId="0" applyFill="true" applyBorder="true" applyNumberFormat="true" applyFont="true"/>
    <xf numFmtId="0" fontId="3047" fillId="0" borderId="0" xfId="0" applyFill="true" applyBorder="true" applyNumberFormat="true" applyFont="true"/>
    <xf numFmtId="0" fontId="3048" fillId="0" borderId="0" xfId="0" applyFill="true" applyBorder="true" applyNumberFormat="true" applyFont="true"/>
    <xf numFmtId="0" fontId="3049" fillId="0" borderId="0" xfId="0" applyFill="true" applyBorder="true" applyNumberFormat="true" applyFont="true"/>
    <xf numFmtId="0" fontId="3050" fillId="0" borderId="0" xfId="0" applyFill="true" applyBorder="true" applyNumberFormat="true" applyFont="true"/>
    <xf numFmtId="0" fontId="3051" fillId="0" borderId="0" xfId="0" applyFill="true" applyBorder="true" applyNumberFormat="true" applyFont="true"/>
    <xf numFmtId="0" fontId="3052" fillId="0" borderId="0" xfId="0" applyFill="true" applyBorder="true" applyNumberFormat="true" applyFont="true"/>
    <xf numFmtId="0" fontId="3053" fillId="0" borderId="0" xfId="0" applyFill="true" applyBorder="true" applyNumberFormat="true" applyFont="true"/>
    <xf numFmtId="0" fontId="3054" fillId="0" borderId="0" xfId="0" applyFill="true" applyBorder="true" applyNumberFormat="true" applyFont="true"/>
    <xf numFmtId="0" fontId="3055" fillId="0" borderId="0" xfId="0" applyFill="true" applyBorder="true" applyNumberFormat="true" applyFont="true"/>
    <xf numFmtId="0" fontId="3056" fillId="0" borderId="0" xfId="0" applyFill="true" applyBorder="true" applyNumberFormat="true" applyFont="true"/>
    <xf numFmtId="0" fontId="3057" fillId="0" borderId="0" xfId="0" applyFill="true" applyBorder="true" applyNumberFormat="true" applyFont="true"/>
    <xf numFmtId="0" fontId="3058" fillId="0" borderId="0" xfId="0" applyFill="true" applyBorder="true" applyNumberFormat="true" applyFont="true"/>
    <xf numFmtId="0" fontId="3059" fillId="0" borderId="0" xfId="0" applyFill="true" applyBorder="true" applyNumberFormat="true" applyFont="true"/>
    <xf numFmtId="0" fontId="3060" fillId="0" borderId="0" xfId="0" applyFill="true" applyBorder="true" applyNumberFormat="true" applyFont="true"/>
    <xf numFmtId="0" fontId="3061" fillId="0" borderId="0" xfId="0" applyFill="true" applyBorder="true" applyNumberFormat="true" applyFont="true"/>
    <xf numFmtId="0" fontId="3062" fillId="0" borderId="0" xfId="0" applyFill="true" applyBorder="true" applyNumberFormat="true" applyFont="true"/>
    <xf numFmtId="0" fontId="3063" fillId="0" borderId="0" xfId="0" applyFill="true" applyBorder="true" applyNumberFormat="true" applyFont="true"/>
    <xf numFmtId="0" fontId="3064" fillId="0" borderId="0" xfId="0" applyFill="true" applyBorder="true" applyNumberFormat="true" applyFont="true"/>
    <xf numFmtId="0" fontId="3065" fillId="0" borderId="0" xfId="0" applyFill="true" applyBorder="true" applyNumberFormat="true" applyFont="true"/>
    <xf numFmtId="0" fontId="3066" fillId="0" borderId="0" xfId="0" applyFill="true" applyBorder="true" applyNumberFormat="true" applyFont="true"/>
    <xf numFmtId="0" fontId="3067" fillId="0" borderId="0" xfId="0" applyFill="true" applyBorder="true" applyNumberFormat="true" applyFont="true"/>
    <xf numFmtId="0" fontId="3068" fillId="0" borderId="0" xfId="0" applyFill="true" applyBorder="true" applyNumberFormat="true" applyFont="true"/>
    <xf numFmtId="0" fontId="3069" fillId="0" borderId="0" xfId="0" applyFill="true" applyBorder="true" applyNumberFormat="true" applyFont="true"/>
    <xf numFmtId="0" fontId="3070" fillId="0" borderId="0" xfId="0" applyFill="true" applyBorder="true" applyNumberFormat="true" applyFont="true"/>
    <xf numFmtId="0" fontId="3071" fillId="0" borderId="0" xfId="0" applyFill="true" applyBorder="true" applyNumberFormat="true" applyFont="true"/>
    <xf numFmtId="0" fontId="3072" fillId="0" borderId="0" xfId="0" applyFill="true" applyBorder="true" applyNumberFormat="true" applyFont="true"/>
    <xf numFmtId="0" fontId="3073" fillId="0" borderId="0" xfId="0" applyFill="true" applyBorder="true" applyNumberFormat="true" applyFont="true"/>
    <xf numFmtId="0" fontId="3074" fillId="0" borderId="0" xfId="0" applyFill="true" applyBorder="true" applyNumberFormat="true" applyFont="true"/>
    <xf numFmtId="0" fontId="3075" fillId="0" borderId="0" xfId="0" applyFill="true" applyBorder="true" applyNumberFormat="true" applyFont="true"/>
    <xf numFmtId="0" fontId="3076" fillId="0" borderId="0" xfId="0" applyFill="true" applyBorder="true" applyNumberFormat="true" applyFont="true"/>
    <xf numFmtId="0" fontId="3077" fillId="0" borderId="0" xfId="0" applyFill="true" applyBorder="true" applyNumberFormat="true" applyFont="true"/>
    <xf numFmtId="0" fontId="3078" fillId="0" borderId="0" xfId="0" applyFill="true" applyBorder="true" applyNumberFormat="true" applyFont="true"/>
    <xf numFmtId="0" fontId="3079" fillId="0" borderId="0" xfId="0" applyFill="true" applyBorder="true" applyNumberFormat="true" applyFont="true"/>
    <xf numFmtId="0" fontId="3080" fillId="0" borderId="0" xfId="0" applyFill="true" applyBorder="true" applyNumberFormat="true" applyFont="true"/>
    <xf numFmtId="0" fontId="3081" fillId="0" borderId="0" xfId="0" applyFill="true" applyBorder="true" applyNumberFormat="true" applyFont="true"/>
    <xf numFmtId="0" fontId="3082" fillId="0" borderId="0" xfId="0" applyFill="true" applyBorder="true" applyNumberFormat="true" applyFont="true"/>
    <xf numFmtId="0" fontId="3083" fillId="0" borderId="0" xfId="0" applyFill="true" applyBorder="true" applyNumberFormat="true" applyFont="true"/>
    <xf numFmtId="0" fontId="3084" fillId="0" borderId="0" xfId="0" applyFill="true" applyBorder="true" applyNumberFormat="true" applyFont="true"/>
    <xf numFmtId="0" fontId="3085" fillId="0" borderId="0" xfId="0" applyFill="true" applyBorder="true" applyNumberFormat="true" applyFont="true"/>
    <xf numFmtId="0" fontId="3086" fillId="0" borderId="0" xfId="0" applyFill="true" applyBorder="true" applyNumberFormat="true" applyFont="true"/>
    <xf numFmtId="0" fontId="3087" fillId="0" borderId="0" xfId="0" applyFill="true" applyBorder="true" applyNumberFormat="true" applyFont="true"/>
    <xf numFmtId="0" fontId="3088" fillId="0" borderId="0" xfId="0" applyFill="true" applyBorder="true" applyNumberFormat="true" applyFont="true"/>
    <xf numFmtId="0" fontId="3089" fillId="0" borderId="0" xfId="0" applyFill="true" applyBorder="true" applyNumberFormat="true" applyFont="true"/>
    <xf numFmtId="0" fontId="3090" fillId="0" borderId="0" xfId="0" applyFill="true" applyBorder="true" applyNumberFormat="true" applyFont="true"/>
    <xf numFmtId="0" fontId="3091" fillId="0" borderId="0" xfId="0" applyFill="true" applyBorder="true" applyNumberFormat="true" applyFont="true"/>
    <xf numFmtId="0" fontId="3092" fillId="0" borderId="0" xfId="0" applyFill="true" applyBorder="true" applyNumberFormat="true" applyFont="true"/>
    <xf numFmtId="0" fontId="3093" fillId="0" borderId="0" xfId="0" applyFill="true" applyBorder="true" applyNumberFormat="true" applyFont="true"/>
    <xf numFmtId="0" fontId="3094" fillId="0" borderId="0" xfId="0" applyFill="true" applyBorder="true" applyNumberFormat="true" applyFont="true"/>
    <xf numFmtId="0" fontId="3095" fillId="0" borderId="0" xfId="0" applyFill="true" applyBorder="true" applyNumberFormat="true" applyFont="true"/>
    <xf numFmtId="0" fontId="3096" fillId="0" borderId="0" xfId="0" applyFill="true" applyBorder="true" applyNumberFormat="true" applyFont="true"/>
    <xf numFmtId="0" fontId="3097" fillId="0" borderId="0" xfId="0" applyFill="true" applyBorder="true" applyNumberFormat="true" applyFont="true"/>
    <xf numFmtId="0" fontId="3098" fillId="0" borderId="0" xfId="0" applyFill="true" applyBorder="true" applyNumberFormat="true" applyFont="true"/>
    <xf numFmtId="0" fontId="3099" fillId="0" borderId="0" xfId="0" applyFill="true" applyBorder="true" applyNumberFormat="true" applyFont="true"/>
    <xf numFmtId="0" fontId="3100" fillId="0" borderId="0" xfId="0" applyFill="true" applyBorder="true" applyNumberFormat="true" applyFont="true"/>
    <xf numFmtId="0" fontId="3101" fillId="0" borderId="0" xfId="0" applyFill="true" applyBorder="true" applyNumberFormat="true" applyFont="true"/>
    <xf numFmtId="0" fontId="3102" fillId="0" borderId="0" xfId="0" applyFill="true" applyBorder="true" applyNumberFormat="true" applyFont="true"/>
    <xf numFmtId="0" fontId="3103" fillId="0" borderId="0" xfId="0" applyFill="true" applyBorder="true" applyNumberFormat="true" applyFont="true"/>
    <xf numFmtId="0" fontId="3104" fillId="0" borderId="0" xfId="0" applyFill="true" applyBorder="true" applyNumberFormat="true" applyFont="true"/>
    <xf numFmtId="0" fontId="3105" fillId="0" borderId="0" xfId="0" applyFill="true" applyBorder="true" applyNumberFormat="true" applyFont="true"/>
    <xf numFmtId="0" fontId="3106" fillId="0" borderId="0" xfId="0" applyFill="true" applyBorder="true" applyNumberFormat="true" applyFont="true"/>
    <xf numFmtId="0" fontId="3107" fillId="0" borderId="0" xfId="0" applyFill="true" applyBorder="true" applyNumberFormat="true" applyFont="true"/>
    <xf numFmtId="0" fontId="3108" fillId="0" borderId="0" xfId="0" applyFill="true" applyBorder="true" applyNumberFormat="true" applyFont="true"/>
    <xf numFmtId="0" fontId="3109" fillId="0" borderId="0" xfId="0" applyFill="true" applyBorder="true" applyNumberFormat="true" applyFont="true"/>
    <xf numFmtId="0" fontId="3110" fillId="0" borderId="0" xfId="0" applyFill="true" applyBorder="true" applyNumberFormat="true" applyFont="true"/>
    <xf numFmtId="0" fontId="3111" fillId="0" borderId="0" xfId="0" applyFill="true" applyBorder="true" applyNumberFormat="true" applyFont="true"/>
    <xf numFmtId="0" fontId="3112" fillId="0" borderId="0" xfId="0" applyFill="true" applyBorder="true" applyNumberFormat="true" applyFont="true"/>
    <xf numFmtId="0" fontId="3113" fillId="0" borderId="0" xfId="0" applyFill="true" applyBorder="true" applyNumberFormat="true" applyFont="true"/>
    <xf numFmtId="0" fontId="3114" fillId="0" borderId="0" xfId="0" applyFill="true" applyBorder="true" applyNumberFormat="true" applyFont="true"/>
    <xf numFmtId="0" fontId="3115" fillId="0" borderId="0" xfId="0" applyFill="true" applyBorder="true" applyNumberFormat="true" applyFont="true"/>
    <xf numFmtId="0" fontId="3116" fillId="0" borderId="0" xfId="0" applyFill="true" applyBorder="true" applyNumberFormat="true" applyFont="true"/>
    <xf numFmtId="0" fontId="3117" fillId="0" borderId="0" xfId="0" applyFill="true" applyBorder="true" applyNumberFormat="true" applyFont="true"/>
    <xf numFmtId="0" fontId="3118" fillId="0" borderId="0" xfId="0" applyFill="true" applyBorder="true" applyNumberFormat="true" applyFont="true"/>
    <xf numFmtId="0" fontId="3119" fillId="0" borderId="0" xfId="0" applyFill="true" applyBorder="true" applyNumberFormat="true" applyFont="true"/>
    <xf numFmtId="0" fontId="3120" fillId="0" borderId="0" xfId="0" applyFill="true" applyBorder="true" applyNumberFormat="true" applyFont="true"/>
    <xf numFmtId="0" fontId="3121" fillId="0" borderId="0" xfId="0" applyFill="true" applyBorder="true" applyNumberFormat="true" applyFont="true"/>
    <xf numFmtId="0" fontId="3122" fillId="0" borderId="0" xfId="0" applyFill="true" applyBorder="true" applyNumberFormat="true" applyFont="true"/>
    <xf numFmtId="0" fontId="3123" fillId="0" borderId="0" xfId="0" applyFill="true" applyBorder="true" applyNumberFormat="true" applyFont="true"/>
    <xf numFmtId="0" fontId="3124" fillId="0" borderId="0" xfId="0" applyFill="true" applyBorder="true" applyNumberFormat="true" applyFont="true"/>
    <xf numFmtId="0" fontId="3125" fillId="0" borderId="0" xfId="0" applyFill="true" applyBorder="true" applyNumberFormat="true" applyFont="true"/>
    <xf numFmtId="0" fontId="3126" fillId="0" borderId="0" xfId="0" applyFill="true" applyBorder="true" applyNumberFormat="true" applyFont="true"/>
    <xf numFmtId="0" fontId="3127" fillId="0" borderId="0" xfId="0" applyFill="true" applyBorder="true" applyNumberFormat="true" applyFont="true"/>
    <xf numFmtId="0" fontId="3128" fillId="0" borderId="0" xfId="0" applyFill="true" applyBorder="true" applyNumberFormat="true" applyFont="true"/>
    <xf numFmtId="0" fontId="3129" fillId="0" borderId="0" xfId="0" applyFill="true" applyBorder="true" applyNumberFormat="true" applyFont="true"/>
    <xf numFmtId="0" fontId="3130" fillId="0" borderId="0" xfId="0" applyFill="true" applyBorder="true" applyNumberFormat="true" applyFont="true"/>
    <xf numFmtId="0" fontId="3131" fillId="0" borderId="0" xfId="0" applyFill="true" applyBorder="true" applyNumberFormat="true" applyFont="true"/>
    <xf numFmtId="0" fontId="3132" fillId="0" borderId="0" xfId="0" applyFill="true" applyBorder="true" applyNumberFormat="true" applyFont="true"/>
    <xf numFmtId="0" fontId="3133" fillId="0" borderId="0" xfId="0" applyFill="true" applyBorder="true" applyNumberFormat="true" applyFont="true"/>
    <xf numFmtId="0" fontId="3134" fillId="0" borderId="0" xfId="0" applyFill="true" applyBorder="true" applyNumberFormat="true" applyFont="true"/>
    <xf numFmtId="0" fontId="3135" fillId="0" borderId="0" xfId="0" applyFill="true" applyBorder="true" applyNumberFormat="true" applyFont="true"/>
    <xf numFmtId="0" fontId="3136" fillId="0" borderId="0" xfId="0" applyFill="true" applyBorder="true" applyNumberFormat="true" applyFont="true"/>
    <xf numFmtId="0" fontId="3137" fillId="0" borderId="0" xfId="0" applyFill="true" applyBorder="true" applyNumberFormat="true" applyFont="true"/>
    <xf numFmtId="0" fontId="3138" fillId="0" borderId="0" xfId="0" applyFill="true" applyBorder="true" applyNumberFormat="true" applyFont="true"/>
    <xf numFmtId="0" fontId="3139" fillId="0" borderId="0" xfId="0" applyFill="true" applyBorder="true" applyNumberFormat="true" applyFont="true"/>
    <xf numFmtId="0" fontId="3140" fillId="0" borderId="0" xfId="0" applyFill="true" applyBorder="true" applyNumberFormat="true" applyFont="true"/>
    <xf numFmtId="0" fontId="3141" fillId="0" borderId="0" xfId="0" applyFill="true" applyBorder="true" applyNumberFormat="true" applyFont="true"/>
    <xf numFmtId="0" fontId="3142" fillId="0" borderId="0" xfId="0" applyFill="true" applyBorder="true" applyNumberFormat="true" applyFont="true"/>
    <xf numFmtId="0" fontId="3143" fillId="0" borderId="0" xfId="0" applyFill="true" applyBorder="true" applyNumberFormat="true" applyFont="true"/>
    <xf numFmtId="0" fontId="3144" fillId="0" borderId="0" xfId="0" applyFill="true" applyBorder="true" applyNumberFormat="true" applyFont="true"/>
    <xf numFmtId="0" fontId="3145" fillId="0" borderId="0" xfId="0" applyFill="true" applyBorder="true" applyNumberFormat="true" applyFont="true"/>
    <xf numFmtId="0" fontId="3146" fillId="0" borderId="0" xfId="0" applyFill="true" applyBorder="true" applyNumberFormat="true" applyFont="true"/>
    <xf numFmtId="0" fontId="3147" fillId="0" borderId="0" xfId="0" applyFill="true" applyBorder="true" applyNumberFormat="true" applyFont="true"/>
    <xf numFmtId="0" fontId="3148" fillId="0" borderId="0" xfId="0" applyFill="true" applyBorder="true" applyNumberFormat="true" applyFont="true"/>
    <xf numFmtId="0" fontId="3149" fillId="0" borderId="0" xfId="0" applyFill="true" applyBorder="true" applyNumberFormat="true" applyFont="true"/>
    <xf numFmtId="0" fontId="3150" fillId="0" borderId="0" xfId="0" applyFill="true" applyBorder="true" applyNumberFormat="true" applyFont="true"/>
    <xf numFmtId="0" fontId="3151" fillId="0" borderId="0" xfId="0" applyFill="true" applyBorder="true" applyNumberFormat="true" applyFont="true"/>
    <xf numFmtId="0" fontId="3152" fillId="0" borderId="0" xfId="0" applyFill="true" applyBorder="true" applyNumberFormat="true" applyFont="true"/>
    <xf numFmtId="0" fontId="3153" fillId="0" borderId="0" xfId="0" applyFill="true" applyBorder="true" applyNumberFormat="true" applyFont="true"/>
    <xf numFmtId="0" fontId="3154" fillId="0" borderId="0" xfId="0" applyFill="true" applyBorder="true" applyNumberFormat="true" applyFont="true"/>
    <xf numFmtId="0" fontId="3155" fillId="0" borderId="0" xfId="0" applyFill="true" applyBorder="true" applyNumberFormat="true" applyFont="true"/>
    <xf numFmtId="0" fontId="3156" fillId="0" borderId="0" xfId="0" applyFill="true" applyBorder="true" applyNumberFormat="true" applyFont="true"/>
    <xf numFmtId="0" fontId="3157" fillId="0" borderId="0" xfId="0" applyFill="true" applyBorder="true" applyNumberFormat="true" applyFont="true"/>
    <xf numFmtId="0" fontId="3158" fillId="0" borderId="0" xfId="0" applyFill="true" applyBorder="true" applyNumberFormat="true" applyFont="true"/>
    <xf numFmtId="0" fontId="3159" fillId="0" borderId="0" xfId="0" applyFill="true" applyBorder="true" applyNumberFormat="true" applyFont="true"/>
    <xf numFmtId="0" fontId="3160" fillId="0" borderId="0" xfId="0" applyFill="true" applyBorder="true" applyNumberFormat="true" applyFont="true"/>
    <xf numFmtId="0" fontId="3161" fillId="0" borderId="0" xfId="0" applyFill="true" applyBorder="true" applyNumberFormat="true" applyFont="true"/>
    <xf numFmtId="0" fontId="3162" fillId="0" borderId="0" xfId="0" applyFill="true" applyBorder="true" applyNumberFormat="true" applyFont="true"/>
    <xf numFmtId="0" fontId="3163" fillId="0" borderId="0" xfId="0" applyFill="true" applyBorder="true" applyNumberFormat="true" applyFont="true"/>
    <xf numFmtId="0" fontId="3164" fillId="0" borderId="0" xfId="0" applyFill="true" applyBorder="true" applyNumberFormat="true" applyFont="true"/>
    <xf numFmtId="0" fontId="3165" fillId="0" borderId="0" xfId="0" applyFill="true" applyBorder="true" applyNumberFormat="true" applyFont="true"/>
    <xf numFmtId="0" fontId="3166" fillId="0" borderId="0" xfId="0" applyFill="true" applyBorder="true" applyNumberFormat="true" applyFont="true"/>
    <xf numFmtId="0" fontId="3167" fillId="0" borderId="0" xfId="0" applyFill="true" applyBorder="true" applyNumberFormat="true" applyFont="true"/>
    <xf numFmtId="0" fontId="3168" fillId="0" borderId="0" xfId="0" applyFill="true" applyBorder="true" applyNumberFormat="true" applyFont="true"/>
    <xf numFmtId="0" fontId="3169" fillId="0" borderId="0" xfId="0" applyFill="true" applyBorder="true" applyNumberFormat="true" applyFont="true"/>
    <xf numFmtId="0" fontId="3170" fillId="0" borderId="0" xfId="0" applyFill="true" applyBorder="true" applyNumberFormat="true" applyFont="true"/>
    <xf numFmtId="0" fontId="3171" fillId="0" borderId="0" xfId="0" applyFill="true" applyBorder="true" applyNumberFormat="true" applyFont="true"/>
    <xf numFmtId="0" fontId="3172" fillId="0" borderId="0" xfId="0" applyFill="true" applyBorder="true" applyNumberFormat="true" applyFont="true"/>
    <xf numFmtId="0" fontId="3173" fillId="0" borderId="0" xfId="0" applyFill="true" applyBorder="true" applyNumberFormat="true" applyFont="true"/>
    <xf numFmtId="0" fontId="3174" fillId="0" borderId="0" xfId="0" applyFill="true" applyBorder="true" applyNumberFormat="true" applyFont="true"/>
    <xf numFmtId="0" fontId="3175" fillId="0" borderId="0" xfId="0" applyFill="true" applyBorder="true" applyNumberFormat="true" applyFont="true"/>
    <xf numFmtId="0" fontId="3176" fillId="0" borderId="0" xfId="0" applyFill="true" applyBorder="true" applyNumberFormat="true" applyFont="true"/>
    <xf numFmtId="0" fontId="3177" fillId="0" borderId="0" xfId="0" applyFill="true" applyBorder="true" applyNumberFormat="true" applyFont="true"/>
    <xf numFmtId="0" fontId="3178" fillId="0" borderId="0" xfId="0" applyFill="true" applyBorder="true" applyNumberFormat="true" applyFont="true"/>
    <xf numFmtId="0" fontId="3179" fillId="0" borderId="0" xfId="0" applyFill="true" applyBorder="true" applyNumberFormat="true" applyFont="true"/>
    <xf numFmtId="0" fontId="3180" fillId="0" borderId="0" xfId="0" applyFill="true" applyBorder="true" applyNumberFormat="true" applyFont="true"/>
    <xf numFmtId="0" fontId="3181" fillId="0" borderId="0" xfId="0" applyFill="true" applyBorder="true" applyNumberFormat="true" applyFont="true"/>
    <xf numFmtId="0" fontId="3182" fillId="0" borderId="0" xfId="0" applyFill="true" applyBorder="true" applyNumberFormat="true" applyFont="true"/>
    <xf numFmtId="0" fontId="3183" fillId="0" borderId="0" xfId="0" applyFill="true" applyBorder="true" applyNumberFormat="true" applyFont="true"/>
    <xf numFmtId="0" fontId="3184" fillId="0" borderId="0" xfId="0" applyFill="true" applyBorder="true" applyNumberFormat="true" applyFont="true"/>
    <xf numFmtId="0" fontId="3185" fillId="0" borderId="0" xfId="0" applyFill="true" applyBorder="true" applyNumberFormat="true" applyFont="true"/>
    <xf numFmtId="0" fontId="3186" fillId="0" borderId="0" xfId="0" applyFill="true" applyBorder="true" applyNumberFormat="true" applyFont="true"/>
    <xf numFmtId="0" fontId="3187" fillId="0" borderId="0" xfId="0" applyFill="true" applyBorder="true" applyNumberFormat="true" applyFont="true"/>
    <xf numFmtId="0" fontId="3188" fillId="0" borderId="0" xfId="0" applyFill="true" applyBorder="true" applyNumberFormat="true" applyFont="true"/>
    <xf numFmtId="0" fontId="3189" fillId="0" borderId="0" xfId="0" applyFill="true" applyBorder="true" applyNumberFormat="true" applyFont="true"/>
    <xf numFmtId="0" fontId="3190" fillId="0" borderId="0" xfId="0" applyFill="true" applyBorder="true" applyNumberFormat="true" applyFont="true"/>
    <xf numFmtId="0" fontId="3191" fillId="0" borderId="0" xfId="0" applyFill="true" applyBorder="true" applyNumberFormat="true" applyFont="true"/>
    <xf numFmtId="0" fontId="3192" fillId="0" borderId="0" xfId="0" applyFill="true" applyBorder="true" applyNumberFormat="true" applyFont="true"/>
    <xf numFmtId="0" fontId="3193" fillId="0" borderId="0" xfId="0" applyFill="true" applyBorder="true" applyNumberFormat="true" applyFont="true"/>
    <xf numFmtId="0" fontId="3194" fillId="0" borderId="0" xfId="0" applyFill="true" applyBorder="true" applyNumberFormat="true" applyFont="true"/>
    <xf numFmtId="0" fontId="3195" fillId="0" borderId="0" xfId="0" applyFill="true" applyBorder="true" applyNumberFormat="true" applyFont="true"/>
    <xf numFmtId="0" fontId="3196" fillId="0" borderId="0" xfId="0" applyFill="true" applyBorder="true" applyNumberFormat="true" applyFont="true"/>
    <xf numFmtId="0" fontId="3197" fillId="0" borderId="0" xfId="0" applyFill="true" applyBorder="true" applyNumberFormat="true" applyFont="true"/>
    <xf numFmtId="0" fontId="3198" fillId="0" borderId="0" xfId="0" applyFill="true" applyBorder="true" applyNumberFormat="true" applyFont="true"/>
    <xf numFmtId="0" fontId="3199" fillId="0" borderId="0" xfId="0" applyFill="true" applyBorder="true" applyNumberFormat="true" applyFont="true"/>
    <xf numFmtId="0" fontId="3200" fillId="0" borderId="0" xfId="0" applyFill="true" applyBorder="true" applyNumberFormat="true" applyFont="true"/>
    <xf numFmtId="0" fontId="3201" fillId="0" borderId="0" xfId="0" applyFill="true" applyBorder="true" applyNumberFormat="true" applyFont="true"/>
    <xf numFmtId="0" fontId="3202" fillId="0" borderId="0" xfId="0" applyFill="true" applyBorder="true" applyNumberFormat="true" applyFont="true"/>
    <xf numFmtId="0" fontId="3203" fillId="0" borderId="0" xfId="0" applyFill="true" applyBorder="true" applyNumberFormat="true" applyFont="true"/>
    <xf numFmtId="0" fontId="3204" fillId="0" borderId="0" xfId="0" applyFill="true" applyBorder="true" applyNumberFormat="true" applyFont="true"/>
    <xf numFmtId="0" fontId="3205" fillId="0" borderId="0" xfId="0" applyFill="true" applyBorder="true" applyNumberFormat="true" applyFont="true"/>
    <xf numFmtId="0" fontId="3206" fillId="0" borderId="0" xfId="0" applyFill="true" applyBorder="true" applyNumberFormat="true" applyFont="true"/>
    <xf numFmtId="0" fontId="3207" fillId="0" borderId="0" xfId="0" applyFill="true" applyBorder="true" applyNumberFormat="true" applyFont="true"/>
    <xf numFmtId="0" fontId="3208" fillId="0" borderId="0" xfId="0" applyFill="true" applyBorder="true" applyNumberFormat="true" applyFont="true"/>
    <xf numFmtId="0" fontId="3209" fillId="0" borderId="0" xfId="0" applyFill="true" applyBorder="true" applyNumberFormat="true" applyFont="true"/>
    <xf numFmtId="0" fontId="3210" fillId="0" borderId="0" xfId="0" applyFill="true" applyBorder="true" applyNumberFormat="true" applyFont="true"/>
    <xf numFmtId="0" fontId="3211" fillId="0" borderId="0" xfId="0" applyFill="true" applyBorder="true" applyNumberFormat="true" applyFont="true"/>
    <xf numFmtId="0" fontId="3212" fillId="0" borderId="0" xfId="0" applyFill="true" applyBorder="true" applyNumberFormat="true" applyFont="true"/>
    <xf numFmtId="0" fontId="3213" fillId="0" borderId="0" xfId="0" applyFill="true" applyBorder="true" applyNumberFormat="true" applyFont="true"/>
    <xf numFmtId="0" fontId="3214" fillId="0" borderId="0" xfId="0" applyFill="true" applyBorder="true" applyNumberFormat="true" applyFont="true"/>
    <xf numFmtId="0" fontId="3215" fillId="0" borderId="0" xfId="0" applyFill="true" applyBorder="true" applyNumberFormat="true" applyFont="true"/>
    <xf numFmtId="0" fontId="3216" fillId="0" borderId="0" xfId="0" applyFill="true" applyBorder="true" applyNumberFormat="true" applyFont="true"/>
    <xf numFmtId="0" fontId="3217" fillId="0" borderId="0" xfId="0" applyFill="true" applyBorder="true" applyNumberFormat="true" applyFont="true"/>
    <xf numFmtId="0" fontId="3218" fillId="0" borderId="0" xfId="0" applyFill="true" applyBorder="true" applyNumberFormat="true" applyFont="true"/>
    <xf numFmtId="0" fontId="3219" fillId="0" borderId="0" xfId="0" applyFill="true" applyBorder="true" applyNumberFormat="true" applyFont="true"/>
    <xf numFmtId="0" fontId="3220" fillId="0" borderId="0" xfId="0" applyFill="true" applyBorder="true" applyNumberFormat="true" applyFont="true"/>
    <xf numFmtId="0" fontId="3221" fillId="0" borderId="0" xfId="0" applyFill="true" applyBorder="true" applyNumberFormat="true" applyFont="true"/>
    <xf numFmtId="0" fontId="3222" fillId="0" borderId="0" xfId="0" applyFill="true" applyBorder="true" applyNumberFormat="true" applyFont="true"/>
    <xf numFmtId="0" fontId="3223" fillId="0" borderId="0" xfId="0" applyFill="true" applyBorder="true" applyNumberFormat="true" applyFont="true"/>
    <xf numFmtId="0" fontId="3224" fillId="0" borderId="0" xfId="0" applyFill="true" applyBorder="true" applyNumberFormat="true" applyFont="true"/>
    <xf numFmtId="0" fontId="3225" fillId="0" borderId="0" xfId="0" applyFill="true" applyBorder="true" applyNumberFormat="true" applyFont="true"/>
    <xf numFmtId="0" fontId="3226" fillId="0" borderId="0" xfId="0" applyFill="true" applyBorder="true" applyNumberFormat="true" applyFont="true"/>
    <xf numFmtId="0" fontId="3227" fillId="0" borderId="0" xfId="0" applyFill="true" applyBorder="true" applyNumberFormat="true" applyFont="true"/>
    <xf numFmtId="0" fontId="3228" fillId="0" borderId="0" xfId="0" applyFill="true" applyBorder="true" applyNumberFormat="true" applyFont="true"/>
    <xf numFmtId="0" fontId="3229" fillId="0" borderId="0" xfId="0" applyFill="true" applyBorder="true" applyNumberFormat="true" applyFont="true"/>
    <xf numFmtId="0" fontId="3230" fillId="0" borderId="0" xfId="0" applyFill="true" applyBorder="true" applyNumberFormat="true" applyFont="true"/>
    <xf numFmtId="0" fontId="3231" fillId="0" borderId="0" xfId="0" applyFill="true" applyBorder="true" applyNumberFormat="true" applyFont="true"/>
    <xf numFmtId="0" fontId="3232" fillId="0" borderId="0" xfId="0" applyFill="true" applyBorder="true" applyNumberFormat="true" applyFont="true"/>
    <xf numFmtId="0" fontId="3233" fillId="0" borderId="0" xfId="0" applyFill="true" applyBorder="true" applyNumberFormat="true" applyFont="true"/>
    <xf numFmtId="0" fontId="3234" fillId="0" borderId="0" xfId="0" applyFill="true" applyBorder="true" applyNumberFormat="true" applyFont="true"/>
    <xf numFmtId="0" fontId="3235" fillId="0" borderId="0" xfId="0" applyFill="true" applyBorder="true" applyNumberFormat="true" applyFont="true"/>
    <xf numFmtId="0" fontId="3236" fillId="0" borderId="0" xfId="0" applyFill="true" applyBorder="true" applyNumberFormat="true" applyFont="true"/>
    <xf numFmtId="0" fontId="3237" fillId="0" borderId="0" xfId="0" applyFill="true" applyBorder="true" applyNumberFormat="true" applyFont="true"/>
    <xf numFmtId="0" fontId="3238" fillId="0" borderId="0" xfId="0" applyFill="true" applyBorder="true" applyNumberFormat="true" applyFont="true"/>
    <xf numFmtId="0" fontId="3239" fillId="0" borderId="0" xfId="0" applyFill="true" applyBorder="true" applyNumberFormat="true" applyFont="true"/>
    <xf numFmtId="0" fontId="3240" fillId="0" borderId="0" xfId="0" applyFill="true" applyBorder="true" applyNumberFormat="true" applyFont="true"/>
    <xf numFmtId="0" fontId="3241" fillId="0" borderId="0" xfId="0" applyFill="true" applyBorder="true" applyNumberFormat="true" applyFont="true"/>
    <xf numFmtId="0" fontId="3242" fillId="0" borderId="0" xfId="0" applyFill="true" applyBorder="true" applyNumberFormat="true" applyFont="true"/>
    <xf numFmtId="0" fontId="3243" fillId="0" borderId="0" xfId="0" applyFill="true" applyBorder="true" applyNumberFormat="true" applyFont="true"/>
    <xf numFmtId="0" fontId="3244" fillId="0" borderId="0" xfId="0" applyFill="true" applyBorder="true" applyNumberFormat="true" applyFont="true"/>
    <xf numFmtId="0" fontId="3245" fillId="0" borderId="0" xfId="0" applyFill="true" applyBorder="true" applyNumberFormat="true" applyFont="true"/>
    <xf numFmtId="0" fontId="3246" fillId="0" borderId="0" xfId="0" applyFill="true" applyBorder="true" applyNumberFormat="true" applyFont="true"/>
    <xf numFmtId="0" fontId="3247" fillId="0" borderId="0" xfId="0" applyFill="true" applyBorder="true" applyNumberFormat="true" applyFont="true"/>
    <xf numFmtId="0" fontId="3248" fillId="0" borderId="0" xfId="0" applyFill="true" applyBorder="true" applyNumberFormat="true" applyFont="true"/>
    <xf numFmtId="0" fontId="3249" fillId="0" borderId="0" xfId="0" applyFill="true" applyBorder="true" applyNumberFormat="true" applyFont="true"/>
    <xf numFmtId="0" fontId="3250" fillId="0" borderId="0" xfId="0" applyFill="true" applyBorder="true" applyNumberFormat="true" applyFont="true"/>
    <xf numFmtId="0" fontId="3251" fillId="0" borderId="0" xfId="0" applyFill="true" applyBorder="true" applyNumberFormat="true" applyFont="true"/>
    <xf numFmtId="0" fontId="3252" fillId="0" borderId="0" xfId="0" applyFill="true" applyBorder="true" applyNumberFormat="true" applyFont="true"/>
    <xf numFmtId="0" fontId="3253" fillId="0" borderId="0" xfId="0" applyFill="true" applyBorder="true" applyNumberFormat="true" applyFont="true"/>
    <xf numFmtId="0" fontId="3254" fillId="0" borderId="0" xfId="0" applyFill="true" applyBorder="true" applyNumberFormat="true" applyFont="true"/>
    <xf numFmtId="0" fontId="3255" fillId="0" borderId="0" xfId="0" applyFill="true" applyBorder="true" applyNumberFormat="true" applyFont="true"/>
    <xf numFmtId="0" fontId="3256" fillId="0" borderId="0" xfId="0" applyFill="true" applyBorder="true" applyNumberFormat="true" applyFont="true"/>
    <xf numFmtId="0" fontId="3257" fillId="0" borderId="0" xfId="0" applyFill="true" applyBorder="true" applyNumberFormat="true" applyFont="true"/>
    <xf numFmtId="0" fontId="3258" fillId="0" borderId="0" xfId="0" applyFill="true" applyBorder="true" applyNumberFormat="true" applyFont="true"/>
    <xf numFmtId="0" fontId="3259" fillId="0" borderId="0" xfId="0" applyFill="true" applyBorder="true" applyNumberFormat="true" applyFont="true"/>
    <xf numFmtId="0" fontId="3260" fillId="0" borderId="0" xfId="0" applyFill="true" applyBorder="true" applyNumberFormat="true" applyFont="true"/>
    <xf numFmtId="0" fontId="3261" fillId="0" borderId="0" xfId="0" applyFill="true" applyBorder="true" applyNumberFormat="true" applyFont="true"/>
    <xf numFmtId="0" fontId="3262" fillId="0" borderId="0" xfId="0" applyFill="true" applyBorder="true" applyNumberFormat="true" applyFont="true"/>
    <xf numFmtId="0" fontId="3263" fillId="0" borderId="0" xfId="0" applyFill="true" applyBorder="true" applyNumberFormat="true" applyFont="true"/>
    <xf numFmtId="0" fontId="3264" fillId="0" borderId="0" xfId="0" applyFill="true" applyBorder="true" applyNumberFormat="true" applyFont="true"/>
    <xf numFmtId="0" fontId="3265" fillId="0" borderId="0" xfId="0" applyFill="true" applyBorder="true" applyNumberFormat="true" applyFont="true"/>
    <xf numFmtId="0" fontId="3266" fillId="0" borderId="0" xfId="0" applyFill="true" applyBorder="true" applyNumberFormat="true" applyFont="true"/>
    <xf numFmtId="0" fontId="3267" fillId="0" borderId="0" xfId="0" applyFill="true" applyBorder="true" applyNumberFormat="true" applyFont="true"/>
    <xf numFmtId="0" fontId="3268" fillId="0" borderId="0" xfId="0" applyFill="true" applyBorder="true" applyNumberFormat="true" applyFont="true"/>
    <xf numFmtId="0" fontId="3269" fillId="0" borderId="0" xfId="0" applyFill="true" applyBorder="true" applyNumberFormat="true" applyFont="true"/>
    <xf numFmtId="0" fontId="3270" fillId="0" borderId="0" xfId="0" applyFill="true" applyBorder="true" applyNumberFormat="true" applyFont="true"/>
    <xf numFmtId="0" fontId="3271" fillId="0" borderId="0" xfId="0" applyFill="true" applyBorder="true" applyNumberFormat="true" applyFont="true"/>
    <xf numFmtId="0" fontId="3272" fillId="0" borderId="0" xfId="0" applyFill="true" applyBorder="true" applyNumberFormat="true" applyFont="true"/>
    <xf numFmtId="0" fontId="3273" fillId="0" borderId="0" xfId="0" applyFill="true" applyBorder="true" applyNumberFormat="true" applyFont="true"/>
    <xf numFmtId="0" fontId="3274" fillId="0" borderId="0" xfId="0" applyFill="true" applyBorder="true" applyNumberFormat="true" applyFont="true"/>
    <xf numFmtId="0" fontId="3275" fillId="0" borderId="0" xfId="0" applyFill="true" applyBorder="true" applyNumberFormat="true" applyFont="true"/>
    <xf numFmtId="0" fontId="3276" fillId="0" borderId="0" xfId="0" applyFill="true" applyBorder="true" applyNumberFormat="true" applyFont="true"/>
    <xf numFmtId="0" fontId="3277" fillId="0" borderId="0" xfId="0" applyFill="true" applyBorder="true" applyNumberFormat="true" applyFont="true"/>
    <xf numFmtId="0" fontId="3278" fillId="0" borderId="0" xfId="0" applyFill="true" applyBorder="true" applyNumberFormat="true" applyFont="true"/>
    <xf numFmtId="0" fontId="3279" fillId="0" borderId="0" xfId="0" applyFill="true" applyBorder="true" applyNumberFormat="true" applyFont="true"/>
    <xf numFmtId="0" fontId="3280" fillId="0" borderId="0" xfId="0" applyFill="true" applyBorder="true" applyNumberFormat="true" applyFont="true"/>
    <xf numFmtId="0" fontId="3281" fillId="0" borderId="0" xfId="0" applyFill="true" applyBorder="true" applyNumberFormat="true" applyFont="true"/>
    <xf numFmtId="0" fontId="3282" fillId="0" borderId="0" xfId="0" applyFill="true" applyBorder="true" applyNumberFormat="true" applyFont="true"/>
    <xf numFmtId="0" fontId="3283" fillId="0" borderId="0" xfId="0" applyFill="true" applyBorder="true" applyNumberFormat="true" applyFont="true"/>
    <xf numFmtId="0" fontId="3284" fillId="0" borderId="0" xfId="0" applyFill="true" applyBorder="true" applyNumberFormat="true" applyFont="true"/>
    <xf numFmtId="0" fontId="3285" fillId="0" borderId="0" xfId="0" applyFill="true" applyBorder="true" applyNumberFormat="true" applyFont="true"/>
    <xf numFmtId="0" fontId="3286" fillId="0" borderId="0" xfId="0" applyFill="true" applyBorder="true" applyNumberFormat="true" applyFont="true"/>
    <xf numFmtId="0" fontId="3287" fillId="0" borderId="0" xfId="0" applyFill="true" applyBorder="true" applyNumberFormat="true" applyFont="true"/>
    <xf numFmtId="0" fontId="3288" fillId="0" borderId="0" xfId="0" applyFill="true" applyBorder="true" applyNumberFormat="true" applyFont="true"/>
    <xf numFmtId="0" fontId="3289" fillId="0" borderId="0" xfId="0" applyFill="true" applyBorder="true" applyNumberFormat="true" applyFont="true"/>
    <xf numFmtId="0" fontId="3290" fillId="0" borderId="0" xfId="0" applyFill="true" applyBorder="true" applyNumberFormat="true" applyFont="true"/>
    <xf numFmtId="0" fontId="3291" fillId="0" borderId="0" xfId="0" applyFill="true" applyBorder="true" applyNumberFormat="true" applyFont="true"/>
    <xf numFmtId="0" fontId="3292" fillId="0" borderId="0" xfId="0" applyFill="true" applyBorder="true" applyNumberFormat="true" applyFont="true"/>
    <xf numFmtId="0" fontId="3293" fillId="0" borderId="0" xfId="0" applyFill="true" applyBorder="true" applyNumberFormat="true" applyFont="true"/>
    <xf numFmtId="0" fontId="3294" fillId="0" borderId="0" xfId="0" applyFill="true" applyBorder="true" applyNumberFormat="true" applyFont="true"/>
    <xf numFmtId="0" fontId="3295" fillId="0" borderId="0" xfId="0" applyFill="true" applyBorder="true" applyNumberFormat="true" applyFont="true"/>
    <xf numFmtId="0" fontId="3296" fillId="0" borderId="0" xfId="0" applyFill="true" applyBorder="true" applyNumberFormat="true" applyFont="true"/>
    <xf numFmtId="0" fontId="3297" fillId="0" borderId="0" xfId="0" applyFill="true" applyBorder="true" applyNumberFormat="true" applyFont="true"/>
    <xf numFmtId="0" fontId="3298" fillId="0" borderId="0" xfId="0" applyFill="true" applyBorder="true" applyNumberFormat="true" applyFont="true"/>
    <xf numFmtId="0" fontId="3299" fillId="0" borderId="0" xfId="0" applyFill="true" applyBorder="true" applyNumberFormat="true" applyFont="true"/>
    <xf numFmtId="0" fontId="3300" fillId="0" borderId="0" xfId="0" applyFill="true" applyBorder="true" applyNumberFormat="true" applyFont="true"/>
    <xf numFmtId="0" fontId="3301" fillId="0" borderId="0" xfId="0" applyFill="true" applyBorder="true" applyNumberFormat="true" applyFont="true"/>
    <xf numFmtId="0" fontId="3302" fillId="0" borderId="0" xfId="0" applyFill="true" applyBorder="true" applyNumberFormat="true" applyFont="true"/>
    <xf numFmtId="0" fontId="3303" fillId="0" borderId="0" xfId="0" applyFill="true" applyBorder="true" applyNumberFormat="true" applyFont="true"/>
    <xf numFmtId="0" fontId="3304" fillId="0" borderId="0" xfId="0" applyFill="true" applyBorder="true" applyNumberFormat="true" applyFont="true"/>
    <xf numFmtId="0" fontId="3305" fillId="0" borderId="0" xfId="0" applyFill="true" applyBorder="true" applyNumberFormat="true" applyFont="true"/>
    <xf numFmtId="0" fontId="3306" fillId="0" borderId="0" xfId="0" applyFill="true" applyBorder="true" applyNumberFormat="true" applyFont="true"/>
    <xf numFmtId="0" fontId="3307" fillId="0" borderId="0" xfId="0" applyFill="true" applyBorder="true" applyNumberFormat="true" applyFont="true"/>
    <xf numFmtId="0" fontId="3308" fillId="0" borderId="0" xfId="0" applyFill="true" applyBorder="true" applyNumberFormat="true" applyFont="true"/>
    <xf numFmtId="0" fontId="3309" fillId="0" borderId="0" xfId="0" applyFill="true" applyBorder="true" applyNumberFormat="true" applyFont="true"/>
    <xf numFmtId="0" fontId="3310" fillId="0" borderId="0" xfId="0" applyFill="true" applyBorder="true" applyNumberFormat="true" applyFont="true"/>
    <xf numFmtId="0" fontId="3311" fillId="0" borderId="0" xfId="0" applyFill="true" applyBorder="true" applyNumberFormat="true" applyFont="true"/>
    <xf numFmtId="0" fontId="3312" fillId="0" borderId="0" xfId="0" applyFill="true" applyBorder="true" applyNumberFormat="true" applyFont="true"/>
    <xf numFmtId="0" fontId="3313" fillId="0" borderId="0" xfId="0" applyFill="true" applyBorder="true" applyNumberFormat="true" applyFont="true"/>
    <xf numFmtId="0" fontId="3314" fillId="0" borderId="0" xfId="0" applyFill="true" applyBorder="true" applyNumberFormat="true" applyFont="true"/>
    <xf numFmtId="0" fontId="3315" fillId="0" borderId="0" xfId="0" applyFill="true" applyBorder="true" applyNumberFormat="true" applyFont="true"/>
    <xf numFmtId="0" fontId="3316" fillId="0" borderId="0" xfId="0" applyFill="true" applyBorder="true" applyNumberFormat="true" applyFont="true"/>
    <xf numFmtId="0" fontId="3317" fillId="0" borderId="0" xfId="0" applyFill="true" applyBorder="true" applyNumberFormat="true" applyFont="true"/>
    <xf numFmtId="0" fontId="3318" fillId="0" borderId="0" xfId="0" applyFill="true" applyBorder="true" applyNumberFormat="true" applyFont="true"/>
    <xf numFmtId="0" fontId="3319" fillId="0" borderId="0" xfId="0" applyFill="true" applyBorder="true" applyNumberFormat="true" applyFont="true"/>
    <xf numFmtId="0" fontId="3320" fillId="0" borderId="0" xfId="0" applyFill="true" applyBorder="true" applyNumberFormat="true" applyFont="true"/>
    <xf numFmtId="0" fontId="3321" fillId="0" borderId="0" xfId="0" applyFill="true" applyBorder="true" applyNumberFormat="true" applyFont="true"/>
    <xf numFmtId="0" fontId="3322" fillId="0" borderId="0" xfId="0" applyFill="true" applyBorder="true" applyNumberFormat="true" applyFont="true"/>
    <xf numFmtId="0" fontId="3323" fillId="0" borderId="0" xfId="0" applyFill="true" applyBorder="true" applyNumberFormat="true" applyFont="true"/>
    <xf numFmtId="0" fontId="3324" fillId="0" borderId="0" xfId="0" applyFill="true" applyBorder="true" applyNumberFormat="true" applyFont="true"/>
    <xf numFmtId="0" fontId="3325" fillId="0" borderId="0" xfId="0" applyFill="true" applyBorder="true" applyNumberFormat="true" applyFont="true"/>
    <xf numFmtId="0" fontId="3326" fillId="0" borderId="0" xfId="0" applyFill="true" applyBorder="true" applyNumberFormat="true" applyFont="true"/>
    <xf numFmtId="0" fontId="3327" fillId="0" borderId="0" xfId="0" applyFill="true" applyBorder="true" applyNumberFormat="true" applyFont="true"/>
    <xf numFmtId="0" fontId="3328" fillId="0" borderId="0" xfId="0" applyFill="true" applyBorder="true" applyNumberFormat="true" applyFont="true"/>
    <xf numFmtId="0" fontId="3329" fillId="0" borderId="0" xfId="0" applyFill="true" applyBorder="true" applyNumberFormat="true" applyFont="true"/>
    <xf numFmtId="0" fontId="3330" fillId="0" borderId="0" xfId="0" applyFill="true" applyBorder="true" applyNumberFormat="true" applyFont="true"/>
    <xf numFmtId="0" fontId="3331" fillId="0" borderId="0" xfId="0" applyFill="true" applyBorder="true" applyNumberFormat="true" applyFont="true"/>
    <xf numFmtId="0" fontId="3332" fillId="0" borderId="0" xfId="0" applyFill="true" applyBorder="true" applyNumberFormat="true" applyFont="true"/>
    <xf numFmtId="0" fontId="3333" fillId="0" borderId="0" xfId="0" applyFill="true" applyBorder="true" applyNumberFormat="true" applyFont="true"/>
    <xf numFmtId="0" fontId="3334" fillId="0" borderId="0" xfId="0" applyFill="true" applyBorder="true" applyNumberFormat="true" applyFont="true"/>
    <xf numFmtId="0" fontId="3335" fillId="0" borderId="0" xfId="0" applyFill="true" applyBorder="true" applyNumberFormat="true" applyFont="true"/>
    <xf numFmtId="0" fontId="3336" fillId="0" borderId="0" xfId="0" applyFill="true" applyBorder="true" applyNumberFormat="true" applyFont="true"/>
    <xf numFmtId="0" fontId="3337" fillId="0" borderId="0" xfId="0" applyFill="true" applyBorder="true" applyNumberFormat="true" applyFont="true"/>
    <xf numFmtId="0" fontId="3338" fillId="0" borderId="0" xfId="0" applyFill="true" applyBorder="true" applyNumberFormat="true" applyFont="true"/>
    <xf numFmtId="0" fontId="3339" fillId="0" borderId="0" xfId="0" applyFill="true" applyBorder="true" applyNumberFormat="true" applyFont="true"/>
    <xf numFmtId="0" fontId="3340" fillId="0" borderId="0" xfId="0" applyFill="true" applyBorder="true" applyNumberFormat="true" applyFont="true"/>
    <xf numFmtId="0" fontId="3341" fillId="0" borderId="0" xfId="0" applyFill="true" applyBorder="true" applyNumberFormat="true" applyFont="true"/>
    <xf numFmtId="0" fontId="3342" fillId="0" borderId="0" xfId="0" applyFill="true" applyBorder="true" applyNumberFormat="true" applyFont="true"/>
    <xf numFmtId="0" fontId="3343" fillId="0" borderId="0" xfId="0" applyFill="true" applyBorder="true" applyNumberFormat="true" applyFont="true"/>
    <xf numFmtId="0" fontId="3344" fillId="0" borderId="0" xfId="0" applyFill="true" applyBorder="true" applyNumberFormat="true" applyFont="true"/>
    <xf numFmtId="0" fontId="3345" fillId="0" borderId="0" xfId="0" applyFill="true" applyBorder="true" applyNumberFormat="true" applyFont="true"/>
    <xf numFmtId="0" fontId="3346" fillId="0" borderId="0" xfId="0" applyFill="true" applyBorder="true" applyNumberFormat="true" applyFont="true"/>
    <xf numFmtId="0" fontId="3347" fillId="0" borderId="0" xfId="0" applyFill="true" applyBorder="true" applyNumberFormat="true" applyFont="true"/>
    <xf numFmtId="0" fontId="3348" fillId="0" borderId="0" xfId="0" applyFill="true" applyBorder="true" applyNumberFormat="true" applyFont="true"/>
    <xf numFmtId="0" fontId="3349" fillId="0" borderId="0" xfId="0" applyFill="true" applyBorder="true" applyNumberFormat="true" applyFont="true"/>
    <xf numFmtId="0" fontId="3350" fillId="0" borderId="0" xfId="0" applyFill="true" applyBorder="true" applyNumberFormat="true" applyFont="true"/>
    <xf numFmtId="0" fontId="3351" fillId="0" borderId="0" xfId="0" applyFill="true" applyBorder="true" applyNumberFormat="true" applyFont="true"/>
    <xf numFmtId="0" fontId="3352" fillId="0" borderId="0" xfId="0" applyFill="true" applyBorder="true" applyNumberFormat="true" applyFont="true"/>
    <xf numFmtId="0" fontId="3353" fillId="0" borderId="0" xfId="0" applyFill="true" applyBorder="true" applyNumberFormat="true" applyFont="true"/>
    <xf numFmtId="0" fontId="3354" fillId="0" borderId="0" xfId="0" applyFill="true" applyBorder="true" applyNumberFormat="true" applyFont="true"/>
    <xf numFmtId="0" fontId="3355" fillId="0" borderId="0" xfId="0" applyFill="true" applyBorder="true" applyNumberFormat="true" applyFont="true"/>
    <xf numFmtId="0" fontId="3356" fillId="0" borderId="0" xfId="0" applyFill="true" applyBorder="true" applyNumberFormat="true" applyFont="true"/>
    <xf numFmtId="0" fontId="3357" fillId="0" borderId="0" xfId="0" applyFill="true" applyBorder="true" applyNumberFormat="true" applyFont="true"/>
    <xf numFmtId="0" fontId="3358" fillId="0" borderId="0" xfId="0" applyFill="true" applyBorder="true" applyNumberFormat="true" applyFont="true"/>
    <xf numFmtId="0" fontId="3359" fillId="0" borderId="0" xfId="0" applyFill="true" applyBorder="true" applyNumberFormat="true" applyFont="true"/>
    <xf numFmtId="0" fontId="3360" fillId="0" borderId="0" xfId="0" applyFill="true" applyBorder="true" applyNumberFormat="true" applyFont="true"/>
    <xf numFmtId="0" fontId="3361" fillId="0" borderId="0" xfId="0" applyFill="true" applyBorder="true" applyNumberFormat="true" applyFont="true"/>
    <xf numFmtId="0" fontId="3362" fillId="0" borderId="0" xfId="0" applyFill="true" applyBorder="true" applyNumberFormat="true" applyFont="true"/>
    <xf numFmtId="0" fontId="3363" fillId="0" borderId="0" xfId="0" applyFill="true" applyBorder="true" applyNumberFormat="true" applyFont="true"/>
    <xf numFmtId="0" fontId="3364" fillId="0" borderId="0" xfId="0" applyFill="true" applyBorder="true" applyNumberFormat="true" applyFont="true"/>
    <xf numFmtId="0" fontId="3365" fillId="0" borderId="0" xfId="0" applyFill="true" applyBorder="true" applyNumberFormat="true" applyFont="true"/>
    <xf numFmtId="0" fontId="3366" fillId="0" borderId="0" xfId="0" applyFill="true" applyBorder="true" applyNumberFormat="true" applyFont="true"/>
    <xf numFmtId="0" fontId="3367" fillId="0" borderId="0" xfId="0" applyFill="true" applyBorder="true" applyNumberFormat="true" applyFont="true"/>
    <xf numFmtId="0" fontId="3368" fillId="0" borderId="0" xfId="0" applyFill="true" applyBorder="true" applyNumberFormat="true" applyFont="true"/>
    <xf numFmtId="0" fontId="3369" fillId="0" borderId="0" xfId="0" applyFill="true" applyBorder="true" applyNumberFormat="true" applyFont="true"/>
    <xf numFmtId="0" fontId="3370" fillId="0" borderId="0" xfId="0" applyFill="true" applyBorder="true" applyNumberFormat="true" applyFont="true"/>
    <xf numFmtId="0" fontId="3371" fillId="0" borderId="0" xfId="0" applyFill="true" applyBorder="true" applyNumberFormat="true" applyFont="true"/>
    <xf numFmtId="0" fontId="3372" fillId="0" borderId="0" xfId="0" applyFill="true" applyBorder="true" applyNumberFormat="true" applyFont="true"/>
    <xf numFmtId="0" fontId="3373" fillId="0" borderId="0" xfId="0" applyFill="true" applyBorder="true" applyNumberFormat="true" applyFont="true"/>
    <xf numFmtId="0" fontId="3374" fillId="0" borderId="0" xfId="0" applyFill="true" applyBorder="true" applyNumberFormat="true" applyFont="true"/>
    <xf numFmtId="0" fontId="3375" fillId="0" borderId="0" xfId="0" applyFill="true" applyBorder="true" applyNumberFormat="true" applyFont="true"/>
    <xf numFmtId="0" fontId="3376" fillId="0" borderId="0" xfId="0" applyFill="true" applyBorder="true" applyNumberFormat="true" applyFont="true"/>
    <xf numFmtId="0" fontId="3377" fillId="0" borderId="0" xfId="0" applyFill="true" applyBorder="true" applyNumberFormat="true" applyFont="true"/>
    <xf numFmtId="0" fontId="3378" fillId="0" borderId="0" xfId="0" applyFill="true" applyBorder="true" applyNumberFormat="true" applyFont="true"/>
    <xf numFmtId="0" fontId="3379" fillId="0" borderId="0" xfId="0" applyFill="true" applyBorder="true" applyNumberFormat="true" applyFont="true"/>
    <xf numFmtId="0" fontId="3380" fillId="0" borderId="0" xfId="0" applyFill="true" applyBorder="true" applyNumberFormat="true" applyFont="true"/>
    <xf numFmtId="0" fontId="3381" fillId="0" borderId="0" xfId="0" applyFill="true" applyBorder="true" applyNumberFormat="true" applyFont="true"/>
    <xf numFmtId="0" fontId="3382" fillId="0" borderId="0" xfId="0" applyFill="true" applyBorder="true" applyNumberFormat="true" applyFont="true"/>
    <xf numFmtId="0" fontId="3383" fillId="0" borderId="0" xfId="0" applyFill="true" applyBorder="true" applyNumberFormat="true" applyFont="true"/>
    <xf numFmtId="0" fontId="3384" fillId="0" borderId="0" xfId="0" applyFill="true" applyBorder="true" applyNumberFormat="true" applyFont="true"/>
    <xf numFmtId="0" fontId="3385" fillId="0" borderId="0" xfId="0" applyFill="true" applyBorder="true" applyNumberFormat="true" applyFont="true"/>
    <xf numFmtId="0" fontId="3386" fillId="0" borderId="0" xfId="0" applyFill="true" applyBorder="true" applyNumberFormat="true" applyFont="true"/>
    <xf numFmtId="0" fontId="3387" fillId="0" borderId="0" xfId="0" applyFill="true" applyBorder="true" applyNumberFormat="true" applyFont="true"/>
    <xf numFmtId="0" fontId="3388" fillId="0" borderId="0" xfId="0" applyFill="true" applyBorder="true" applyNumberFormat="true" applyFont="true"/>
    <xf numFmtId="0" fontId="3389" fillId="0" borderId="0" xfId="0" applyFill="true" applyBorder="true" applyNumberFormat="true" applyFont="true"/>
    <xf numFmtId="0" fontId="3390" fillId="0" borderId="0" xfId="0" applyFill="true" applyBorder="true" applyNumberFormat="true" applyFont="true"/>
    <xf numFmtId="0" fontId="3391" fillId="0" borderId="0" xfId="0" applyFill="true" applyBorder="true" applyNumberFormat="true" applyFont="true"/>
    <xf numFmtId="0" fontId="3392" fillId="0" borderId="0" xfId="0" applyFill="true" applyBorder="true" applyNumberFormat="true" applyFont="true"/>
    <xf numFmtId="0" fontId="3393" fillId="0" borderId="0" xfId="0" applyFill="true" applyBorder="true" applyNumberFormat="true" applyFont="true"/>
    <xf numFmtId="0" fontId="3394" fillId="0" borderId="0" xfId="0" applyFill="true" applyBorder="true" applyNumberFormat="true" applyFont="true"/>
    <xf numFmtId="0" fontId="3395" fillId="0" borderId="0" xfId="0" applyFill="true" applyBorder="true" applyNumberFormat="true" applyFont="true"/>
    <xf numFmtId="0" fontId="3396" fillId="0" borderId="0" xfId="0" applyFill="true" applyBorder="true" applyNumberFormat="true" applyFont="true"/>
    <xf numFmtId="0" fontId="3397" fillId="0" borderId="0" xfId="0" applyFill="true" applyBorder="true" applyNumberFormat="true" applyFont="true"/>
    <xf numFmtId="0" fontId="3398" fillId="0" borderId="0" xfId="0" applyFill="true" applyBorder="true" applyNumberFormat="true" applyFont="true"/>
    <xf numFmtId="0" fontId="3399" fillId="0" borderId="0" xfId="0" applyFill="true" applyBorder="true" applyNumberFormat="true" applyFont="true"/>
    <xf numFmtId="0" fontId="3400" fillId="0" borderId="0" xfId="0" applyFill="true" applyBorder="true" applyNumberFormat="true" applyFont="true"/>
    <xf numFmtId="0" fontId="3401" fillId="0" borderId="0" xfId="0" applyFill="true" applyBorder="true" applyNumberFormat="true" applyFont="true"/>
    <xf numFmtId="0" fontId="3402" fillId="0" borderId="0" xfId="0" applyFill="true" applyBorder="true" applyNumberFormat="true" applyFont="true"/>
    <xf numFmtId="0" fontId="3403" fillId="0" borderId="0" xfId="0" applyFill="true" applyBorder="true" applyNumberFormat="true" applyFont="true"/>
    <xf numFmtId="0" fontId="3404" fillId="0" borderId="0" xfId="0" applyFill="true" applyBorder="true" applyNumberFormat="true" applyFont="true"/>
    <xf numFmtId="0" fontId="3405" fillId="0" borderId="0" xfId="0" applyFill="true" applyBorder="true" applyNumberFormat="true" applyFont="true"/>
    <xf numFmtId="0" fontId="3406" fillId="0" borderId="0" xfId="0" applyFill="true" applyBorder="true" applyNumberFormat="true" applyFont="true"/>
    <xf numFmtId="0" fontId="3407" fillId="0" borderId="0" xfId="0" applyFill="true" applyBorder="true" applyNumberFormat="true" applyFont="true"/>
    <xf numFmtId="0" fontId="3408" fillId="0" borderId="0" xfId="0" applyFill="true" applyBorder="true" applyNumberFormat="true" applyFont="true"/>
    <xf numFmtId="0" fontId="3409" fillId="0" borderId="0" xfId="0" applyFill="true" applyBorder="true" applyNumberFormat="true" applyFont="true"/>
    <xf numFmtId="0" fontId="3410" fillId="0" borderId="0" xfId="0" applyFill="true" applyBorder="true" applyNumberFormat="true" applyFont="true"/>
    <xf numFmtId="0" fontId="3411" fillId="0" borderId="0" xfId="0" applyFill="true" applyBorder="true" applyNumberFormat="true" applyFont="true"/>
    <xf numFmtId="0" fontId="3412" fillId="0" borderId="0" xfId="0" applyFill="true" applyBorder="true" applyNumberFormat="true" applyFont="true"/>
    <xf numFmtId="0" fontId="3413" fillId="0" borderId="0" xfId="0" applyFill="true" applyBorder="true" applyNumberFormat="true" applyFont="true"/>
    <xf numFmtId="0" fontId="3414" fillId="0" borderId="0" xfId="0" applyFill="true" applyBorder="true" applyNumberFormat="true" applyFont="true"/>
    <xf numFmtId="0" fontId="3415" fillId="0" borderId="0" xfId="0" applyFill="true" applyBorder="true" applyNumberFormat="true" applyFont="true"/>
    <xf numFmtId="0" fontId="3416" fillId="0" borderId="0" xfId="0" applyFill="true" applyBorder="true" applyNumberFormat="true" applyFont="true"/>
    <xf numFmtId="0" fontId="3417" fillId="0" borderId="0" xfId="0" applyFill="true" applyBorder="true" applyNumberFormat="true" applyFont="true"/>
    <xf numFmtId="0" fontId="3418" fillId="0" borderId="0" xfId="0" applyFill="true" applyBorder="true" applyNumberFormat="true" applyFont="true"/>
    <xf numFmtId="0" fontId="3419" fillId="0" borderId="0" xfId="0" applyFill="true" applyBorder="true" applyNumberFormat="true" applyFont="true"/>
    <xf numFmtId="0" fontId="3420" fillId="0" borderId="0" xfId="0" applyFill="true" applyBorder="true" applyNumberFormat="true" applyFont="true"/>
    <xf numFmtId="0" fontId="3421" fillId="0" borderId="0" xfId="0" applyFill="true" applyBorder="true" applyNumberFormat="true" applyFont="true"/>
    <xf numFmtId="0" fontId="3422" fillId="0" borderId="0" xfId="0" applyFill="true" applyBorder="true" applyNumberFormat="true" applyFont="true"/>
    <xf numFmtId="0" fontId="3423" fillId="0" borderId="0" xfId="0" applyFill="true" applyBorder="true" applyNumberFormat="true" applyFont="true"/>
    <xf numFmtId="0" fontId="3424" fillId="0" borderId="0" xfId="0" applyFill="true" applyBorder="true" applyNumberFormat="true" applyFont="true"/>
    <xf numFmtId="0" fontId="3425" fillId="0" borderId="0" xfId="0" applyFill="true" applyBorder="true" applyNumberFormat="true" applyFont="true"/>
    <xf numFmtId="0" fontId="3426" fillId="0" borderId="0" xfId="0" applyFill="true" applyBorder="true" applyNumberFormat="true" applyFont="true"/>
    <xf numFmtId="0" fontId="3427" fillId="0" borderId="0" xfId="0" applyFill="true" applyBorder="true" applyNumberFormat="true" applyFont="true"/>
    <xf numFmtId="0" fontId="3428" fillId="0" borderId="0" xfId="0" applyFill="true" applyBorder="true" applyNumberFormat="true" applyFont="true"/>
    <xf numFmtId="0" fontId="3429" fillId="0" borderId="0" xfId="0" applyFill="true" applyBorder="true" applyNumberFormat="true" applyFont="true"/>
    <xf numFmtId="0" fontId="3430" fillId="0" borderId="0" xfId="0" applyFill="true" applyBorder="true" applyNumberFormat="true" applyFont="true"/>
    <xf numFmtId="0" fontId="3431" fillId="0" borderId="0" xfId="0" applyFill="true" applyBorder="true" applyNumberFormat="true" applyFont="true"/>
    <xf numFmtId="0" fontId="3432" fillId="0" borderId="0" xfId="0" applyFill="true" applyBorder="true" applyNumberFormat="true" applyFont="true"/>
    <xf numFmtId="0" fontId="3433" fillId="0" borderId="0" xfId="0" applyFill="true" applyBorder="true" applyNumberFormat="true" applyFont="true"/>
    <xf numFmtId="0" fontId="3434" fillId="0" borderId="0" xfId="0" applyFill="true" applyBorder="true" applyNumberFormat="true" applyFont="true"/>
    <xf numFmtId="0" fontId="3435" fillId="0" borderId="0" xfId="0" applyFill="true" applyBorder="true" applyNumberFormat="true" applyFont="true"/>
    <xf numFmtId="0" fontId="3436" fillId="0" borderId="0" xfId="0" applyFill="true" applyBorder="true" applyNumberFormat="true" applyFont="true"/>
    <xf numFmtId="0" fontId="3437" fillId="0" borderId="0" xfId="0" applyFill="true" applyBorder="true" applyNumberFormat="true" applyFont="true"/>
    <xf numFmtId="0" fontId="3438" fillId="0" borderId="0" xfId="0" applyFill="true" applyBorder="true" applyNumberFormat="true" applyFont="true"/>
    <xf numFmtId="0" fontId="3439" fillId="0" borderId="0" xfId="0" applyFill="true" applyBorder="true" applyNumberFormat="true" applyFont="true"/>
    <xf numFmtId="0" fontId="3440" fillId="0" borderId="0" xfId="0" applyFill="true" applyBorder="true" applyNumberFormat="true" applyFont="true"/>
    <xf numFmtId="0" fontId="3441" fillId="0" borderId="0" xfId="0" applyFill="true" applyBorder="true" applyNumberFormat="true" applyFont="true"/>
    <xf numFmtId="0" fontId="3442" fillId="0" borderId="0" xfId="0" applyFill="true" applyBorder="true" applyNumberFormat="true" applyFont="true"/>
    <xf numFmtId="0" fontId="3443" fillId="0" borderId="0" xfId="0" applyFill="true" applyBorder="true" applyNumberFormat="true" applyFont="true"/>
    <xf numFmtId="0" fontId="3444" fillId="0" borderId="0" xfId="0" applyFill="true" applyBorder="true" applyNumberFormat="true" applyFont="true"/>
    <xf numFmtId="0" fontId="3445" fillId="0" borderId="0" xfId="0" applyFill="true" applyBorder="true" applyNumberFormat="true" applyFont="true"/>
    <xf numFmtId="0" fontId="3446" fillId="0" borderId="0" xfId="0" applyFill="true" applyBorder="true" applyNumberFormat="true" applyFont="true"/>
    <xf numFmtId="0" fontId="3447" fillId="0" borderId="0" xfId="0" applyFill="true" applyBorder="true" applyNumberFormat="true" applyFont="true"/>
    <xf numFmtId="0" fontId="3448" fillId="0" borderId="0" xfId="0" applyFill="true" applyBorder="true" applyNumberFormat="true" applyFont="true"/>
    <xf numFmtId="0" fontId="3449" fillId="0" borderId="0" xfId="0" applyFill="true" applyBorder="true" applyNumberFormat="true" applyFont="true"/>
    <xf numFmtId="0" fontId="3450" fillId="0" borderId="0" xfId="0" applyFill="true" applyBorder="true" applyNumberFormat="true" applyFont="true"/>
    <xf numFmtId="0" fontId="3451" fillId="0" borderId="0" xfId="0" applyFill="true" applyBorder="true" applyNumberFormat="true" applyFont="true"/>
    <xf numFmtId="0" fontId="3452" fillId="0" borderId="0" xfId="0" applyFill="true" applyBorder="true" applyNumberFormat="true" applyFont="true"/>
    <xf numFmtId="0" fontId="3453" fillId="0" borderId="0" xfId="0" applyFill="true" applyBorder="true" applyNumberFormat="true" applyFont="true"/>
    <xf numFmtId="0" fontId="3454" fillId="0" borderId="0" xfId="0" applyFill="true" applyBorder="true" applyNumberFormat="true" applyFont="true"/>
    <xf numFmtId="0" fontId="3455" fillId="0" borderId="0" xfId="0" applyFill="true" applyBorder="true" applyNumberFormat="true" applyFont="true"/>
    <xf numFmtId="0" fontId="3456" fillId="0" borderId="0" xfId="0" applyFill="true" applyBorder="true" applyNumberFormat="true" applyFont="true"/>
    <xf numFmtId="0" fontId="3457" fillId="0" borderId="0" xfId="0" applyFill="true" applyBorder="true" applyNumberFormat="true" applyFont="true"/>
    <xf numFmtId="0" fontId="3458" fillId="0" borderId="0" xfId="0" applyFill="true" applyBorder="true" applyNumberFormat="true" applyFont="true"/>
    <xf numFmtId="0" fontId="3459" fillId="0" borderId="0" xfId="0" applyFill="true" applyBorder="true" applyNumberFormat="true" applyFont="true"/>
    <xf numFmtId="0" fontId="3460" fillId="0" borderId="0" xfId="0" applyFill="true" applyBorder="true" applyNumberFormat="true" applyFont="true"/>
    <xf numFmtId="0" fontId="3461" fillId="0" borderId="0" xfId="0" applyFill="true" applyBorder="true" applyNumberFormat="true" applyFont="true"/>
    <xf numFmtId="0" fontId="3462" fillId="0" borderId="0" xfId="0" applyFill="true" applyBorder="true" applyNumberFormat="true" applyFont="true"/>
    <xf numFmtId="0" fontId="3463" fillId="0" borderId="0" xfId="0" applyFill="true" applyBorder="true" applyNumberFormat="true" applyFont="true"/>
    <xf numFmtId="0" fontId="3464" fillId="0" borderId="0" xfId="0" applyFill="true" applyBorder="true" applyNumberFormat="true" applyFont="true"/>
    <xf numFmtId="0" fontId="3465" fillId="0" borderId="0" xfId="0" applyFill="true" applyBorder="true" applyNumberFormat="true" applyFont="true"/>
    <xf numFmtId="0" fontId="3466" fillId="0" borderId="0" xfId="0" applyFill="true" applyBorder="true" applyNumberFormat="true" applyFont="true"/>
    <xf numFmtId="0" fontId="3467" fillId="0" borderId="0" xfId="0" applyFill="true" applyBorder="true" applyNumberFormat="true" applyFont="true"/>
    <xf numFmtId="0" fontId="3468" fillId="0" borderId="0" xfId="0" applyFill="true" applyBorder="true" applyNumberFormat="true" applyFont="true"/>
    <xf numFmtId="0" fontId="3469" fillId="0" borderId="0" xfId="0" applyFill="true" applyBorder="true" applyNumberFormat="true" applyFont="true"/>
    <xf numFmtId="0" fontId="3470" fillId="0" borderId="0" xfId="0" applyFill="true" applyBorder="true" applyNumberFormat="true" applyFont="true"/>
    <xf numFmtId="0" fontId="3471" fillId="0" borderId="0" xfId="0" applyFill="true" applyBorder="true" applyNumberFormat="true" applyFont="true"/>
    <xf numFmtId="0" fontId="3472" fillId="0" borderId="0" xfId="0" applyFill="true" applyBorder="true" applyNumberFormat="true" applyFont="true"/>
    <xf numFmtId="0" fontId="3473" fillId="0" borderId="0" xfId="0" applyFill="true" applyBorder="true" applyNumberFormat="true" applyFont="true"/>
    <xf numFmtId="0" fontId="3474" fillId="0" borderId="0" xfId="0" applyFill="true" applyBorder="true" applyNumberFormat="true" applyFont="true"/>
    <xf numFmtId="0" fontId="3475" fillId="0" borderId="0" xfId="0" applyFill="true" applyBorder="true" applyNumberFormat="true" applyFont="true"/>
    <xf numFmtId="0" fontId="3476" fillId="0" borderId="0" xfId="0" applyFill="true" applyBorder="true" applyNumberFormat="true" applyFont="true"/>
    <xf numFmtId="0" fontId="3477" fillId="0" borderId="0" xfId="0" applyFill="true" applyBorder="true" applyNumberFormat="true" applyFont="true"/>
    <xf numFmtId="0" fontId="3478" fillId="0" borderId="0" xfId="0" applyFill="true" applyBorder="true" applyNumberFormat="true" applyFont="true"/>
    <xf numFmtId="0" fontId="3479" fillId="0" borderId="0" xfId="0" applyFill="true" applyBorder="true" applyNumberFormat="true" applyFont="true"/>
    <xf numFmtId="0" fontId="3480" fillId="0" borderId="0" xfId="0" applyFill="true" applyBorder="true" applyNumberFormat="true" applyFont="true"/>
    <xf numFmtId="0" fontId="3481" fillId="0" borderId="0" xfId="0" applyFill="true" applyBorder="true" applyNumberFormat="true" applyFont="true"/>
    <xf numFmtId="0" fontId="3482" fillId="0" borderId="0" xfId="0" applyFill="true" applyBorder="true" applyNumberFormat="true" applyFont="true"/>
    <xf numFmtId="0" fontId="3483" fillId="0" borderId="0" xfId="0" applyFill="true" applyBorder="true" applyNumberFormat="true" applyFont="true"/>
    <xf numFmtId="0" fontId="3484" fillId="0" borderId="0" xfId="0" applyFill="true" applyBorder="true" applyNumberFormat="true" applyFont="true"/>
    <xf numFmtId="0" fontId="3485" fillId="0" borderId="0" xfId="0" applyFill="true" applyBorder="true" applyNumberFormat="true" applyFont="true"/>
    <xf numFmtId="0" fontId="3486" fillId="0" borderId="0" xfId="0" applyFill="true" applyBorder="true" applyNumberFormat="true" applyFont="true"/>
    <xf numFmtId="0" fontId="3487" fillId="0" borderId="0" xfId="0" applyFill="true" applyBorder="true" applyNumberFormat="true" applyFont="true"/>
    <xf numFmtId="0" fontId="3488" fillId="0" borderId="0" xfId="0" applyFill="true" applyBorder="true" applyNumberFormat="true" applyFont="true"/>
    <xf numFmtId="0" fontId="3489" fillId="0" borderId="0" xfId="0" applyFill="true" applyBorder="true" applyNumberFormat="true" applyFont="true"/>
    <xf numFmtId="0" fontId="3490" fillId="0" borderId="0" xfId="0" applyFill="true" applyBorder="true" applyNumberFormat="true" applyFont="true"/>
    <xf numFmtId="0" fontId="3491" fillId="0" borderId="0" xfId="0" applyFill="true" applyBorder="true" applyNumberFormat="true" applyFont="true"/>
    <xf numFmtId="0" fontId="3492" fillId="0" borderId="0" xfId="0" applyFill="true" applyBorder="true" applyNumberFormat="true" applyFont="true"/>
    <xf numFmtId="0" fontId="3493" fillId="0" borderId="0" xfId="0" applyFill="true" applyBorder="true" applyNumberFormat="true" applyFont="true"/>
    <xf numFmtId="0" fontId="3494" fillId="0" borderId="0" xfId="0" applyFill="true" applyBorder="true" applyNumberFormat="true" applyFont="true"/>
    <xf numFmtId="0" fontId="3495" fillId="0" borderId="0" xfId="0" applyFill="true" applyBorder="true" applyNumberFormat="true" applyFont="true"/>
    <xf numFmtId="0" fontId="3496" fillId="0" borderId="0" xfId="0" applyFill="true" applyBorder="true" applyNumberFormat="true" applyFont="true"/>
    <xf numFmtId="0" fontId="3497" fillId="0" borderId="0" xfId="0" applyFill="true" applyBorder="true" applyNumberFormat="true" applyFont="true"/>
    <xf numFmtId="0" fontId="3498" fillId="0" borderId="0" xfId="0" applyFill="true" applyBorder="true" applyNumberFormat="true" applyFont="true"/>
    <xf numFmtId="0" fontId="3499" fillId="0" borderId="0" xfId="0" applyFill="true" applyBorder="true" applyNumberFormat="true" applyFont="true"/>
    <xf numFmtId="0" fontId="3500" fillId="0" borderId="0" xfId="0" applyFill="true" applyBorder="true" applyNumberFormat="true" applyFont="true"/>
    <xf numFmtId="0" fontId="3501" fillId="0" borderId="0" xfId="0" applyFill="true" applyBorder="true" applyNumberFormat="true" applyFont="true"/>
    <xf numFmtId="0" fontId="3502" fillId="0" borderId="0" xfId="0" applyFill="true" applyBorder="true" applyNumberFormat="true" applyFont="true"/>
    <xf numFmtId="0" fontId="3503" fillId="0" borderId="0" xfId="0" applyFill="true" applyBorder="true" applyNumberFormat="true" applyFont="true"/>
    <xf numFmtId="0" fontId="3504" fillId="0" borderId="0" xfId="0" applyFill="true" applyBorder="true" applyNumberFormat="true" applyFont="true"/>
    <xf numFmtId="0" fontId="3505" fillId="0" borderId="0" xfId="0" applyFill="true" applyBorder="true" applyNumberFormat="true" applyFont="true"/>
    <xf numFmtId="0" fontId="3506" fillId="0" borderId="0" xfId="0" applyFill="true" applyBorder="true" applyNumberFormat="true" applyFont="true"/>
    <xf numFmtId="0" fontId="3507" fillId="0" borderId="0" xfId="0" applyFill="true" applyBorder="true" applyNumberFormat="true" applyFont="true"/>
    <xf numFmtId="0" fontId="3508" fillId="0" borderId="0" xfId="0" applyFill="true" applyBorder="true" applyNumberFormat="true" applyFont="true"/>
    <xf numFmtId="0" fontId="3509" fillId="0" borderId="0" xfId="0" applyFill="true" applyBorder="true" applyNumberFormat="true" applyFont="true"/>
    <xf numFmtId="0" fontId="3510" fillId="0" borderId="0" xfId="0" applyFill="true" applyBorder="true" applyNumberFormat="true" applyFont="true"/>
    <xf numFmtId="0" fontId="3511" fillId="0" borderId="0" xfId="0" applyFill="true" applyBorder="true" applyNumberFormat="true" applyFont="true"/>
    <xf numFmtId="0" fontId="3512" fillId="0" borderId="0" xfId="0" applyFill="true" applyBorder="true" applyNumberFormat="true" applyFont="true"/>
    <xf numFmtId="0" fontId="3513" fillId="0" borderId="0" xfId="0" applyFill="true" applyBorder="true" applyNumberFormat="true" applyFont="true"/>
    <xf numFmtId="0" fontId="3514" fillId="0" borderId="0" xfId="0" applyFill="true" applyBorder="true" applyNumberFormat="true" applyFont="true"/>
    <xf numFmtId="0" fontId="3515" fillId="0" borderId="0" xfId="0" applyFill="true" applyBorder="true" applyNumberFormat="true" applyFont="true"/>
    <xf numFmtId="0" fontId="3516" fillId="0" borderId="0" xfId="0" applyFill="true" applyBorder="true" applyNumberFormat="true" applyFont="true"/>
    <xf numFmtId="0" fontId="3517" fillId="0" borderId="0" xfId="0" applyFill="true" applyBorder="true" applyNumberFormat="true" applyFont="true"/>
    <xf numFmtId="0" fontId="3518" fillId="0" borderId="0" xfId="0" applyFill="true" applyBorder="true" applyNumberFormat="true" applyFont="true"/>
    <xf numFmtId="0" fontId="3519" fillId="0" borderId="0" xfId="0" applyFill="true" applyBorder="true" applyNumberFormat="true" applyFont="true"/>
    <xf numFmtId="0" fontId="3520" fillId="0" borderId="0" xfId="0" applyFill="true" applyBorder="true" applyNumberFormat="true" applyFont="true"/>
    <xf numFmtId="0" fontId="3521" fillId="0" borderId="0" xfId="0" applyFill="true" applyBorder="true" applyNumberFormat="true" applyFont="true"/>
    <xf numFmtId="0" fontId="3522" fillId="0" borderId="0" xfId="0" applyFill="true" applyBorder="true" applyNumberFormat="true" applyFont="true"/>
    <xf numFmtId="0" fontId="3523" fillId="0" borderId="0" xfId="0" applyFill="true" applyBorder="true" applyNumberFormat="true" applyFont="true"/>
    <xf numFmtId="0" fontId="3524" fillId="0" borderId="0" xfId="0" applyFill="true" applyBorder="true" applyNumberFormat="true" applyFont="true"/>
    <xf numFmtId="0" fontId="3525" fillId="0" borderId="0" xfId="0" applyFill="true" applyBorder="true" applyNumberFormat="true" applyFont="true"/>
    <xf numFmtId="0" fontId="3526" fillId="0" borderId="0" xfId="0" applyFill="true" applyBorder="true" applyNumberFormat="true" applyFont="true"/>
    <xf numFmtId="0" fontId="3527" fillId="0" borderId="0" xfId="0" applyFill="true" applyBorder="true" applyNumberFormat="true" applyFont="true"/>
    <xf numFmtId="0" fontId="3528" fillId="0" borderId="0" xfId="0" applyFill="true" applyBorder="true" applyNumberFormat="true" applyFont="true"/>
    <xf numFmtId="0" fontId="3529" fillId="0" borderId="0" xfId="0" applyFill="true" applyBorder="true" applyNumberFormat="true" applyFont="true"/>
    <xf numFmtId="0" fontId="3530" fillId="0" borderId="0" xfId="0" applyFill="true" applyBorder="true" applyNumberFormat="true" applyFont="true"/>
    <xf numFmtId="0" fontId="3531" fillId="0" borderId="0" xfId="0" applyFill="true" applyBorder="true" applyNumberFormat="true" applyFont="true"/>
    <xf numFmtId="0" fontId="3532" fillId="0" borderId="0" xfId="0" applyFill="true" applyBorder="true" applyNumberFormat="true" applyFont="true"/>
    <xf numFmtId="0" fontId="3533" fillId="0" borderId="0" xfId="0" applyFill="true" applyBorder="true" applyNumberFormat="true" applyFont="true"/>
    <xf numFmtId="0" fontId="3534" fillId="0" borderId="0" xfId="0" applyFill="true" applyBorder="true" applyNumberFormat="true" applyFont="true"/>
    <xf numFmtId="0" fontId="3535" fillId="0" borderId="0" xfId="0" applyFill="true" applyBorder="true" applyNumberFormat="true" applyFont="true"/>
    <xf numFmtId="0" fontId="3536" fillId="0" borderId="0" xfId="0" applyFill="true" applyBorder="true" applyNumberFormat="true" applyFont="true"/>
    <xf numFmtId="0" fontId="3537" fillId="0" borderId="0" xfId="0" applyFill="true" applyBorder="true" applyNumberFormat="true" applyFont="true"/>
    <xf numFmtId="0" fontId="3538" fillId="0" borderId="0" xfId="0" applyFill="true" applyBorder="true" applyNumberFormat="true" applyFont="true"/>
    <xf numFmtId="0" fontId="3539" fillId="0" borderId="0" xfId="0" applyFill="true" applyBorder="true" applyNumberFormat="true" applyFont="true"/>
    <xf numFmtId="0" fontId="3540" fillId="0" borderId="0" xfId="0" applyFill="true" applyBorder="true" applyNumberFormat="true" applyFont="true"/>
    <xf numFmtId="0" fontId="3541" fillId="0" borderId="0" xfId="0" applyFill="true" applyBorder="true" applyNumberFormat="true" applyFont="true"/>
    <xf numFmtId="0" fontId="3542" fillId="0" borderId="0" xfId="0" applyFill="true" applyBorder="true" applyNumberFormat="true" applyFont="true"/>
    <xf numFmtId="0" fontId="3543" fillId="0" borderId="0" xfId="0" applyFill="true" applyBorder="true" applyNumberFormat="true" applyFont="true"/>
    <xf numFmtId="0" fontId="3544" fillId="0" borderId="0" xfId="0" applyFill="true" applyBorder="true" applyNumberFormat="true" applyFont="true"/>
    <xf numFmtId="0" fontId="3545" fillId="0" borderId="0" xfId="0" applyFill="true" applyBorder="true" applyNumberFormat="true" applyFont="true"/>
    <xf numFmtId="0" fontId="3546" fillId="0" borderId="0" xfId="0" applyFill="true" applyBorder="true" applyNumberFormat="true" applyFont="true"/>
    <xf numFmtId="0" fontId="3547" fillId="0" borderId="0" xfId="0" applyFill="true" applyBorder="true" applyNumberFormat="true" applyFont="true"/>
    <xf numFmtId="0" fontId="3548" fillId="0" borderId="0" xfId="0" applyFill="true" applyBorder="true" applyNumberFormat="true" applyFont="true"/>
    <xf numFmtId="0" fontId="3549" fillId="0" borderId="0" xfId="0" applyFill="true" applyBorder="true" applyNumberFormat="true" applyFont="true"/>
    <xf numFmtId="0" fontId="3550" fillId="0" borderId="0" xfId="0" applyFill="true" applyBorder="true" applyNumberFormat="true" applyFont="true"/>
    <xf numFmtId="0" fontId="3551" fillId="0" borderId="0" xfId="0" applyFill="true" applyBorder="true" applyNumberFormat="true" applyFont="true"/>
    <xf numFmtId="0" fontId="3552" fillId="0" borderId="0" xfId="0" applyFill="true" applyBorder="true" applyNumberFormat="true" applyFont="true"/>
    <xf numFmtId="0" fontId="3553" fillId="0" borderId="0" xfId="0" applyFill="true" applyBorder="true" applyNumberFormat="true" applyFont="true"/>
    <xf numFmtId="0" fontId="3554" fillId="0" borderId="0" xfId="0" applyFill="true" applyBorder="true" applyNumberFormat="true" applyFont="true"/>
    <xf numFmtId="0" fontId="3555" fillId="0" borderId="0" xfId="0" applyFill="true" applyBorder="true" applyNumberFormat="true" applyFont="true"/>
    <xf numFmtId="0" fontId="3556" fillId="0" borderId="0" xfId="0" applyFill="true" applyBorder="true" applyNumberFormat="true" applyFont="true"/>
    <xf numFmtId="0" fontId="3557" fillId="0" borderId="0" xfId="0" applyFill="true" applyBorder="true" applyNumberFormat="true" applyFont="true"/>
    <xf numFmtId="0" fontId="3558" fillId="0" borderId="0" xfId="0" applyFill="true" applyBorder="true" applyNumberFormat="true" applyFont="true"/>
    <xf numFmtId="0" fontId="3559" fillId="0" borderId="0" xfId="0" applyFill="true" applyBorder="true" applyNumberFormat="true" applyFont="true"/>
    <xf numFmtId="0" fontId="3560" fillId="0" borderId="0" xfId="0" applyFill="true" applyBorder="true" applyNumberFormat="true" applyFont="true"/>
    <xf numFmtId="0" fontId="3561" fillId="0" borderId="0" xfId="0" applyFill="true" applyBorder="true" applyNumberFormat="true" applyFont="true"/>
    <xf numFmtId="0" fontId="3562" fillId="0" borderId="0" xfId="0" applyFill="true" applyBorder="true" applyNumberFormat="true" applyFont="true"/>
    <xf numFmtId="0" fontId="3563" fillId="0" borderId="0" xfId="0" applyFill="true" applyBorder="true" applyNumberFormat="true" applyFont="true"/>
    <xf numFmtId="0" fontId="3564" fillId="0" borderId="0" xfId="0" applyFill="true" applyBorder="true" applyNumberFormat="true" applyFont="true"/>
    <xf numFmtId="0" fontId="3565" fillId="0" borderId="0" xfId="0" applyFill="true" applyBorder="true" applyNumberFormat="true" applyFont="true"/>
    <xf numFmtId="0" fontId="3566" fillId="0" borderId="0" xfId="0" applyFill="true" applyBorder="true" applyNumberFormat="true" applyFont="true"/>
    <xf numFmtId="0" fontId="3567" fillId="0" borderId="0" xfId="0" applyFill="true" applyBorder="true" applyNumberFormat="true" applyFont="true"/>
    <xf numFmtId="0" fontId="3568" fillId="0" borderId="0" xfId="0" applyFill="true" applyBorder="true" applyNumberFormat="true" applyFont="true"/>
    <xf numFmtId="0" fontId="3569" fillId="0" borderId="0" xfId="0" applyFill="true" applyBorder="true" applyNumberFormat="true" applyFont="true"/>
    <xf numFmtId="0" fontId="3570" fillId="0" borderId="0" xfId="0" applyFill="true" applyBorder="true" applyNumberFormat="true" applyFont="true"/>
    <xf numFmtId="0" fontId="3571" fillId="0" borderId="0" xfId="0" applyFill="true" applyBorder="true" applyNumberFormat="true" applyFont="true"/>
    <xf numFmtId="0" fontId="3572" fillId="0" borderId="0" xfId="0" applyFill="true" applyBorder="true" applyNumberFormat="true" applyFont="true"/>
    <xf numFmtId="0" fontId="3573" fillId="0" borderId="0" xfId="0" applyFill="true" applyBorder="true" applyNumberFormat="true" applyFont="true"/>
    <xf numFmtId="0" fontId="3574" fillId="0" borderId="0" xfId="0" applyFill="true" applyBorder="true" applyNumberFormat="true" applyFont="true"/>
    <xf numFmtId="0" fontId="3575" fillId="0" borderId="0" xfId="0" applyFill="true" applyBorder="true" applyNumberFormat="true" applyFont="true"/>
    <xf numFmtId="0" fontId="3576" fillId="0" borderId="0" xfId="0" applyFill="true" applyBorder="true" applyNumberFormat="true" applyFont="true"/>
    <xf numFmtId="0" fontId="3577" fillId="0" borderId="0" xfId="0" applyFill="true" applyBorder="true" applyNumberFormat="true" applyFont="true"/>
    <xf numFmtId="0" fontId="3578" fillId="0" borderId="0" xfId="0" applyFill="true" applyBorder="true" applyNumberFormat="true" applyFont="true"/>
    <xf numFmtId="0" fontId="3579" fillId="0" borderId="0" xfId="0" applyFill="true" applyBorder="true" applyNumberFormat="true" applyFont="true"/>
    <xf numFmtId="0" fontId="3580" fillId="0" borderId="0" xfId="0" applyFill="true" applyBorder="true" applyNumberFormat="true" applyFont="true"/>
    <xf numFmtId="0" fontId="3581" fillId="0" borderId="0" xfId="0" applyFill="true" applyBorder="true" applyNumberFormat="true" applyFont="true"/>
    <xf numFmtId="0" fontId="3582" fillId="0" borderId="0" xfId="0" applyFill="true" applyBorder="true" applyNumberFormat="true" applyFont="true"/>
    <xf numFmtId="0" fontId="3583" fillId="0" borderId="0" xfId="0" applyFill="true" applyBorder="true" applyNumberFormat="true" applyFont="true"/>
    <xf numFmtId="0" fontId="3584" fillId="0" borderId="0" xfId="0" applyFill="true" applyBorder="true" applyNumberFormat="true" applyFont="true"/>
    <xf numFmtId="0" fontId="3585" fillId="0" borderId="0" xfId="0" applyFill="true" applyBorder="true" applyNumberFormat="true" applyFont="true"/>
    <xf numFmtId="0" fontId="3586" fillId="0" borderId="0" xfId="0" applyFill="true" applyBorder="true" applyNumberFormat="true" applyFont="true"/>
    <xf numFmtId="0" fontId="3587" fillId="0" borderId="0" xfId="0" applyFill="true" applyBorder="true" applyNumberFormat="true" applyFont="true"/>
    <xf numFmtId="0" fontId="3588" fillId="0" borderId="0" xfId="0" applyFill="true" applyBorder="true" applyNumberFormat="true" applyFont="true"/>
    <xf numFmtId="0" fontId="3589" fillId="0" borderId="0" xfId="0" applyFill="true" applyBorder="true" applyNumberFormat="true" applyFont="true"/>
    <xf numFmtId="0" fontId="3590" fillId="0" borderId="0" xfId="0" applyFill="true" applyBorder="true" applyNumberFormat="true" applyFont="true"/>
    <xf numFmtId="0" fontId="3591" fillId="0" borderId="0" xfId="0" applyFill="true" applyBorder="true" applyNumberFormat="true" applyFont="true"/>
    <xf numFmtId="0" fontId="3592" fillId="0" borderId="0" xfId="0" applyFill="true" applyBorder="true" applyNumberFormat="true" applyFont="true"/>
    <xf numFmtId="0" fontId="3593" fillId="0" borderId="0" xfId="0" applyFill="true" applyBorder="true" applyNumberFormat="true" applyFont="true"/>
    <xf numFmtId="0" fontId="3594" fillId="0" borderId="0" xfId="0" applyFill="true" applyBorder="true" applyNumberFormat="true" applyFont="true"/>
    <xf numFmtId="0" fontId="3595" fillId="0" borderId="0" xfId="0" applyFill="true" applyBorder="true" applyNumberFormat="true" applyFont="true"/>
    <xf numFmtId="0" fontId="3596" fillId="0" borderId="0" xfId="0" applyFill="true" applyBorder="true" applyNumberFormat="true" applyFont="true"/>
    <xf numFmtId="0" fontId="3597" fillId="0" borderId="0" xfId="0" applyFill="true" applyBorder="true" applyNumberFormat="true" applyFont="true"/>
    <xf numFmtId="0" fontId="3598" fillId="0" borderId="0" xfId="0" applyFill="true" applyBorder="true" applyNumberFormat="true" applyFont="true"/>
    <xf numFmtId="0" fontId="3599" fillId="0" borderId="0" xfId="0" applyFill="true" applyBorder="true" applyNumberFormat="true" applyFont="true"/>
    <xf numFmtId="0" fontId="3600" fillId="0" borderId="0" xfId="0" applyFill="true" applyBorder="true" applyNumberFormat="true" applyFont="true"/>
    <xf numFmtId="0" fontId="3601" fillId="0" borderId="0" xfId="0" applyFill="true" applyBorder="true" applyNumberFormat="true" applyFont="true"/>
    <xf numFmtId="0" fontId="3602" fillId="0" borderId="0" xfId="0" applyFill="true" applyBorder="true" applyNumberFormat="true" applyFont="true"/>
    <xf numFmtId="0" fontId="3603" fillId="0" borderId="0" xfId="0" applyFill="true" applyBorder="true" applyNumberFormat="true" applyFont="true"/>
    <xf numFmtId="0" fontId="3604" fillId="0" borderId="0" xfId="0" applyFill="true" applyBorder="true" applyNumberFormat="true" applyFont="true"/>
    <xf numFmtId="0" fontId="3605" fillId="0" borderId="0" xfId="0" applyFill="true" applyBorder="true" applyNumberFormat="true" applyFont="true"/>
    <xf numFmtId="0" fontId="3606" fillId="0" borderId="0" xfId="0" applyFill="true" applyBorder="true" applyNumberFormat="true" applyFont="true"/>
    <xf numFmtId="0" fontId="3607" fillId="0" borderId="0" xfId="0" applyFill="true" applyBorder="true" applyNumberFormat="true" applyFont="true"/>
    <xf numFmtId="0" fontId="3608" fillId="0" borderId="0" xfId="0" applyFill="true" applyBorder="true" applyNumberFormat="true" applyFont="true"/>
    <xf numFmtId="0" fontId="3609" fillId="0" borderId="0" xfId="0" applyFill="true" applyBorder="true" applyNumberFormat="true" applyFont="true"/>
    <xf numFmtId="0" fontId="3610" fillId="0" borderId="0" xfId="0" applyFill="true" applyBorder="true" applyNumberFormat="true" applyFont="true"/>
    <xf numFmtId="0" fontId="3611" fillId="0" borderId="0" xfId="0" applyFill="true" applyBorder="true" applyNumberFormat="true" applyFont="true"/>
    <xf numFmtId="0" fontId="3612" fillId="0" borderId="0" xfId="0" applyFill="true" applyBorder="true" applyNumberFormat="true" applyFont="true"/>
    <xf numFmtId="0" fontId="3613" fillId="0" borderId="0" xfId="0" applyFill="true" applyBorder="true" applyNumberFormat="true" applyFont="true"/>
    <xf numFmtId="0" fontId="3614" fillId="0" borderId="0" xfId="0" applyFill="true" applyBorder="true" applyNumberFormat="true" applyFont="true"/>
    <xf numFmtId="0" fontId="3615" fillId="0" borderId="0" xfId="0" applyFill="true" applyBorder="true" applyNumberFormat="true" applyFont="true"/>
    <xf numFmtId="0" fontId="3616" fillId="0" borderId="0" xfId="0" applyFill="true" applyBorder="true" applyNumberFormat="true" applyFont="true"/>
    <xf numFmtId="0" fontId="3617" fillId="0" borderId="0" xfId="0" applyFill="true" applyBorder="true" applyNumberFormat="true" applyFont="true"/>
    <xf numFmtId="0" fontId="3618" fillId="0" borderId="0" xfId="0" applyFill="true" applyBorder="true" applyNumberFormat="true" applyFont="true"/>
    <xf numFmtId="0" fontId="3619" fillId="0" borderId="0" xfId="0" applyFill="true" applyBorder="true" applyNumberFormat="true" applyFont="true"/>
    <xf numFmtId="0" fontId="3620" fillId="0" borderId="0" xfId="0" applyFill="true" applyBorder="true" applyNumberFormat="true" applyFont="true"/>
    <xf numFmtId="0" fontId="3621" fillId="0" borderId="0" xfId="0" applyFill="true" applyBorder="true" applyNumberFormat="true" applyFont="true"/>
    <xf numFmtId="0" fontId="3622" fillId="0" borderId="0" xfId="0" applyFill="true" applyBorder="true" applyNumberFormat="true" applyFont="true"/>
    <xf numFmtId="0" fontId="3623" fillId="0" borderId="0" xfId="0" applyFill="true" applyBorder="true" applyNumberFormat="true" applyFont="true"/>
    <xf numFmtId="0" fontId="3624" fillId="0" borderId="0" xfId="0" applyFill="true" applyBorder="true" applyNumberFormat="true" applyFont="true"/>
    <xf numFmtId="0" fontId="3625" fillId="0" borderId="0" xfId="0" applyFill="true" applyBorder="true" applyNumberFormat="true" applyFont="true"/>
    <xf numFmtId="0" fontId="3626" fillId="0" borderId="0" xfId="0" applyFill="true" applyBorder="true" applyNumberFormat="true" applyFont="true"/>
    <xf numFmtId="0" fontId="3627" fillId="0" borderId="0" xfId="0" applyFill="true" applyBorder="true" applyNumberFormat="true" applyFont="true"/>
    <xf numFmtId="0" fontId="3628" fillId="0" borderId="0" xfId="0" applyFill="true" applyBorder="true" applyNumberFormat="true" applyFont="true"/>
    <xf numFmtId="0" fontId="3629" fillId="0" borderId="0" xfId="0" applyFill="true" applyBorder="true" applyNumberFormat="true" applyFont="true"/>
    <xf numFmtId="0" fontId="3630" fillId="0" borderId="0" xfId="0" applyFill="true" applyBorder="true" applyNumberFormat="true" applyFont="true"/>
    <xf numFmtId="0" fontId="3631" fillId="0" borderId="0" xfId="0" applyFill="true" applyBorder="true" applyNumberFormat="true" applyFont="true"/>
    <xf numFmtId="0" fontId="3632" fillId="0" borderId="0" xfId="0" applyFill="true" applyBorder="true" applyNumberFormat="true" applyFont="true"/>
    <xf numFmtId="0" fontId="3633" fillId="0" borderId="0" xfId="0" applyFill="true" applyBorder="true" applyNumberFormat="true" applyFont="true"/>
    <xf numFmtId="0" fontId="3634" fillId="0" borderId="0" xfId="0" applyFill="true" applyBorder="true" applyNumberFormat="true" applyFont="true"/>
    <xf numFmtId="0" fontId="3635" fillId="0" borderId="0" xfId="0" applyFill="true" applyBorder="true" applyNumberFormat="true" applyFont="true"/>
    <xf numFmtId="0" fontId="3636" fillId="0" borderId="0" xfId="0" applyFill="true" applyBorder="true" applyNumberFormat="true" applyFont="true"/>
    <xf numFmtId="0" fontId="3637" fillId="0" borderId="0" xfId="0" applyFill="true" applyBorder="true" applyNumberFormat="true" applyFont="true"/>
    <xf numFmtId="0" fontId="3638" fillId="0" borderId="0" xfId="0" applyFill="true" applyBorder="true" applyNumberFormat="true" applyFont="true"/>
    <xf numFmtId="0" fontId="3639" fillId="0" borderId="0" xfId="0" applyFill="true" applyBorder="true" applyNumberFormat="true" applyFont="true"/>
    <xf numFmtId="0" fontId="3640" fillId="0" borderId="0" xfId="0" applyFill="true" applyBorder="true" applyNumberFormat="true" applyFont="true"/>
    <xf numFmtId="0" fontId="3641" fillId="0" borderId="0" xfId="0" applyFill="true" applyBorder="true" applyNumberFormat="true" applyFont="true"/>
    <xf numFmtId="0" fontId="3642" fillId="0" borderId="0" xfId="0" applyFill="true" applyBorder="true" applyNumberFormat="true" applyFont="true"/>
    <xf numFmtId="0" fontId="3643" fillId="0" borderId="0" xfId="0" applyFill="true" applyBorder="true" applyNumberFormat="true" applyFont="true"/>
    <xf numFmtId="0" fontId="3644" fillId="0" borderId="0" xfId="0" applyFill="true" applyBorder="true" applyNumberFormat="true" applyFont="true"/>
    <xf numFmtId="0" fontId="3645" fillId="0" borderId="0" xfId="0" applyFill="true" applyBorder="true" applyNumberFormat="true" applyFont="true"/>
    <xf numFmtId="0" fontId="3646" fillId="0" borderId="0" xfId="0" applyFill="true" applyBorder="true" applyNumberFormat="true" applyFont="true"/>
    <xf numFmtId="0" fontId="3647" fillId="0" borderId="0" xfId="0" applyFill="true" applyBorder="true" applyNumberFormat="true" applyFont="true"/>
    <xf numFmtId="0" fontId="3648" fillId="0" borderId="0" xfId="0" applyFill="true" applyBorder="true" applyNumberFormat="true" applyFont="true"/>
    <xf numFmtId="0" fontId="3649" fillId="0" borderId="0" xfId="0" applyFill="true" applyBorder="true" applyNumberFormat="true" applyFont="true"/>
    <xf numFmtId="0" fontId="3650" fillId="0" borderId="0" xfId="0" applyFill="true" applyBorder="true" applyNumberFormat="true" applyFont="true"/>
    <xf numFmtId="0" fontId="3651" fillId="0" borderId="0" xfId="0" applyFill="true" applyBorder="true" applyNumberFormat="true" applyFont="true"/>
    <xf numFmtId="0" fontId="3652" fillId="0" borderId="0" xfId="0" applyFill="true" applyBorder="true" applyNumberFormat="true" applyFont="true"/>
    <xf numFmtId="0" fontId="3653" fillId="0" borderId="0" xfId="0" applyFill="true" applyBorder="true" applyNumberFormat="true" applyFont="true"/>
    <xf numFmtId="0" fontId="3654" fillId="0" borderId="0" xfId="0" applyFill="true" applyBorder="true" applyNumberFormat="true" applyFont="true"/>
    <xf numFmtId="0" fontId="3655" fillId="0" borderId="0" xfId="0" applyFill="true" applyBorder="true" applyNumberFormat="true" applyFont="true"/>
    <xf numFmtId="0" fontId="3656" fillId="0" borderId="0" xfId="0" applyFill="true" applyBorder="true" applyNumberFormat="true" applyFont="true"/>
    <xf numFmtId="0" fontId="3657" fillId="0" borderId="0" xfId="0" applyFill="true" applyBorder="true" applyNumberFormat="true" applyFont="true"/>
    <xf numFmtId="0" fontId="3658" fillId="0" borderId="0" xfId="0" applyFill="true" applyBorder="true" applyNumberFormat="true" applyFont="true"/>
    <xf numFmtId="0" fontId="3659" fillId="0" borderId="0" xfId="0" applyFill="true" applyBorder="true" applyNumberFormat="true" applyFont="true"/>
    <xf numFmtId="0" fontId="3660" fillId="0" borderId="0" xfId="0" applyFill="true" applyBorder="true" applyNumberFormat="true" applyFont="true"/>
    <xf numFmtId="0" fontId="3661" fillId="0" borderId="0" xfId="0" applyFill="true" applyBorder="true" applyNumberFormat="true" applyFont="true"/>
    <xf numFmtId="0" fontId="3662" fillId="0" borderId="0" xfId="0" applyFill="true" applyBorder="true" applyNumberFormat="true" applyFont="true"/>
    <xf numFmtId="0" fontId="3663" fillId="0" borderId="0" xfId="0" applyFill="true" applyBorder="true" applyNumberFormat="true" applyFont="true"/>
    <xf numFmtId="0" fontId="3664" fillId="0" borderId="0" xfId="0" applyFill="true" applyBorder="true" applyNumberFormat="true" applyFont="true"/>
    <xf numFmtId="0" fontId="3665" fillId="0" borderId="0" xfId="0" applyFill="true" applyBorder="true" applyNumberFormat="true" applyFont="true"/>
    <xf numFmtId="0" fontId="3666" fillId="0" borderId="0" xfId="0" applyFill="true" applyBorder="true" applyNumberFormat="true" applyFont="true"/>
    <xf numFmtId="0" fontId="3667" fillId="0" borderId="0" xfId="0" applyFill="true" applyBorder="true" applyNumberFormat="true" applyFont="true"/>
    <xf numFmtId="0" fontId="3668" fillId="0" borderId="0" xfId="0" applyFill="true" applyBorder="true" applyNumberFormat="true" applyFont="true"/>
    <xf numFmtId="0" fontId="3669" fillId="0" borderId="0" xfId="0" applyFill="true" applyBorder="true" applyNumberFormat="true" applyFont="true"/>
    <xf numFmtId="0" fontId="3670" fillId="0" borderId="0" xfId="0" applyFill="true" applyBorder="true" applyNumberFormat="true" applyFont="true"/>
    <xf numFmtId="0" fontId="3671" fillId="0" borderId="0" xfId="0" applyFill="true" applyBorder="true" applyNumberFormat="true" applyFont="true"/>
    <xf numFmtId="0" fontId="3672" fillId="0" borderId="0" xfId="0" applyFill="true" applyBorder="true" applyNumberFormat="true" applyFont="true"/>
    <xf numFmtId="0" fontId="3673" fillId="0" borderId="0" xfId="0" applyFill="true" applyBorder="true" applyNumberFormat="true" applyFont="true"/>
    <xf numFmtId="0" fontId="3674" fillId="0" borderId="0" xfId="0" applyFill="true" applyBorder="true" applyNumberFormat="true" applyFont="true"/>
    <xf numFmtId="0" fontId="3675" fillId="0" borderId="0" xfId="0" applyFill="true" applyBorder="true" applyNumberFormat="true" applyFont="true"/>
    <xf numFmtId="0" fontId="3676" fillId="0" borderId="0" xfId="0" applyFill="true" applyBorder="true" applyNumberFormat="true" applyFont="true"/>
    <xf numFmtId="0" fontId="3677" fillId="0" borderId="0" xfId="0" applyFill="true" applyBorder="true" applyNumberFormat="true" applyFont="true"/>
    <xf numFmtId="0" fontId="3678" fillId="0" borderId="0" xfId="0" applyFill="true" applyBorder="true" applyNumberFormat="true" applyFont="true"/>
    <xf numFmtId="0" fontId="3679" fillId="0" borderId="0" xfId="0" applyFill="true" applyBorder="true" applyNumberFormat="true" applyFont="true"/>
    <xf numFmtId="0" fontId="3680" fillId="0" borderId="0" xfId="0" applyFill="true" applyBorder="true" applyNumberFormat="true" applyFont="true"/>
    <xf numFmtId="0" fontId="3681" fillId="0" borderId="0" xfId="0" applyFill="true" applyBorder="true" applyNumberFormat="true" applyFont="true"/>
    <xf numFmtId="0" fontId="3682" fillId="0" borderId="0" xfId="0" applyFill="true" applyBorder="true" applyNumberFormat="true" applyFont="true"/>
    <xf numFmtId="0" fontId="3683" fillId="0" borderId="0" xfId="0" applyFill="true" applyBorder="true" applyNumberFormat="true" applyFont="true"/>
    <xf numFmtId="0" fontId="3684" fillId="0" borderId="0" xfId="0" applyFill="true" applyBorder="true" applyNumberFormat="true" applyFont="true"/>
    <xf numFmtId="0" fontId="3685" fillId="0" borderId="0" xfId="0" applyFill="true" applyBorder="true" applyNumberFormat="true" applyFont="true"/>
    <xf numFmtId="0" fontId="3686" fillId="0" borderId="0" xfId="0" applyFill="true" applyBorder="true" applyNumberFormat="true" applyFont="true"/>
    <xf numFmtId="0" fontId="3687" fillId="0" borderId="0" xfId="0" applyFill="true" applyBorder="true" applyNumberFormat="true" applyFont="true"/>
    <xf numFmtId="0" fontId="3688" fillId="0" borderId="0" xfId="0" applyFill="true" applyBorder="true" applyNumberFormat="true" applyFont="true"/>
    <xf numFmtId="0" fontId="3689" fillId="0" borderId="0" xfId="0" applyFill="true" applyBorder="true" applyNumberFormat="true" applyFont="true"/>
    <xf numFmtId="0" fontId="3690" fillId="0" borderId="0" xfId="0" applyFill="true" applyBorder="true" applyNumberFormat="true" applyFont="true"/>
    <xf numFmtId="0" fontId="3691" fillId="0" borderId="0" xfId="0" applyFill="true" applyBorder="true" applyNumberFormat="true" applyFont="true"/>
    <xf numFmtId="0" fontId="3692" fillId="0" borderId="0" xfId="0" applyFill="true" applyBorder="true" applyNumberFormat="true" applyFont="true"/>
    <xf numFmtId="0" fontId="3693" fillId="0" borderId="0" xfId="0" applyFill="true" applyBorder="true" applyNumberFormat="true" applyFont="true"/>
    <xf numFmtId="0" fontId="3694" fillId="0" borderId="0" xfId="0" applyFill="true" applyBorder="true" applyNumberFormat="true" applyFont="true"/>
    <xf numFmtId="0" fontId="3695" fillId="0" borderId="0" xfId="0" applyFill="true" applyBorder="true" applyNumberFormat="true" applyFont="true"/>
    <xf numFmtId="0" fontId="3696" fillId="0" borderId="0" xfId="0" applyFill="true" applyBorder="true" applyNumberFormat="true" applyFont="true"/>
    <xf numFmtId="0" fontId="3697" fillId="0" borderId="0" xfId="0" applyFill="true" applyBorder="true" applyNumberFormat="true" applyFont="true"/>
    <xf numFmtId="0" fontId="3698" fillId="0" borderId="0" xfId="0" applyFill="true" applyBorder="true" applyNumberFormat="true" applyFont="true"/>
    <xf numFmtId="0" fontId="3699" fillId="0" borderId="0" xfId="0" applyFill="true" applyBorder="true" applyNumberFormat="true" applyFont="true"/>
    <xf numFmtId="0" fontId="3700" fillId="0" borderId="0" xfId="0" applyFill="true" applyBorder="true" applyNumberFormat="true" applyFont="true"/>
    <xf numFmtId="0" fontId="3701" fillId="0" borderId="0" xfId="0" applyFill="true" applyBorder="true" applyNumberFormat="true" applyFont="true"/>
    <xf numFmtId="0" fontId="3702" fillId="0" borderId="0" xfId="0" applyFill="true" applyBorder="true" applyNumberFormat="true" applyFont="true"/>
    <xf numFmtId="0" fontId="3703" fillId="0" borderId="0" xfId="0" applyFill="true" applyBorder="true" applyNumberFormat="true" applyFont="true"/>
    <xf numFmtId="0" fontId="3704" fillId="0" borderId="0" xfId="0" applyFill="true" applyBorder="true" applyNumberFormat="true" applyFont="true"/>
    <xf numFmtId="0" fontId="3705" fillId="0" borderId="0" xfId="0" applyFill="true" applyBorder="true" applyNumberFormat="true" applyFont="true"/>
    <xf numFmtId="0" fontId="3706" fillId="0" borderId="0" xfId="0" applyFill="true" applyBorder="true" applyNumberFormat="true" applyFont="true"/>
    <xf numFmtId="0" fontId="3707" fillId="0" borderId="0" xfId="0" applyFill="true" applyBorder="true" applyNumberFormat="true" applyFont="true"/>
    <xf numFmtId="0" fontId="3708" fillId="0" borderId="0" xfId="0" applyFill="true" applyBorder="true" applyNumberFormat="true" applyFont="true"/>
    <xf numFmtId="0" fontId="3709" fillId="0" borderId="0" xfId="0" applyFill="true" applyBorder="true" applyNumberFormat="true" applyFont="true"/>
    <xf numFmtId="0" fontId="3710" fillId="0" borderId="0" xfId="0" applyFill="true" applyBorder="true" applyNumberFormat="true" applyFont="true"/>
    <xf numFmtId="0" fontId="3711" fillId="0" borderId="0" xfId="0" applyFill="true" applyBorder="true" applyNumberFormat="true" applyFont="true"/>
    <xf numFmtId="0" fontId="3712" fillId="0" borderId="0" xfId="0" applyFill="true" applyBorder="true" applyNumberFormat="true" applyFont="true"/>
    <xf numFmtId="0" fontId="3713" fillId="0" borderId="0" xfId="0" applyFill="true" applyBorder="true" applyNumberFormat="true" applyFont="true"/>
    <xf numFmtId="0" fontId="3714" fillId="0" borderId="0" xfId="0" applyFill="true" applyBorder="true" applyNumberFormat="true" applyFont="true"/>
    <xf numFmtId="0" fontId="3715" fillId="0" borderId="0" xfId="0" applyFill="true" applyBorder="true" applyNumberFormat="true" applyFont="true"/>
    <xf numFmtId="0" fontId="3716" fillId="0" borderId="0" xfId="0" applyFill="true" applyBorder="true" applyNumberFormat="true" applyFont="true"/>
    <xf numFmtId="0" fontId="3717" fillId="0" borderId="0" xfId="0" applyFill="true" applyBorder="true" applyNumberFormat="true" applyFont="true"/>
    <xf numFmtId="0" fontId="3718" fillId="0" borderId="0" xfId="0" applyFill="true" applyBorder="true" applyNumberFormat="true" applyFont="true"/>
    <xf numFmtId="0" fontId="3719" fillId="0" borderId="0" xfId="0" applyFill="true" applyBorder="true" applyNumberFormat="true" applyFont="true"/>
    <xf numFmtId="0" fontId="3720" fillId="0" borderId="0" xfId="0" applyFill="true" applyBorder="true" applyNumberFormat="true" applyFont="true"/>
    <xf numFmtId="0" fontId="3721" fillId="0" borderId="0" xfId="0" applyFill="true" applyBorder="true" applyNumberFormat="true" applyFont="true"/>
    <xf numFmtId="0" fontId="3722" fillId="0" borderId="0" xfId="0" applyFill="true" applyBorder="true" applyNumberFormat="true" applyFont="true"/>
    <xf numFmtId="0" fontId="3723" fillId="0" borderId="0" xfId="0" applyFill="true" applyBorder="true" applyNumberFormat="true" applyFont="true"/>
    <xf numFmtId="0" fontId="3724" fillId="0" borderId="0" xfId="0" applyFill="true" applyBorder="true" applyNumberFormat="true" applyFont="true"/>
    <xf numFmtId="0" fontId="3725" fillId="0" borderId="0" xfId="0" applyFill="true" applyBorder="true" applyNumberFormat="true" applyFont="true"/>
    <xf numFmtId="0" fontId="3726" fillId="0" borderId="0" xfId="0" applyFill="true" applyBorder="true" applyNumberFormat="true" applyFont="true"/>
    <xf numFmtId="0" fontId="3727" fillId="0" borderId="0" xfId="0" applyFill="true" applyBorder="true" applyNumberFormat="true" applyFont="true"/>
    <xf numFmtId="0" fontId="3728" fillId="0" borderId="0" xfId="0" applyFill="true" applyBorder="true" applyNumberFormat="true" applyFont="true"/>
    <xf numFmtId="0" fontId="3729" fillId="0" borderId="0" xfId="0" applyFill="true" applyBorder="true" applyNumberFormat="true" applyFont="true"/>
    <xf numFmtId="0" fontId="3730" fillId="0" borderId="0" xfId="0" applyFill="true" applyBorder="true" applyNumberFormat="true" applyFont="true"/>
    <xf numFmtId="0" fontId="3731" fillId="0" borderId="0" xfId="0" applyFill="true" applyBorder="true" applyNumberFormat="true" applyFont="true"/>
    <xf numFmtId="0" fontId="3732" fillId="0" borderId="0" xfId="0" applyFill="true" applyBorder="true" applyNumberFormat="true" applyFont="true"/>
    <xf numFmtId="0" fontId="3733" fillId="0" borderId="0" xfId="0" applyFill="true" applyBorder="true" applyNumberFormat="true" applyFont="true"/>
    <xf numFmtId="0" fontId="3734" fillId="0" borderId="0" xfId="0" applyFill="true" applyBorder="true" applyNumberFormat="true" applyFont="true"/>
    <xf numFmtId="0" fontId="3735" fillId="0" borderId="0" xfId="0" applyFill="true" applyBorder="true" applyNumberFormat="true" applyFont="true"/>
    <xf numFmtId="0" fontId="3736" fillId="0" borderId="0" xfId="0" applyFill="true" applyBorder="true" applyNumberFormat="true" applyFont="true"/>
    <xf numFmtId="0" fontId="3737" fillId="0" borderId="0" xfId="0" applyFill="true" applyBorder="true" applyNumberFormat="true" applyFont="true"/>
    <xf numFmtId="0" fontId="3738" fillId="0" borderId="0" xfId="0" applyFill="true" applyBorder="true" applyNumberFormat="true" applyFont="true"/>
    <xf numFmtId="0" fontId="3739" fillId="0" borderId="0" xfId="0" applyFill="true" applyBorder="true" applyNumberFormat="true" applyFont="true"/>
    <xf numFmtId="0" fontId="3740" fillId="0" borderId="0" xfId="0" applyFill="true" applyBorder="true" applyNumberFormat="true" applyFont="true"/>
    <xf numFmtId="0" fontId="3741" fillId="0" borderId="0" xfId="0" applyFill="true" applyBorder="true" applyNumberFormat="true" applyFont="true"/>
    <xf numFmtId="0" fontId="3742" fillId="0" borderId="0" xfId="0" applyFill="true" applyBorder="true" applyNumberFormat="true" applyFont="true"/>
    <xf numFmtId="0" fontId="3743" fillId="0" borderId="0" xfId="0" applyFill="true" applyBorder="true" applyNumberFormat="true" applyFont="true"/>
    <xf numFmtId="0" fontId="3744" fillId="0" borderId="0" xfId="0" applyFill="true" applyBorder="true" applyNumberFormat="true" applyFont="true"/>
    <xf numFmtId="0" fontId="3745" fillId="0" borderId="0" xfId="0" applyFill="true" applyBorder="true" applyNumberFormat="true" applyFont="true"/>
    <xf numFmtId="0" fontId="3746" fillId="0" borderId="0" xfId="0" applyFill="true" applyBorder="true" applyNumberFormat="true" applyFont="true"/>
    <xf numFmtId="0" fontId="3747" fillId="0" borderId="0" xfId="0" applyFill="true" applyBorder="true" applyNumberFormat="true" applyFont="true"/>
    <xf numFmtId="0" fontId="3748" fillId="0" borderId="0" xfId="0" applyFill="true" applyBorder="true" applyNumberFormat="true" applyFont="true"/>
    <xf numFmtId="0" fontId="3749" fillId="0" borderId="0" xfId="0" applyFill="true" applyBorder="true" applyNumberFormat="true" applyFont="true"/>
    <xf numFmtId="0" fontId="3750" fillId="0" borderId="0" xfId="0" applyFill="true" applyBorder="true" applyNumberFormat="true" applyFont="true"/>
    <xf numFmtId="0" fontId="3751" fillId="0" borderId="0" xfId="0" applyFill="true" applyBorder="true" applyNumberFormat="true" applyFont="true"/>
    <xf numFmtId="0" fontId="3752" fillId="0" borderId="0" xfId="0" applyFill="true" applyBorder="true" applyNumberFormat="true" applyFont="true"/>
    <xf numFmtId="0" fontId="3753" fillId="0" borderId="0" xfId="0" applyFill="true" applyBorder="true" applyNumberFormat="true" applyFont="true"/>
    <xf numFmtId="0" fontId="3754" fillId="0" borderId="0" xfId="0" applyFill="true" applyBorder="true" applyNumberFormat="true" applyFont="true"/>
    <xf numFmtId="0" fontId="3755" fillId="0" borderId="0" xfId="0" applyFill="true" applyBorder="true" applyNumberFormat="true" applyFont="true"/>
    <xf numFmtId="0" fontId="3756" fillId="0" borderId="0" xfId="0" applyFill="true" applyBorder="true" applyNumberFormat="true" applyFont="true"/>
    <xf numFmtId="0" fontId="3757" fillId="0" borderId="0" xfId="0" applyFill="true" applyBorder="true" applyNumberFormat="true" applyFont="true"/>
    <xf numFmtId="0" fontId="3758" fillId="0" borderId="0" xfId="0" applyFill="true" applyBorder="true" applyNumberFormat="true" applyFont="true"/>
    <xf numFmtId="0" fontId="3759" fillId="0" borderId="0" xfId="0" applyFill="true" applyBorder="true" applyNumberFormat="true" applyFont="true"/>
    <xf numFmtId="0" fontId="3760" fillId="0" borderId="0" xfId="0" applyFill="true" applyBorder="true" applyNumberFormat="true" applyFont="true"/>
    <xf numFmtId="0" fontId="3761" fillId="0" borderId="0" xfId="0" applyFill="true" applyBorder="true" applyNumberFormat="true" applyFont="true"/>
    <xf numFmtId="0" fontId="3762" fillId="0" borderId="0" xfId="0" applyFill="true" applyBorder="true" applyNumberFormat="true" applyFont="true"/>
    <xf numFmtId="0" fontId="3763" fillId="0" borderId="0" xfId="0" applyFill="true" applyBorder="true" applyNumberFormat="true" applyFont="true"/>
    <xf numFmtId="0" fontId="3764" fillId="0" borderId="0" xfId="0" applyFill="true" applyBorder="true" applyNumberFormat="true" applyFont="true"/>
    <xf numFmtId="0" fontId="3765" fillId="0" borderId="0" xfId="0" applyFill="true" applyBorder="true" applyNumberFormat="true" applyFont="true"/>
    <xf numFmtId="0" fontId="3766" fillId="0" borderId="0" xfId="0" applyFill="true" applyBorder="true" applyNumberFormat="true" applyFont="true"/>
    <xf numFmtId="0" fontId="3767" fillId="0" borderId="0" xfId="0" applyFill="true" applyBorder="true" applyNumberFormat="true" applyFont="true"/>
    <xf numFmtId="0" fontId="3768" fillId="0" borderId="0" xfId="0" applyFill="true" applyBorder="true" applyNumberFormat="true" applyFont="true"/>
    <xf numFmtId="0" fontId="3769" fillId="0" borderId="0" xfId="0" applyFill="true" applyBorder="true" applyNumberFormat="true" applyFont="true"/>
    <xf numFmtId="0" fontId="3770" fillId="0" borderId="0" xfId="0" applyFill="true" applyBorder="true" applyNumberFormat="true" applyFont="true"/>
    <xf numFmtId="0" fontId="3771" fillId="0" borderId="0" xfId="0" applyFill="true" applyBorder="true" applyNumberFormat="true" applyFont="true"/>
    <xf numFmtId="0" fontId="3772" fillId="0" borderId="0" xfId="0" applyFill="true" applyBorder="true" applyNumberFormat="true" applyFont="true"/>
    <xf numFmtId="0" fontId="3773" fillId="0" borderId="0" xfId="0" applyFill="true" applyBorder="true" applyNumberFormat="true" applyFont="true"/>
    <xf numFmtId="0" fontId="3774" fillId="0" borderId="0" xfId="0" applyFill="true" applyBorder="true" applyNumberFormat="true" applyFont="true"/>
    <xf numFmtId="0" fontId="3775" fillId="0" borderId="0" xfId="0" applyFill="true" applyBorder="true" applyNumberFormat="true" applyFont="true"/>
    <xf numFmtId="0" fontId="3776" fillId="0" borderId="0" xfId="0" applyFill="true" applyBorder="true" applyNumberFormat="true" applyFont="true"/>
    <xf numFmtId="0" fontId="3777" fillId="0" borderId="0" xfId="0" applyFill="true" applyBorder="true" applyNumberFormat="true" applyFont="true"/>
    <xf numFmtId="0" fontId="3778" fillId="0" borderId="0" xfId="0" applyFill="true" applyBorder="true" applyNumberFormat="true" applyFont="true"/>
    <xf numFmtId="0" fontId="3779" fillId="0" borderId="0" xfId="0" applyFill="true" applyBorder="true" applyNumberFormat="true" applyFont="true"/>
    <xf numFmtId="0" fontId="3780" fillId="0" borderId="0" xfId="0" applyFill="true" applyBorder="true" applyNumberFormat="true" applyFont="true"/>
    <xf numFmtId="0" fontId="3781" fillId="0" borderId="0" xfId="0" applyFill="true" applyBorder="true" applyNumberFormat="true" applyFont="true"/>
    <xf numFmtId="0" fontId="3782" fillId="0" borderId="0" xfId="0" applyFill="true" applyBorder="true" applyNumberFormat="true" applyFont="true"/>
    <xf numFmtId="0" fontId="3783" fillId="0" borderId="0" xfId="0" applyFill="true" applyBorder="true" applyNumberFormat="true" applyFont="true"/>
    <xf numFmtId="0" fontId="3784" fillId="0" borderId="0" xfId="0" applyFill="true" applyBorder="true" applyNumberFormat="true" applyFont="true"/>
    <xf numFmtId="0" fontId="3785" fillId="0" borderId="0" xfId="0" applyFill="true" applyBorder="true" applyNumberFormat="true" applyFont="true"/>
    <xf numFmtId="0" fontId="3786" fillId="0" borderId="0" xfId="0" applyFill="true" applyBorder="true" applyNumberFormat="true" applyFont="true"/>
    <xf numFmtId="0" fontId="3787" fillId="0" borderId="0" xfId="0" applyFill="true" applyBorder="true" applyNumberFormat="true" applyFont="true"/>
    <xf numFmtId="0" fontId="3788" fillId="0" borderId="0" xfId="0" applyFill="true" applyBorder="true" applyNumberFormat="true" applyFont="true"/>
    <xf numFmtId="0" fontId="3789" fillId="0" borderId="0" xfId="0" applyFill="true" applyBorder="true" applyNumberFormat="true" applyFont="true"/>
    <xf numFmtId="0" fontId="3790" fillId="0" borderId="0" xfId="0" applyFill="true" applyBorder="true" applyNumberFormat="true" applyFont="true"/>
    <xf numFmtId="0" fontId="3791" fillId="0" borderId="0" xfId="0" applyFill="true" applyBorder="true" applyNumberFormat="true" applyFont="true"/>
    <xf numFmtId="0" fontId="3792" fillId="0" borderId="0" xfId="0" applyFill="true" applyBorder="true" applyNumberFormat="true" applyFont="true"/>
    <xf numFmtId="0" fontId="3793" fillId="0" borderId="0" xfId="0" applyFill="true" applyBorder="true" applyNumberFormat="true" applyFont="true"/>
    <xf numFmtId="0" fontId="3794" fillId="0" borderId="0" xfId="0" applyFill="true" applyBorder="true" applyNumberFormat="true" applyFont="true"/>
    <xf numFmtId="0" fontId="3795" fillId="0" borderId="0" xfId="0" applyFill="true" applyBorder="true" applyNumberFormat="true" applyFont="true"/>
    <xf numFmtId="0" fontId="3796" fillId="0" borderId="0" xfId="0" applyFill="true" applyBorder="true" applyNumberFormat="true" applyFont="true"/>
    <xf numFmtId="0" fontId="3797" fillId="0" borderId="0" xfId="0" applyFill="true" applyBorder="true" applyNumberFormat="true" applyFont="true"/>
    <xf numFmtId="0" fontId="3798" fillId="0" borderId="0" xfId="0" applyFill="true" applyBorder="true" applyNumberFormat="true" applyFont="true"/>
    <xf numFmtId="0" fontId="3799" fillId="0" borderId="0" xfId="0" applyFill="true" applyBorder="true" applyNumberFormat="true" applyFont="true"/>
    <xf numFmtId="0" fontId="3800" fillId="0" borderId="0" xfId="0" applyFill="true" applyBorder="true" applyNumberFormat="true" applyFont="true"/>
    <xf numFmtId="0" fontId="3801" fillId="0" borderId="0" xfId="0" applyFill="true" applyBorder="true" applyNumberFormat="true" applyFont="true"/>
    <xf numFmtId="0" fontId="3802" fillId="0" borderId="0" xfId="0" applyFill="true" applyBorder="true" applyNumberFormat="true" applyFont="true"/>
    <xf numFmtId="0" fontId="3803" fillId="0" borderId="0" xfId="0" applyFill="true" applyBorder="true" applyNumberFormat="true" applyFont="true"/>
    <xf numFmtId="0" fontId="3804" fillId="0" borderId="0" xfId="0" applyFill="true" applyBorder="true" applyNumberFormat="true" applyFont="true"/>
    <xf numFmtId="0" fontId="3805" fillId="0" borderId="0" xfId="0" applyFill="true" applyBorder="true" applyNumberFormat="true" applyFont="true"/>
    <xf numFmtId="0" fontId="3806" fillId="0" borderId="0" xfId="0" applyFill="true" applyBorder="true" applyNumberFormat="true" applyFont="true"/>
    <xf numFmtId="0" fontId="3807" fillId="0" borderId="0" xfId="0" applyFill="true" applyBorder="true" applyNumberFormat="true" applyFont="true"/>
    <xf numFmtId="0" fontId="3808" fillId="0" borderId="0" xfId="0" applyFill="true" applyBorder="true" applyNumberFormat="true" applyFont="true"/>
    <xf numFmtId="0" fontId="3809" fillId="0" borderId="0" xfId="0" applyFill="true" applyBorder="true" applyNumberFormat="true" applyFont="true"/>
    <xf numFmtId="0" fontId="3810" fillId="0" borderId="0" xfId="0" applyFill="true" applyBorder="true" applyNumberFormat="true" applyFont="true"/>
    <xf numFmtId="0" fontId="3811" fillId="0" borderId="0" xfId="0" applyFill="true" applyBorder="true" applyNumberFormat="true" applyFont="true"/>
    <xf numFmtId="0" fontId="3812" fillId="0" borderId="0" xfId="0" applyFill="true" applyBorder="true" applyNumberFormat="true" applyFont="true"/>
    <xf numFmtId="0" fontId="3813" fillId="0" borderId="0" xfId="0" applyFill="true" applyBorder="true" applyNumberFormat="true" applyFont="true"/>
    <xf numFmtId="0" fontId="3814" fillId="0" borderId="0" xfId="0" applyFill="true" applyBorder="true" applyNumberFormat="true" applyFont="true"/>
    <xf numFmtId="0" fontId="3815" fillId="0" borderId="0" xfId="0" applyFill="true" applyBorder="true" applyNumberFormat="true" applyFont="true"/>
    <xf numFmtId="0" fontId="3816" fillId="0" borderId="0" xfId="0" applyFill="true" applyBorder="true" applyNumberFormat="true" applyFont="true"/>
    <xf numFmtId="0" fontId="3817" fillId="0" borderId="0" xfId="0" applyFill="true" applyBorder="true" applyNumberFormat="true" applyFont="true"/>
    <xf numFmtId="0" fontId="3818" fillId="0" borderId="0" xfId="0" applyFill="true" applyBorder="true" applyNumberFormat="true" applyFont="true"/>
    <xf numFmtId="0" fontId="3819" fillId="0" borderId="0" xfId="0" applyFill="true" applyBorder="true" applyNumberFormat="true" applyFont="true"/>
    <xf numFmtId="0" fontId="3820" fillId="0" borderId="0" xfId="0" applyFill="true" applyBorder="true" applyNumberFormat="true" applyFont="true"/>
    <xf numFmtId="0" fontId="3821" fillId="0" borderId="0" xfId="0" applyFill="true" applyBorder="true" applyNumberFormat="true" applyFont="true"/>
    <xf numFmtId="0" fontId="3822" fillId="0" borderId="0" xfId="0" applyFill="true" applyBorder="true" applyNumberFormat="true" applyFont="true"/>
    <xf numFmtId="0" fontId="3823" fillId="0" borderId="0" xfId="0" applyFill="true" applyBorder="true" applyNumberFormat="true" applyFont="true"/>
    <xf numFmtId="0" fontId="3824" fillId="0" borderId="0" xfId="0" applyFill="true" applyBorder="true" applyNumberFormat="true" applyFont="true"/>
    <xf numFmtId="0" fontId="3825" fillId="0" borderId="0" xfId="0" applyFill="true" applyBorder="true" applyNumberFormat="true" applyFont="true"/>
    <xf numFmtId="0" fontId="3826" fillId="0" borderId="0" xfId="0" applyFill="true" applyBorder="true" applyNumberFormat="true" applyFont="true"/>
    <xf numFmtId="0" fontId="3827" fillId="0" borderId="0" xfId="0" applyFill="true" applyBorder="true" applyNumberFormat="true" applyFont="true"/>
    <xf numFmtId="0" fontId="3828" fillId="0" borderId="0" xfId="0" applyFill="true" applyBorder="true" applyNumberFormat="true" applyFont="true"/>
    <xf numFmtId="0" fontId="3829" fillId="0" borderId="0" xfId="0" applyFill="true" applyBorder="true" applyNumberFormat="true" applyFont="true"/>
    <xf numFmtId="0" fontId="3830" fillId="0" borderId="0" xfId="0" applyFill="true" applyBorder="true" applyNumberFormat="true" applyFont="true"/>
    <xf numFmtId="0" fontId="3831" fillId="0" borderId="0" xfId="0" applyFill="true" applyBorder="true" applyNumberFormat="true" applyFont="true"/>
    <xf numFmtId="0" fontId="3832" fillId="0" borderId="0" xfId="0" applyFill="true" applyBorder="true" applyNumberFormat="true" applyFont="true"/>
    <xf numFmtId="0" fontId="3833" fillId="0" borderId="0" xfId="0" applyFill="true" applyBorder="true" applyNumberFormat="true" applyFont="true"/>
    <xf numFmtId="0" fontId="3834" fillId="0" borderId="0" xfId="0" applyFill="true" applyBorder="true" applyNumberFormat="true" applyFont="true"/>
    <xf numFmtId="0" fontId="3835" fillId="0" borderId="0" xfId="0" applyFill="true" applyBorder="true" applyNumberFormat="true" applyFont="true"/>
    <xf numFmtId="0" fontId="3836" fillId="0" borderId="0" xfId="0" applyFill="true" applyBorder="true" applyNumberFormat="true" applyFont="true"/>
    <xf numFmtId="0" fontId="3837" fillId="0" borderId="0" xfId="0" applyFill="true" applyBorder="true" applyNumberFormat="true" applyFont="true"/>
    <xf numFmtId="0" fontId="3838" fillId="0" borderId="0" xfId="0" applyFill="true" applyBorder="true" applyNumberFormat="true" applyFont="true"/>
    <xf numFmtId="0" fontId="3839" fillId="0" borderId="0" xfId="0" applyFill="true" applyBorder="true" applyNumberFormat="true" applyFont="true"/>
    <xf numFmtId="0" fontId="3840" fillId="0" borderId="0" xfId="0" applyFill="true" applyBorder="true" applyNumberFormat="true" applyFont="true"/>
    <xf numFmtId="0" fontId="3841" fillId="0" borderId="0" xfId="0" applyFill="true" applyBorder="true" applyNumberFormat="true" applyFont="true"/>
    <xf numFmtId="0" fontId="3842" fillId="0" borderId="0" xfId="0" applyFill="true" applyBorder="true" applyNumberFormat="true" applyFont="true"/>
    <xf numFmtId="0" fontId="3843" fillId="0" borderId="0" xfId="0" applyFill="true" applyBorder="true" applyNumberFormat="true" applyFont="true"/>
    <xf numFmtId="0" fontId="3844" fillId="0" borderId="0" xfId="0" applyFill="true" applyBorder="true" applyNumberFormat="true" applyFont="true"/>
    <xf numFmtId="0" fontId="3845" fillId="0" borderId="0" xfId="0" applyFill="true" applyBorder="true" applyNumberFormat="true" applyFont="true"/>
    <xf numFmtId="0" fontId="3846" fillId="0" borderId="0" xfId="0" applyFill="true" applyBorder="true" applyNumberFormat="true" applyFont="true"/>
    <xf numFmtId="0" fontId="3847" fillId="0" borderId="0" xfId="0" applyFill="true" applyBorder="true" applyNumberFormat="true" applyFont="true"/>
    <xf numFmtId="0" fontId="3848" fillId="0" borderId="0" xfId="0" applyFill="true" applyBorder="true" applyNumberFormat="true" applyFont="true"/>
    <xf numFmtId="0" fontId="3849" fillId="0" borderId="0" xfId="0" applyFill="true" applyBorder="true" applyNumberFormat="true" applyFont="true"/>
    <xf numFmtId="0" fontId="3850" fillId="0" borderId="0" xfId="0" applyFill="true" applyBorder="true" applyNumberFormat="true" applyFont="true"/>
    <xf numFmtId="0" fontId="3851" fillId="0" borderId="0" xfId="0" applyFill="true" applyBorder="true" applyNumberFormat="true" applyFont="true"/>
    <xf numFmtId="0" fontId="3852" fillId="0" borderId="0" xfId="0" applyFill="true" applyBorder="true" applyNumberFormat="true" applyFont="true"/>
    <xf numFmtId="0" fontId="3853" fillId="0" borderId="0" xfId="0" applyFill="true" applyBorder="true" applyNumberFormat="true" applyFont="true"/>
    <xf numFmtId="0" fontId="3854" fillId="0" borderId="0" xfId="0" applyFill="true" applyBorder="true" applyNumberFormat="true" applyFont="true"/>
    <xf numFmtId="0" fontId="3855" fillId="0" borderId="0" xfId="0" applyFill="true" applyBorder="true" applyNumberFormat="true" applyFont="true"/>
    <xf numFmtId="0" fontId="3856" fillId="0" borderId="0" xfId="0" applyFill="true" applyBorder="true" applyNumberFormat="true" applyFont="true"/>
    <xf numFmtId="0" fontId="3857" fillId="0" borderId="0" xfId="0" applyFill="true" applyBorder="true" applyNumberFormat="true" applyFont="true"/>
    <xf numFmtId="0" fontId="3858" fillId="0" borderId="0" xfId="0" applyFill="true" applyBorder="true" applyNumberFormat="true" applyFont="true"/>
    <xf numFmtId="0" fontId="3859" fillId="0" borderId="0" xfId="0" applyFill="true" applyBorder="true" applyNumberFormat="true" applyFont="true"/>
    <xf numFmtId="0" fontId="3860" fillId="0" borderId="0" xfId="0" applyFill="true" applyBorder="true" applyNumberFormat="true" applyFont="true"/>
    <xf numFmtId="0" fontId="3861" fillId="0" borderId="0" xfId="0" applyFill="true" applyBorder="true" applyNumberFormat="true" applyFont="true"/>
    <xf numFmtId="0" fontId="3862" fillId="0" borderId="0" xfId="0" applyFill="true" applyBorder="true" applyNumberFormat="true" applyFont="true"/>
    <xf numFmtId="0" fontId="3863" fillId="0" borderId="0" xfId="0" applyFill="true" applyBorder="true" applyNumberFormat="true" applyFont="true"/>
    <xf numFmtId="0" fontId="3864" fillId="0" borderId="0" xfId="0" applyFill="true" applyBorder="true" applyNumberFormat="true" applyFont="true"/>
    <xf numFmtId="0" fontId="3865" fillId="0" borderId="0" xfId="0" applyFill="true" applyBorder="true" applyNumberFormat="true" applyFont="true"/>
    <xf numFmtId="0" fontId="3866" fillId="0" borderId="0" xfId="0" applyFill="true" applyBorder="true" applyNumberFormat="true" applyFont="true"/>
    <xf numFmtId="0" fontId="3867" fillId="0" borderId="0" xfId="0" applyFill="true" applyBorder="true" applyNumberFormat="true" applyFont="true"/>
    <xf numFmtId="0" fontId="3868" fillId="0" borderId="0" xfId="0" applyFill="true" applyBorder="true" applyNumberFormat="true" applyFont="true"/>
    <xf numFmtId="0" fontId="3869" fillId="0" borderId="0" xfId="0" applyFill="true" applyBorder="true" applyNumberFormat="true" applyFont="true"/>
    <xf numFmtId="0" fontId="3870" fillId="0" borderId="0" xfId="0" applyFill="true" applyBorder="true" applyNumberFormat="true" applyFont="true"/>
    <xf numFmtId="0" fontId="3871" fillId="0" borderId="0" xfId="0" applyFill="true" applyBorder="true" applyNumberFormat="true" applyFont="true"/>
    <xf numFmtId="0" fontId="3872" fillId="0" borderId="0" xfId="0" applyFill="true" applyBorder="true" applyNumberFormat="true" applyFont="true"/>
    <xf numFmtId="0" fontId="3873" fillId="0" borderId="0" xfId="0" applyFill="true" applyBorder="true" applyNumberFormat="true" applyFont="true"/>
    <xf numFmtId="0" fontId="3874" fillId="0" borderId="0" xfId="0" applyFill="true" applyBorder="true" applyNumberFormat="true" applyFont="true"/>
    <xf numFmtId="0" fontId="3875" fillId="0" borderId="0" xfId="0" applyFill="true" applyBorder="true" applyNumberFormat="true" applyFont="true"/>
    <xf numFmtId="0" fontId="3876" fillId="0" borderId="0" xfId="0" applyFill="true" applyBorder="true" applyNumberFormat="true" applyFont="true"/>
    <xf numFmtId="0" fontId="3877" fillId="0" borderId="0" xfId="0" applyFill="true" applyBorder="true" applyNumberFormat="true" applyFont="true"/>
    <xf numFmtId="0" fontId="3878" fillId="0" borderId="0" xfId="0" applyFill="true" applyBorder="true" applyNumberFormat="true" applyFont="true"/>
    <xf numFmtId="0" fontId="3879" fillId="0" borderId="0" xfId="0" applyFill="true" applyBorder="true" applyNumberFormat="true" applyFont="true"/>
    <xf numFmtId="0" fontId="3880" fillId="0" borderId="0" xfId="0" applyFill="true" applyBorder="true" applyNumberFormat="true" applyFont="true"/>
    <xf numFmtId="0" fontId="3881" fillId="0" borderId="0" xfId="0" applyFill="true" applyBorder="true" applyNumberFormat="true" applyFont="true"/>
    <xf numFmtId="0" fontId="3882" fillId="0" borderId="0" xfId="0" applyFill="true" applyBorder="true" applyNumberFormat="true" applyFont="true"/>
    <xf numFmtId="0" fontId="3883" fillId="0" borderId="0" xfId="0" applyFill="true" applyBorder="true" applyNumberFormat="true" applyFont="true"/>
    <xf numFmtId="0" fontId="3884" fillId="0" borderId="0" xfId="0" applyFill="true" applyBorder="true" applyNumberFormat="true" applyFont="true"/>
    <xf numFmtId="0" fontId="3885" fillId="0" borderId="0" xfId="0" applyFill="true" applyBorder="true" applyNumberFormat="true" applyFont="true"/>
    <xf numFmtId="0" fontId="3886" fillId="0" borderId="0" xfId="0" applyFill="true" applyBorder="true" applyNumberFormat="true" applyFont="true"/>
    <xf numFmtId="0" fontId="3887" fillId="0" borderId="0" xfId="0" applyFill="true" applyBorder="true" applyNumberFormat="true" applyFont="true"/>
    <xf numFmtId="0" fontId="3888" fillId="0" borderId="0" xfId="0" applyFill="true" applyBorder="true" applyNumberFormat="true" applyFont="true"/>
    <xf numFmtId="0" fontId="3889" fillId="0" borderId="0" xfId="0" applyFill="true" applyBorder="true" applyNumberFormat="true" applyFont="true"/>
    <xf numFmtId="0" fontId="3890" fillId="0" borderId="0" xfId="0" applyFill="true" applyBorder="true" applyNumberFormat="true" applyFont="true"/>
    <xf numFmtId="0" fontId="3891" fillId="0" borderId="0" xfId="0" applyFill="true" applyBorder="true" applyNumberFormat="true" applyFont="true"/>
    <xf numFmtId="0" fontId="3892" fillId="0" borderId="0" xfId="0" applyFill="true" applyBorder="true" applyNumberFormat="true" applyFont="true"/>
    <xf numFmtId="0" fontId="3893" fillId="0" borderId="0" xfId="0" applyFill="true" applyBorder="true" applyNumberFormat="true" applyFont="true"/>
    <xf numFmtId="0" fontId="3894" fillId="0" borderId="0" xfId="0" applyFill="true" applyBorder="true" applyNumberFormat="true" applyFont="true"/>
    <xf numFmtId="0" fontId="3895" fillId="0" borderId="0" xfId="0" applyFill="true" applyBorder="true" applyNumberFormat="true" applyFont="true"/>
    <xf numFmtId="0" fontId="3896" fillId="0" borderId="0" xfId="0" applyFill="true" applyBorder="true" applyNumberFormat="true" applyFont="true"/>
    <xf numFmtId="0" fontId="3897" fillId="0" borderId="0" xfId="0" applyFill="true" applyBorder="true" applyNumberFormat="true" applyFont="true"/>
    <xf numFmtId="0" fontId="3898" fillId="0" borderId="0" xfId="0" applyFill="true" applyBorder="true" applyNumberFormat="true" applyFont="true"/>
    <xf numFmtId="0" fontId="3899" fillId="0" borderId="0" xfId="0" applyFill="true" applyBorder="true" applyNumberFormat="true" applyFont="true"/>
    <xf numFmtId="0" fontId="3900" fillId="0" borderId="0" xfId="0" applyFill="true" applyBorder="true" applyNumberFormat="true" applyFont="true"/>
    <xf numFmtId="0" fontId="3901" fillId="0" borderId="0" xfId="0" applyFill="true" applyBorder="true" applyNumberFormat="true" applyFont="true"/>
    <xf numFmtId="0" fontId="3902" fillId="0" borderId="0" xfId="0" applyFill="true" applyBorder="true" applyNumberFormat="true" applyFont="true"/>
    <xf numFmtId="0" fontId="3903" fillId="0" borderId="0" xfId="0" applyFill="true" applyBorder="true" applyNumberFormat="true" applyFont="true"/>
    <xf numFmtId="0" fontId="3904" fillId="0" borderId="0" xfId="0" applyFill="true" applyBorder="true" applyNumberFormat="true" applyFont="true"/>
    <xf numFmtId="0" fontId="3905" fillId="0" borderId="0" xfId="0" applyFill="true" applyBorder="true" applyNumberFormat="true" applyFont="true"/>
    <xf numFmtId="0" fontId="3906" fillId="0" borderId="0" xfId="0" applyFill="true" applyBorder="true" applyNumberFormat="true" applyFont="true"/>
    <xf numFmtId="0" fontId="3907" fillId="0" borderId="0" xfId="0" applyFill="true" applyBorder="true" applyNumberFormat="true" applyFont="true"/>
    <xf numFmtId="0" fontId="3908" fillId="0" borderId="0" xfId="0" applyFill="true" applyBorder="true" applyNumberFormat="true" applyFont="true"/>
    <xf numFmtId="0" fontId="3909" fillId="0" borderId="0" xfId="0" applyFill="true" applyBorder="true" applyNumberFormat="true" applyFont="true"/>
    <xf numFmtId="0" fontId="3910" fillId="0" borderId="0" xfId="0" applyFill="true" applyBorder="true" applyNumberFormat="true" applyFont="true"/>
    <xf numFmtId="0" fontId="3911" fillId="0" borderId="0" xfId="0" applyFill="true" applyBorder="true" applyNumberFormat="true" applyFont="true"/>
    <xf numFmtId="0" fontId="3912" fillId="0" borderId="0" xfId="0" applyFill="true" applyBorder="true" applyNumberFormat="true" applyFont="true"/>
    <xf numFmtId="0" fontId="3913" fillId="0" borderId="0" xfId="0" applyFill="true" applyBorder="true" applyNumberFormat="true" applyFont="true"/>
    <xf numFmtId="0" fontId="3914" fillId="0" borderId="0" xfId="0" applyFill="true" applyBorder="true" applyNumberFormat="true" applyFont="true"/>
    <xf numFmtId="0" fontId="3915" fillId="0" borderId="0" xfId="0" applyFill="true" applyBorder="true" applyNumberFormat="true" applyFont="true"/>
    <xf numFmtId="0" fontId="3916" fillId="0" borderId="0" xfId="0" applyFill="true" applyBorder="true" applyNumberFormat="true" applyFont="true"/>
    <xf numFmtId="0" fontId="3917" fillId="0" borderId="0" xfId="0" applyFill="true" applyBorder="true" applyNumberFormat="true" applyFont="true"/>
    <xf numFmtId="0" fontId="3918" fillId="0" borderId="0" xfId="0" applyFill="true" applyBorder="true" applyNumberFormat="true" applyFont="true"/>
    <xf numFmtId="0" fontId="3919" fillId="0" borderId="0" xfId="0" applyFill="true" applyBorder="true" applyNumberFormat="true" applyFont="true"/>
    <xf numFmtId="0" fontId="3920" fillId="0" borderId="0" xfId="0" applyFill="true" applyBorder="true" applyNumberFormat="true" applyFont="true"/>
    <xf numFmtId="0" fontId="3921" fillId="0" borderId="0" xfId="0" applyFill="true" applyBorder="true" applyNumberFormat="true" applyFont="true"/>
    <xf numFmtId="0" fontId="3922" fillId="0" borderId="0" xfId="0" applyFill="true" applyBorder="true" applyNumberFormat="true" applyFont="true"/>
    <xf numFmtId="0" fontId="3923" fillId="0" borderId="0" xfId="0" applyFill="true" applyBorder="true" applyNumberFormat="true" applyFont="true"/>
    <xf numFmtId="0" fontId="3924" fillId="0" borderId="0" xfId="0" applyFill="true" applyBorder="true" applyNumberFormat="true" applyFont="true"/>
    <xf numFmtId="0" fontId="3925" fillId="0" borderId="0" xfId="0" applyFill="true" applyBorder="true" applyNumberFormat="true" applyFont="true"/>
    <xf numFmtId="0" fontId="3926" fillId="0" borderId="0" xfId="0" applyFill="true" applyBorder="true" applyNumberFormat="true" applyFont="true"/>
    <xf numFmtId="0" fontId="3927" fillId="0" borderId="0" xfId="0" applyFill="true" applyBorder="true" applyNumberFormat="true" applyFont="true"/>
    <xf numFmtId="0" fontId="3928" fillId="0" borderId="0" xfId="0" applyFill="true" applyBorder="true" applyNumberFormat="true" applyFont="true"/>
    <xf numFmtId="0" fontId="3929" fillId="0" borderId="0" xfId="0" applyFill="true" applyBorder="true" applyNumberFormat="true" applyFont="true"/>
    <xf numFmtId="0" fontId="3930" fillId="0" borderId="0" xfId="0" applyFill="true" applyBorder="true" applyNumberFormat="true" applyFont="true"/>
    <xf numFmtId="0" fontId="3931" fillId="0" borderId="0" xfId="0" applyFill="true" applyBorder="true" applyNumberFormat="true" applyFont="true"/>
    <xf numFmtId="0" fontId="3932" fillId="0" borderId="0" xfId="0" applyFill="true" applyBorder="true" applyNumberFormat="true" applyFont="true"/>
    <xf numFmtId="0" fontId="3933" fillId="0" borderId="0" xfId="0" applyFill="true" applyBorder="true" applyNumberFormat="true" applyFont="true"/>
    <xf numFmtId="0" fontId="3934" fillId="0" borderId="0" xfId="0" applyFill="true" applyBorder="true" applyNumberFormat="true" applyFont="true"/>
    <xf numFmtId="0" fontId="3935" fillId="0" borderId="0" xfId="0" applyFill="true" applyBorder="true" applyNumberFormat="true" applyFont="true"/>
    <xf numFmtId="0" fontId="3936" fillId="0" borderId="0" xfId="0" applyFill="true" applyBorder="true" applyNumberFormat="true" applyFont="true"/>
    <xf numFmtId="0" fontId="3937" fillId="0" borderId="0" xfId="0" applyFill="true" applyBorder="true" applyNumberFormat="true" applyFont="true"/>
    <xf numFmtId="0" fontId="3938" fillId="0" borderId="0" xfId="0" applyFill="true" applyBorder="true" applyNumberFormat="true" applyFont="true"/>
    <xf numFmtId="0" fontId="3939" fillId="0" borderId="0" xfId="0" applyFill="true" applyBorder="true" applyNumberFormat="true" applyFont="true"/>
    <xf numFmtId="0" fontId="3940" fillId="0" borderId="0" xfId="0" applyFill="true" applyBorder="true" applyNumberFormat="true" applyFont="true"/>
    <xf numFmtId="0" fontId="3941" fillId="0" borderId="0" xfId="0" applyFill="true" applyBorder="true" applyNumberFormat="true" applyFont="true"/>
    <xf numFmtId="0" fontId="3942" fillId="0" borderId="0" xfId="0" applyFill="true" applyBorder="true" applyNumberFormat="true" applyFont="true"/>
    <xf numFmtId="0" fontId="3943" fillId="0" borderId="0" xfId="0" applyFill="true" applyBorder="true" applyNumberFormat="true" applyFont="true"/>
    <xf numFmtId="0" fontId="3944" fillId="0" borderId="0" xfId="0" applyFill="true" applyBorder="true" applyNumberFormat="true" applyFont="true"/>
    <xf numFmtId="0" fontId="3945" fillId="0" borderId="0" xfId="0" applyFill="true" applyBorder="true" applyNumberFormat="true" applyFont="true"/>
    <xf numFmtId="0" fontId="3946" fillId="0" borderId="0" xfId="0" applyFill="true" applyBorder="true" applyNumberFormat="true" applyFont="true"/>
    <xf numFmtId="0" fontId="3947" fillId="0" borderId="0" xfId="0" applyFill="true" applyBorder="true" applyNumberFormat="true" applyFont="true"/>
    <xf numFmtId="0" fontId="3948" fillId="0" borderId="0" xfId="0" applyFill="true" applyBorder="true" applyNumberFormat="true" applyFont="true"/>
    <xf numFmtId="0" fontId="3949" fillId="0" borderId="0" xfId="0" applyFill="true" applyBorder="true" applyNumberFormat="true" applyFont="true"/>
    <xf numFmtId="0" fontId="3950" fillId="0" borderId="0" xfId="0" applyFill="true" applyBorder="true" applyNumberFormat="true" applyFont="true"/>
    <xf numFmtId="0" fontId="3951" fillId="0" borderId="0" xfId="0" applyFill="true" applyBorder="true" applyNumberFormat="true" applyFont="true"/>
    <xf numFmtId="0" fontId="3952" fillId="0" borderId="0" xfId="0" applyFill="true" applyBorder="true" applyNumberFormat="true" applyFont="true"/>
    <xf numFmtId="0" fontId="3953" fillId="0" borderId="0" xfId="0" applyFill="true" applyBorder="true" applyNumberFormat="true" applyFont="true"/>
    <xf numFmtId="0" fontId="3954" fillId="0" borderId="0" xfId="0" applyFill="true" applyBorder="true" applyNumberFormat="true" applyFont="true"/>
    <xf numFmtId="0" fontId="3955" fillId="0" borderId="0" xfId="0" applyFill="true" applyBorder="true" applyNumberFormat="true" applyFont="true"/>
    <xf numFmtId="0" fontId="3956" fillId="0" borderId="0" xfId="0" applyFill="true" applyBorder="true" applyNumberFormat="true" applyFont="true"/>
    <xf numFmtId="0" fontId="3957" fillId="0" borderId="0" xfId="0" applyFill="true" applyBorder="true" applyNumberFormat="true" applyFont="true"/>
    <xf numFmtId="0" fontId="3958" fillId="0" borderId="0" xfId="0" applyFill="true" applyBorder="true" applyNumberFormat="true" applyFont="true"/>
    <xf numFmtId="0" fontId="3959" fillId="0" borderId="0" xfId="0" applyFill="true" applyBorder="true" applyNumberFormat="true" applyFont="true"/>
    <xf numFmtId="0" fontId="3960" fillId="0" borderId="0" xfId="0" applyFill="true" applyBorder="true" applyNumberFormat="true" applyFont="true"/>
    <xf numFmtId="0" fontId="3961" fillId="0" borderId="0" xfId="0" applyFill="true" applyBorder="true" applyNumberFormat="true" applyFont="true"/>
    <xf numFmtId="0" fontId="3962" fillId="0" borderId="0" xfId="0" applyFill="true" applyBorder="true" applyNumberFormat="true" applyFont="true"/>
    <xf numFmtId="0" fontId="3963" fillId="0" borderId="0" xfId="0" applyFill="true" applyBorder="true" applyNumberFormat="true" applyFont="true"/>
    <xf numFmtId="0" fontId="3964" fillId="0" borderId="0" xfId="0" applyFill="true" applyBorder="true" applyNumberFormat="true" applyFont="true"/>
    <xf numFmtId="0" fontId="3965" fillId="0" borderId="0" xfId="0" applyFill="true" applyBorder="true" applyNumberFormat="true" applyFont="true"/>
    <xf numFmtId="0" fontId="3966" fillId="0" borderId="0" xfId="0" applyFill="true" applyBorder="true" applyNumberFormat="true" applyFont="true"/>
    <xf numFmtId="0" fontId="3967" fillId="0" borderId="0" xfId="0" applyFill="true" applyBorder="true" applyNumberFormat="true" applyFont="true"/>
    <xf numFmtId="0" fontId="3968" fillId="0" borderId="0" xfId="0" applyFill="true" applyBorder="true" applyNumberFormat="true" applyFont="true"/>
    <xf numFmtId="0" fontId="3969" fillId="0" borderId="0" xfId="0" applyFill="true" applyBorder="true" applyNumberFormat="true" applyFont="true"/>
    <xf numFmtId="0" fontId="3970" fillId="0" borderId="0" xfId="0" applyFill="true" applyBorder="true" applyNumberFormat="true" applyFont="true"/>
    <xf numFmtId="0" fontId="3971" fillId="0" borderId="0" xfId="0" applyFill="true" applyBorder="true" applyNumberFormat="true" applyFont="true"/>
    <xf numFmtId="0" fontId="3972" fillId="0" borderId="0" xfId="0" applyFill="true" applyBorder="true" applyNumberFormat="true" applyFont="true"/>
    <xf numFmtId="0" fontId="3973" fillId="0" borderId="0" xfId="0" applyFill="true" applyBorder="true" applyNumberFormat="true" applyFont="true"/>
    <xf numFmtId="0" fontId="3974" fillId="0" borderId="0" xfId="0" applyFill="true" applyBorder="true" applyNumberFormat="true" applyFont="true"/>
    <xf numFmtId="0" fontId="3975" fillId="0" borderId="0" xfId="0" applyFill="true" applyBorder="true" applyNumberFormat="true" applyFont="true"/>
    <xf numFmtId="0" fontId="3976" fillId="0" borderId="0" xfId="0" applyFill="true" applyBorder="true" applyNumberFormat="true" applyFont="true"/>
    <xf numFmtId="0" fontId="3977" fillId="0" borderId="0" xfId="0" applyFill="true" applyBorder="true" applyNumberFormat="true" applyFont="true"/>
    <xf numFmtId="0" fontId="3978" fillId="0" borderId="0" xfId="0" applyFill="true" applyBorder="true" applyNumberFormat="true" applyFont="true"/>
    <xf numFmtId="0" fontId="3979" fillId="0" borderId="0" xfId="0" applyFill="true" applyBorder="true" applyNumberFormat="true" applyFont="true"/>
    <xf numFmtId="0" fontId="3980" fillId="0" borderId="0" xfId="0" applyFill="true" applyBorder="true" applyNumberFormat="true" applyFont="true"/>
    <xf numFmtId="0" fontId="3981" fillId="0" borderId="0" xfId="0" applyFill="true" applyBorder="true" applyNumberFormat="true" applyFont="true"/>
    <xf numFmtId="0" fontId="3982" fillId="0" borderId="0" xfId="0" applyFill="true" applyBorder="true" applyNumberFormat="true" applyFont="true"/>
    <xf numFmtId="0" fontId="3983" fillId="0" borderId="0" xfId="0" applyFill="true" applyBorder="true" applyNumberFormat="true" applyFont="true"/>
    <xf numFmtId="0" fontId="3984" fillId="0" borderId="0" xfId="0" applyFill="true" applyBorder="true" applyNumberFormat="true" applyFont="true"/>
    <xf numFmtId="0" fontId="3985" fillId="0" borderId="0" xfId="0" applyFill="true" applyBorder="true" applyNumberFormat="true" applyFont="true"/>
    <xf numFmtId="0" fontId="3986" fillId="0" borderId="0" xfId="0" applyFill="true" applyBorder="true" applyNumberFormat="true" applyFont="true"/>
    <xf numFmtId="0" fontId="3987" fillId="0" borderId="0" xfId="0" applyFill="true" applyBorder="true" applyNumberFormat="true" applyFont="true"/>
    <xf numFmtId="0" fontId="3988" fillId="0" borderId="0" xfId="0" applyFill="true" applyBorder="true" applyNumberFormat="true" applyFont="true"/>
    <xf numFmtId="0" fontId="3989" fillId="0" borderId="0" xfId="0" applyFill="true" applyBorder="true" applyNumberFormat="true" applyFont="true"/>
    <xf numFmtId="0" fontId="3990" fillId="0" borderId="0" xfId="0" applyFill="true" applyBorder="true" applyNumberFormat="true" applyFont="true"/>
    <xf numFmtId="0" fontId="3991" fillId="0" borderId="0" xfId="0" applyFill="true" applyBorder="true" applyNumberFormat="true" applyFont="true"/>
    <xf numFmtId="0" fontId="3992" fillId="0" borderId="0" xfId="0" applyFill="true" applyBorder="true" applyNumberFormat="true" applyFont="true"/>
    <xf numFmtId="0" fontId="3993" fillId="0" borderId="0" xfId="0" applyFill="true" applyBorder="true" applyNumberFormat="true" applyFont="true"/>
    <xf numFmtId="0" fontId="3994" fillId="0" borderId="0" xfId="0" applyFill="true" applyBorder="true" applyNumberFormat="true" applyFont="true"/>
    <xf numFmtId="0" fontId="3995" fillId="0" borderId="0" xfId="0" applyFill="true" applyBorder="true" applyNumberFormat="true" applyFont="true"/>
    <xf numFmtId="0" fontId="3996" fillId="0" borderId="0" xfId="0" applyFill="true" applyBorder="true" applyNumberFormat="true" applyFont="true"/>
    <xf numFmtId="0" fontId="3997" fillId="0" borderId="0" xfId="0" applyFill="true" applyBorder="true" applyNumberFormat="true" applyFont="true"/>
    <xf numFmtId="0" fontId="3998" fillId="0" borderId="0" xfId="0" applyFill="true" applyBorder="true" applyNumberFormat="true" applyFont="true"/>
    <xf numFmtId="0" fontId="3999" fillId="0" borderId="0" xfId="0" applyFill="true" applyBorder="true" applyNumberFormat="true" applyFont="true"/>
    <xf numFmtId="0" fontId="4000" fillId="0" borderId="0" xfId="0" applyFill="true" applyBorder="true" applyNumberFormat="true" applyFont="true"/>
    <xf numFmtId="0" fontId="4001" fillId="0" borderId="0" xfId="0" applyFill="true" applyBorder="true" applyNumberFormat="true" applyFont="true"/>
    <xf numFmtId="0" fontId="4002" fillId="0" borderId="0" xfId="0" applyFill="true" applyBorder="true" applyNumberFormat="true" applyFont="true"/>
    <xf numFmtId="0" fontId="4003" fillId="0" borderId="0" xfId="0" applyFill="true" applyBorder="true" applyNumberFormat="true" applyFont="true"/>
    <xf numFmtId="0" fontId="4004" fillId="0" borderId="0" xfId="0" applyFill="true" applyBorder="true" applyNumberFormat="true" applyFont="true"/>
    <xf numFmtId="0" fontId="4005" fillId="0" borderId="0" xfId="0" applyFill="true" applyBorder="true" applyNumberFormat="true" applyFont="true"/>
    <xf numFmtId="0" fontId="4006" fillId="0" borderId="0" xfId="0" applyFill="true" applyBorder="true" applyNumberFormat="true" applyFont="true"/>
    <xf numFmtId="0" fontId="4007" fillId="0" borderId="0" xfId="0" applyFill="true" applyBorder="true" applyNumberFormat="true" applyFont="true"/>
    <xf numFmtId="0" fontId="4008" fillId="0" borderId="0" xfId="0" applyFill="true" applyBorder="true" applyNumberFormat="true" applyFont="true"/>
    <xf numFmtId="0" fontId="4009" fillId="0" borderId="0" xfId="0" applyFill="true" applyBorder="true" applyNumberFormat="true" applyFont="true"/>
    <xf numFmtId="0" fontId="4010" fillId="0" borderId="0" xfId="0" applyFill="true" applyBorder="true" applyNumberFormat="true" applyFont="true"/>
    <xf numFmtId="0" fontId="4011" fillId="0" borderId="0" xfId="0" applyFill="true" applyBorder="true" applyNumberFormat="true" applyFont="true"/>
    <xf numFmtId="0" fontId="4012" fillId="0" borderId="0" xfId="0" applyFill="true" applyBorder="true" applyNumberFormat="true" applyFont="true"/>
    <xf numFmtId="0" fontId="4013" fillId="0" borderId="0" xfId="0" applyFill="true" applyBorder="true" applyNumberFormat="true" applyFont="true"/>
    <xf numFmtId="0" fontId="4014" fillId="0" borderId="0" xfId="0" applyFill="true" applyBorder="true" applyNumberFormat="true" applyFont="true"/>
    <xf numFmtId="0" fontId="4015" fillId="0" borderId="0" xfId="0" applyFill="true" applyBorder="true" applyNumberFormat="true" applyFont="true"/>
    <xf numFmtId="0" fontId="4016" fillId="0" borderId="0" xfId="0" applyFill="true" applyBorder="true" applyNumberFormat="true" applyFont="true"/>
    <xf numFmtId="0" fontId="4017" fillId="0" borderId="0" xfId="0" applyFill="true" applyBorder="true" applyNumberFormat="true" applyFont="true"/>
    <xf numFmtId="0" fontId="4018" fillId="0" borderId="0" xfId="0" applyFill="true" applyBorder="true" applyNumberFormat="true" applyFont="true"/>
    <xf numFmtId="0" fontId="4019" fillId="0" borderId="0" xfId="0" applyFill="true" applyBorder="true" applyNumberFormat="true" applyFont="true"/>
    <xf numFmtId="0" fontId="4020" fillId="0" borderId="0" xfId="0" applyFill="true" applyBorder="true" applyNumberFormat="true" applyFont="true"/>
    <xf numFmtId="0" fontId="4021" fillId="0" borderId="0" xfId="0" applyFill="true" applyBorder="true" applyNumberFormat="true" applyFont="true"/>
    <xf numFmtId="0" fontId="4022" fillId="0" borderId="0" xfId="0" applyFill="true" applyBorder="true" applyNumberFormat="true" applyFont="true"/>
    <xf numFmtId="0" fontId="4023" fillId="0" borderId="0" xfId="0" applyFill="true" applyBorder="true" applyNumberFormat="true" applyFont="true"/>
    <xf numFmtId="0" fontId="4024" fillId="0" borderId="0" xfId="0" applyFill="true" applyBorder="true" applyNumberFormat="true" applyFont="true"/>
    <xf numFmtId="0" fontId="4025" fillId="0" borderId="0" xfId="0" applyFill="true" applyBorder="true" applyNumberFormat="true" applyFont="true"/>
    <xf numFmtId="0" fontId="4026" fillId="0" borderId="0" xfId="0" applyFill="true" applyBorder="true" applyNumberFormat="true" applyFont="true"/>
    <xf numFmtId="0" fontId="4027" fillId="0" borderId="0" xfId="0" applyFill="true" applyBorder="true" applyNumberFormat="true" applyFont="true"/>
    <xf numFmtId="0" fontId="4028" fillId="0" borderId="0" xfId="0" applyFill="true" applyBorder="true" applyNumberFormat="true" applyFont="true"/>
    <xf numFmtId="0" fontId="4029" fillId="0" borderId="0" xfId="0" applyFill="true" applyBorder="true" applyNumberFormat="true" applyFont="true"/>
    <xf numFmtId="0" fontId="4030" fillId="0" borderId="0" xfId="0" applyFill="true" applyBorder="true" applyNumberFormat="true" applyFont="true"/>
    <xf numFmtId="0" fontId="4031" fillId="0" borderId="0" xfId="0" applyFill="true" applyBorder="true" applyNumberFormat="true" applyFont="true"/>
    <xf numFmtId="0" fontId="4032" fillId="0" borderId="0" xfId="0" applyFill="true" applyBorder="true" applyNumberFormat="true" applyFont="true"/>
    <xf numFmtId="0" fontId="4033" fillId="0" borderId="0" xfId="0" applyFill="true" applyBorder="true" applyNumberFormat="true" applyFont="true"/>
    <xf numFmtId="0" fontId="4034" fillId="0" borderId="0" xfId="0" applyFill="true" applyBorder="true" applyNumberFormat="true" applyFont="true"/>
    <xf numFmtId="0" fontId="4035" fillId="0" borderId="0" xfId="0" applyFill="true" applyBorder="true" applyNumberFormat="true" applyFont="true"/>
    <xf numFmtId="0" fontId="4036" fillId="0" borderId="0" xfId="0" applyFill="true" applyBorder="true" applyNumberFormat="true" applyFont="true"/>
    <xf numFmtId="0" fontId="4037" fillId="0" borderId="0" xfId="0" applyFill="true" applyBorder="true" applyNumberFormat="true" applyFont="true"/>
    <xf numFmtId="0" fontId="4038" fillId="0" borderId="0" xfId="0" applyFill="true" applyBorder="true" applyNumberFormat="true" applyFont="true"/>
    <xf numFmtId="0" fontId="4039" fillId="0" borderId="0" xfId="0" applyFill="true" applyBorder="true" applyNumberFormat="true" applyFont="true"/>
    <xf numFmtId="0" fontId="4040" fillId="0" borderId="0" xfId="0" applyFill="true" applyBorder="true" applyNumberFormat="true" applyFont="true"/>
    <xf numFmtId="0" fontId="4041" fillId="0" borderId="0" xfId="0" applyFill="true" applyBorder="true" applyNumberFormat="true" applyFont="true"/>
    <xf numFmtId="0" fontId="4042" fillId="0" borderId="0" xfId="0" applyFill="true" applyBorder="true" applyNumberFormat="true" applyFont="true"/>
    <xf numFmtId="0" fontId="4043" fillId="0" borderId="0" xfId="0" applyFill="true" applyBorder="true" applyNumberFormat="true" applyFont="true"/>
    <xf numFmtId="0" fontId="4044" fillId="0" borderId="0" xfId="0" applyFill="true" applyBorder="true" applyNumberFormat="true" applyFont="true"/>
    <xf numFmtId="0" fontId="4045" fillId="0" borderId="0" xfId="0" applyFill="true" applyBorder="true" applyNumberFormat="true" applyFont="true"/>
    <xf numFmtId="0" fontId="4046" fillId="0" borderId="0" xfId="0" applyFill="true" applyBorder="true" applyNumberFormat="true" applyFont="true"/>
    <xf numFmtId="0" fontId="4047" fillId="0" borderId="0" xfId="0" applyFill="true" applyBorder="true" applyNumberFormat="true" applyFont="true"/>
    <xf numFmtId="0" fontId="4048" fillId="0" borderId="0" xfId="0" applyFill="true" applyBorder="true" applyNumberFormat="true" applyFont="true"/>
    <xf numFmtId="0" fontId="4049" fillId="0" borderId="0" xfId="0" applyFill="true" applyBorder="true" applyNumberFormat="true" applyFont="true"/>
    <xf numFmtId="0" fontId="4050" fillId="0" borderId="0" xfId="0" applyFill="true" applyBorder="true" applyNumberFormat="true" applyFont="true"/>
    <xf numFmtId="0" fontId="4051" fillId="0" borderId="0" xfId="0" applyFill="true" applyBorder="true" applyNumberFormat="true" applyFont="true"/>
    <xf numFmtId="0" fontId="4052" fillId="0" borderId="0" xfId="0" applyFill="true" applyBorder="true" applyNumberFormat="true" applyFont="true"/>
    <xf numFmtId="0" fontId="4053" fillId="0" borderId="0" xfId="0" applyFill="true" applyBorder="true" applyNumberFormat="true" applyFont="true"/>
    <xf numFmtId="0" fontId="4054" fillId="0" borderId="0" xfId="0" applyFill="true" applyBorder="true" applyNumberFormat="true" applyFont="true"/>
    <xf numFmtId="0" fontId="4055" fillId="0" borderId="0" xfId="0" applyFill="true" applyBorder="true" applyNumberFormat="true" applyFont="true"/>
    <xf numFmtId="0" fontId="4056" fillId="0" borderId="0" xfId="0" applyFill="true" applyBorder="true" applyNumberFormat="true" applyFont="true"/>
    <xf numFmtId="0" fontId="4057" fillId="0" borderId="0" xfId="0" applyFill="true" applyBorder="true" applyNumberFormat="true" applyFont="true"/>
    <xf numFmtId="0" fontId="4058" fillId="0" borderId="0" xfId="0" applyFill="true" applyBorder="true" applyNumberFormat="true" applyFont="true"/>
    <xf numFmtId="0" fontId="4059" fillId="0" borderId="0" xfId="0" applyFill="true" applyBorder="true" applyNumberFormat="true" applyFont="true"/>
    <xf numFmtId="0" fontId="4060" fillId="0" borderId="0" xfId="0" applyFill="true" applyBorder="true" applyNumberFormat="true" applyFont="true"/>
    <xf numFmtId="0" fontId="4061" fillId="0" borderId="0" xfId="0" applyFill="true" applyBorder="true" applyNumberFormat="true" applyFont="true"/>
    <xf numFmtId="0" fontId="4062" fillId="0" borderId="0" xfId="0" applyFill="true" applyBorder="true" applyNumberFormat="true" applyFont="true"/>
    <xf numFmtId="0" fontId="4063" fillId="0" borderId="0" xfId="0" applyFill="true" applyBorder="true" applyNumberFormat="true" applyFont="true"/>
    <xf numFmtId="0" fontId="4064" fillId="0" borderId="0" xfId="0" applyFill="true" applyBorder="true" applyNumberFormat="true" applyFont="true"/>
    <xf numFmtId="0" fontId="4065" fillId="0" borderId="0" xfId="0" applyFill="true" applyBorder="true" applyNumberFormat="true" applyFont="true"/>
    <xf numFmtId="0" fontId="4066" fillId="0" borderId="0" xfId="0" applyFill="true" applyBorder="true" applyNumberFormat="true" applyFont="true"/>
    <xf numFmtId="0" fontId="4067" fillId="0" borderId="0" xfId="0" applyFill="true" applyBorder="true" applyNumberFormat="true" applyFont="true"/>
    <xf numFmtId="0" fontId="4068" fillId="0" borderId="0" xfId="0" applyFill="true" applyBorder="true" applyNumberFormat="true" applyFont="true"/>
    <xf numFmtId="0" fontId="4069" fillId="0" borderId="0" xfId="0" applyFill="true" applyBorder="true" applyNumberFormat="true" applyFont="true"/>
    <xf numFmtId="0" fontId="4070" fillId="0" borderId="0" xfId="0" applyFill="true" applyBorder="true" applyNumberFormat="true" applyFont="true"/>
    <xf numFmtId="0" fontId="4071" fillId="0" borderId="0" xfId="0" applyFill="true" applyBorder="true" applyNumberFormat="true" applyFont="true"/>
    <xf numFmtId="0" fontId="4072" fillId="0" borderId="0" xfId="0" applyFill="true" applyBorder="true" applyNumberFormat="true" applyFont="true"/>
    <xf numFmtId="0" fontId="4073" fillId="0" borderId="0" xfId="0" applyFill="true" applyBorder="true" applyNumberFormat="true" applyFont="true"/>
    <xf numFmtId="0" fontId="4074" fillId="0" borderId="0" xfId="0" applyFill="true" applyBorder="true" applyNumberFormat="true" applyFont="true"/>
    <xf numFmtId="0" fontId="4075" fillId="0" borderId="0" xfId="0" applyFill="true" applyBorder="true" applyNumberFormat="true" applyFont="true"/>
    <xf numFmtId="0" fontId="4076" fillId="0" borderId="0" xfId="0" applyFill="true" applyBorder="true" applyNumberFormat="true" applyFont="true"/>
    <xf numFmtId="0" fontId="4077" fillId="0" borderId="0" xfId="0" applyFill="true" applyBorder="true" applyNumberFormat="true" applyFont="true"/>
    <xf numFmtId="0" fontId="4078" fillId="0" borderId="0" xfId="0" applyFill="true" applyBorder="true" applyNumberFormat="true" applyFont="true"/>
    <xf numFmtId="0" fontId="4079" fillId="0" borderId="0" xfId="0" applyFill="true" applyBorder="true" applyNumberFormat="true" applyFont="true"/>
    <xf numFmtId="0" fontId="4080" fillId="0" borderId="0" xfId="0" applyFill="true" applyBorder="true" applyNumberFormat="true" applyFont="true"/>
    <xf numFmtId="0" fontId="4081" fillId="0" borderId="0" xfId="0" applyFill="true" applyBorder="true" applyNumberFormat="true" applyFont="true"/>
    <xf numFmtId="0" fontId="4082" fillId="0" borderId="0" xfId="0" applyFill="true" applyBorder="true" applyNumberFormat="true" applyFont="true"/>
    <xf numFmtId="0" fontId="4083" fillId="0" borderId="0" xfId="0" applyFill="true" applyBorder="true" applyNumberFormat="true" applyFont="true"/>
    <xf numFmtId="0" fontId="4084" fillId="0" borderId="0" xfId="0" applyFill="true" applyBorder="true" applyNumberFormat="true" applyFont="true"/>
    <xf numFmtId="0" fontId="4085" fillId="0" borderId="0" xfId="0" applyFill="true" applyBorder="true" applyNumberFormat="true" applyFont="true"/>
    <xf numFmtId="0" fontId="4086" fillId="0" borderId="0" xfId="0" applyFill="true" applyBorder="true" applyNumberFormat="true" applyFont="true"/>
    <xf numFmtId="0" fontId="4087" fillId="0" borderId="0" xfId="0" applyFill="true" applyBorder="true" applyNumberFormat="true" applyFont="true"/>
    <xf numFmtId="0" fontId="4088" fillId="0" borderId="0" xfId="0" applyFill="true" applyBorder="true" applyNumberFormat="true" applyFont="true"/>
    <xf numFmtId="0" fontId="4089" fillId="0" borderId="0" xfId="0" applyFill="true" applyBorder="true" applyNumberFormat="true" applyFont="true"/>
    <xf numFmtId="0" fontId="4090" fillId="0" borderId="0" xfId="0" applyFill="true" applyBorder="true" applyNumberFormat="true" applyFont="true"/>
    <xf numFmtId="0" fontId="4091" fillId="0" borderId="0" xfId="0" applyFill="true" applyBorder="true" applyNumberFormat="true" applyFont="true"/>
    <xf numFmtId="0" fontId="4092" fillId="0" borderId="0" xfId="0" applyFill="true" applyBorder="true" applyNumberFormat="true" applyFont="true"/>
    <xf numFmtId="0" fontId="4093" fillId="0" borderId="0" xfId="0" applyFill="true" applyBorder="true" applyNumberFormat="true" applyFont="true"/>
    <xf numFmtId="0" fontId="4094" fillId="0" borderId="0" xfId="0" applyFill="true" applyBorder="true" applyNumberFormat="true" applyFont="true"/>
    <xf numFmtId="0" fontId="4095" fillId="0" borderId="0" xfId="0" applyFill="true" applyBorder="true" applyNumberFormat="true" applyFont="true"/>
    <xf numFmtId="0" fontId="4096" fillId="0" borderId="0" xfId="0" applyFill="true" applyBorder="true" applyNumberFormat="true" applyFont="true"/>
    <xf numFmtId="0" fontId="4097" fillId="0" borderId="0" xfId="0" applyFill="true" applyBorder="true" applyNumberFormat="true" applyFont="true"/>
    <xf numFmtId="0" fontId="4098" fillId="0" borderId="0" xfId="0" applyFill="true" applyBorder="true" applyNumberFormat="true" applyFont="true"/>
    <xf numFmtId="0" fontId="4099" fillId="0" borderId="0" xfId="0" applyFill="true" applyBorder="true" applyNumberFormat="true" applyFont="true"/>
    <xf numFmtId="0" fontId="4100" fillId="0" borderId="0" xfId="0" applyFill="true" applyBorder="true" applyNumberFormat="true" applyFont="true"/>
    <xf numFmtId="0" fontId="4101" fillId="0" borderId="0" xfId="0" applyFill="true" applyBorder="true" applyNumberFormat="true" applyFont="true"/>
    <xf numFmtId="0" fontId="4102" fillId="0" borderId="0" xfId="0" applyFill="true" applyBorder="true" applyNumberFormat="true" applyFont="true"/>
    <xf numFmtId="0" fontId="4103" fillId="0" borderId="0" xfId="0" applyFill="true" applyBorder="true" applyNumberFormat="true" applyFont="true"/>
    <xf numFmtId="0" fontId="4104" fillId="0" borderId="0" xfId="0" applyFill="true" applyBorder="true" applyNumberFormat="true" applyFont="true"/>
    <xf numFmtId="0" fontId="4105" fillId="0" borderId="0" xfId="0" applyFill="true" applyBorder="true" applyNumberFormat="true" applyFont="true"/>
    <xf numFmtId="0" fontId="4106" fillId="0" borderId="0" xfId="0" applyFill="true" applyBorder="true" applyNumberFormat="true" applyFont="true"/>
    <xf numFmtId="0" fontId="4107" fillId="0" borderId="0" xfId="0" applyFill="true" applyBorder="true" applyNumberFormat="true" applyFont="true"/>
    <xf numFmtId="0" fontId="4108" fillId="0" borderId="0" xfId="0" applyFill="true" applyBorder="true" applyNumberFormat="true" applyFont="true"/>
    <xf numFmtId="0" fontId="4109" fillId="0" borderId="0" xfId="0" applyFill="true" applyBorder="true" applyNumberFormat="true" applyFont="true"/>
    <xf numFmtId="0" fontId="4110" fillId="0" borderId="0" xfId="0" applyFill="true" applyBorder="true" applyNumberFormat="true" applyFont="true"/>
    <xf numFmtId="0" fontId="4111" fillId="0" borderId="0" xfId="0" applyFill="true" applyBorder="true" applyNumberFormat="true" applyFont="true"/>
    <xf numFmtId="0" fontId="4112" fillId="0" borderId="0" xfId="0" applyFill="true" applyBorder="true" applyNumberFormat="true" applyFont="true"/>
    <xf numFmtId="0" fontId="4113" fillId="0" borderId="0" xfId="0" applyFill="true" applyBorder="true" applyNumberFormat="true" applyFont="true"/>
    <xf numFmtId="0" fontId="4114" fillId="0" borderId="0" xfId="0" applyFill="true" applyBorder="true" applyNumberFormat="true" applyFont="true"/>
    <xf numFmtId="0" fontId="4115" fillId="0" borderId="0" xfId="0" applyFill="true" applyBorder="true" applyNumberFormat="true" applyFont="true"/>
    <xf numFmtId="0" fontId="4116" fillId="0" borderId="0" xfId="0" applyFill="true" applyBorder="true" applyNumberFormat="true" applyFont="true"/>
    <xf numFmtId="0" fontId="4117" fillId="0" borderId="0" xfId="0" applyFill="true" applyBorder="true" applyNumberFormat="true" applyFont="true"/>
    <xf numFmtId="0" fontId="4118" fillId="0" borderId="0" xfId="0" applyFill="true" applyBorder="true" applyNumberFormat="true" applyFont="true"/>
    <xf numFmtId="0" fontId="4119" fillId="0" borderId="0" xfId="0" applyFill="true" applyBorder="true" applyNumberFormat="true" applyFont="true"/>
    <xf numFmtId="0" fontId="4120" fillId="0" borderId="0" xfId="0" applyFill="true" applyBorder="true" applyNumberFormat="true" applyFont="true"/>
    <xf numFmtId="0" fontId="4121" fillId="0" borderId="0" xfId="0" applyFill="true" applyBorder="true" applyNumberFormat="true" applyFont="true"/>
    <xf numFmtId="0" fontId="4122" fillId="0" borderId="0" xfId="0" applyFill="true" applyBorder="true" applyNumberFormat="true" applyFont="true"/>
    <xf numFmtId="0" fontId="4123" fillId="0" borderId="0" xfId="0" applyFill="true" applyBorder="true" applyNumberFormat="true" applyFont="true"/>
    <xf numFmtId="0" fontId="4124" fillId="0" borderId="0" xfId="0" applyFill="true" applyBorder="true" applyNumberFormat="true" applyFont="true"/>
    <xf numFmtId="0" fontId="4125" fillId="0" borderId="0" xfId="0" applyFill="true" applyBorder="true" applyNumberFormat="true" applyFont="true"/>
    <xf numFmtId="0" fontId="4126" fillId="0" borderId="0" xfId="0" applyFill="true" applyBorder="true" applyNumberFormat="true" applyFont="true"/>
    <xf numFmtId="0" fontId="4127" fillId="0" borderId="0" xfId="0" applyFill="true" applyBorder="true" applyNumberFormat="true" applyFont="true"/>
    <xf numFmtId="0" fontId="4128" fillId="0" borderId="0" xfId="0" applyFill="true" applyBorder="true" applyNumberFormat="true" applyFont="true"/>
    <xf numFmtId="0" fontId="4129" fillId="0" borderId="0" xfId="0" applyFill="true" applyBorder="true" applyNumberFormat="true" applyFont="true"/>
    <xf numFmtId="0" fontId="4130" fillId="0" borderId="0" xfId="0" applyFill="true" applyBorder="true" applyNumberFormat="true" applyFont="true"/>
    <xf numFmtId="0" fontId="4131" fillId="0" borderId="0" xfId="0" applyFill="true" applyBorder="true" applyNumberFormat="true" applyFont="true"/>
    <xf numFmtId="0" fontId="4132" fillId="0" borderId="0" xfId="0" applyFill="true" applyBorder="true" applyNumberFormat="true" applyFont="true"/>
    <xf numFmtId="0" fontId="4133" fillId="0" borderId="0" xfId="0" applyFill="true" applyBorder="true" applyNumberFormat="true" applyFont="true"/>
    <xf numFmtId="0" fontId="4134" fillId="0" borderId="0" xfId="0" applyFill="true" applyBorder="true" applyNumberFormat="true" applyFont="true"/>
    <xf numFmtId="0" fontId="4135" fillId="0" borderId="0" xfId="0" applyFill="true" applyBorder="true" applyNumberFormat="true" applyFont="true"/>
    <xf numFmtId="0" fontId="4136" fillId="0" borderId="0" xfId="0" applyFill="true" applyBorder="true" applyNumberFormat="true" applyFont="true"/>
    <xf numFmtId="0" fontId="4137" fillId="0" borderId="0" xfId="0" applyFill="true" applyBorder="true" applyNumberFormat="true" applyFont="true"/>
    <xf numFmtId="0" fontId="4138" fillId="0" borderId="0" xfId="0" applyFill="true" applyBorder="true" applyNumberFormat="true" applyFont="true"/>
    <xf numFmtId="0" fontId="4139" fillId="0" borderId="0" xfId="0" applyFill="true" applyBorder="true" applyNumberFormat="true" applyFont="true"/>
    <xf numFmtId="0" fontId="4140" fillId="0" borderId="0" xfId="0" applyFill="true" applyBorder="true" applyNumberFormat="true" applyFont="true"/>
    <xf numFmtId="0" fontId="4141" fillId="0" borderId="0" xfId="0" applyFill="true" applyBorder="true" applyNumberFormat="true" applyFont="true"/>
    <xf numFmtId="0" fontId="4142" fillId="0" borderId="0" xfId="0" applyFill="true" applyBorder="true" applyNumberFormat="true" applyFont="true"/>
    <xf numFmtId="0" fontId="4143" fillId="0" borderId="0" xfId="0" applyFill="true" applyBorder="true" applyNumberFormat="true" applyFont="true"/>
    <xf numFmtId="0" fontId="4144" fillId="0" borderId="0" xfId="0" applyFill="true" applyBorder="true" applyNumberFormat="true" applyFont="true"/>
    <xf numFmtId="0" fontId="4145" fillId="0" borderId="0" xfId="0" applyFill="true" applyBorder="true" applyNumberFormat="true" applyFont="true"/>
    <xf numFmtId="0" fontId="4146" fillId="0" borderId="0" xfId="0" applyFill="true" applyBorder="true" applyNumberFormat="true" applyFont="true"/>
    <xf numFmtId="0" fontId="4147" fillId="0" borderId="0" xfId="0" applyFill="true" applyBorder="true" applyNumberFormat="true" applyFont="true"/>
    <xf numFmtId="0" fontId="4148" fillId="0" borderId="0" xfId="0" applyFill="true" applyBorder="true" applyNumberFormat="true" applyFont="true"/>
    <xf numFmtId="0" fontId="4149" fillId="0" borderId="0" xfId="0" applyFill="true" applyBorder="true" applyNumberFormat="true" applyFont="true"/>
    <xf numFmtId="0" fontId="4150" fillId="0" borderId="0" xfId="0" applyFill="true" applyBorder="true" applyNumberFormat="true" applyFont="true"/>
    <xf numFmtId="0" fontId="4151" fillId="0" borderId="0" xfId="0" applyFill="true" applyBorder="true" applyNumberFormat="true" applyFont="true"/>
    <xf numFmtId="0" fontId="4152" fillId="0" borderId="0" xfId="0" applyFill="true" applyBorder="true" applyNumberFormat="true" applyFont="true"/>
    <xf numFmtId="0" fontId="4153" fillId="0" borderId="0" xfId="0" applyFill="true" applyBorder="true" applyNumberFormat="true" applyFont="true"/>
    <xf numFmtId="0" fontId="4154" fillId="0" borderId="0" xfId="0" applyFill="true" applyBorder="true" applyNumberFormat="true" applyFont="true"/>
    <xf numFmtId="0" fontId="4155" fillId="0" borderId="0" xfId="0" applyFill="true" applyBorder="true" applyNumberFormat="true" applyFont="true"/>
    <xf numFmtId="0" fontId="4156" fillId="0" borderId="0" xfId="0" applyFill="true" applyBorder="true" applyNumberFormat="true" applyFont="true"/>
    <xf numFmtId="0" fontId="4157" fillId="0" borderId="0" xfId="0" applyFill="true" applyBorder="true" applyNumberFormat="true" applyFont="true"/>
    <xf numFmtId="0" fontId="4158" fillId="0" borderId="0" xfId="0" applyFill="true" applyBorder="true" applyNumberFormat="true" applyFont="true"/>
    <xf numFmtId="0" fontId="4159" fillId="0" borderId="0" xfId="0" applyFill="true" applyBorder="true" applyNumberFormat="true" applyFont="true"/>
    <xf numFmtId="0" fontId="4160" fillId="0" borderId="0" xfId="0" applyFill="true" applyBorder="true" applyNumberFormat="true" applyFont="true"/>
    <xf numFmtId="0" fontId="4161" fillId="0" borderId="0" xfId="0" applyFill="true" applyBorder="true" applyNumberFormat="true" applyFont="true"/>
    <xf numFmtId="0" fontId="4162" fillId="0" borderId="0" xfId="0" applyFill="true" applyBorder="true" applyNumberFormat="true" applyFont="true"/>
    <xf numFmtId="0" fontId="4163" fillId="0" borderId="0" xfId="0" applyFill="true" applyBorder="true" applyNumberFormat="true" applyFont="true"/>
    <xf numFmtId="0" fontId="4164" fillId="0" borderId="0" xfId="0" applyFill="true" applyBorder="true" applyNumberFormat="true" applyFont="true"/>
    <xf numFmtId="0" fontId="4165" fillId="0" borderId="0" xfId="0" applyFill="true" applyBorder="true" applyNumberFormat="true" applyFont="true"/>
    <xf numFmtId="0" fontId="4166" fillId="0" borderId="0" xfId="0" applyFill="true" applyBorder="true" applyNumberFormat="true" applyFont="true"/>
    <xf numFmtId="0" fontId="4167" fillId="0" borderId="0" xfId="0" applyFill="true" applyBorder="true" applyNumberFormat="true" applyFont="true"/>
    <xf numFmtId="0" fontId="4168" fillId="0" borderId="0" xfId="0" applyFill="true" applyBorder="true" applyNumberFormat="true" applyFont="true"/>
    <xf numFmtId="0" fontId="4169" fillId="0" borderId="0" xfId="0" applyFill="true" applyBorder="true" applyNumberFormat="true" applyFont="true"/>
    <xf numFmtId="0" fontId="4170" fillId="0" borderId="0" xfId="0" applyFill="true" applyBorder="true" applyNumberFormat="true" applyFont="true"/>
    <xf numFmtId="0" fontId="4171" fillId="0" borderId="0" xfId="0" applyFill="true" applyBorder="true" applyNumberFormat="true" applyFont="true"/>
    <xf numFmtId="0" fontId="4172" fillId="0" borderId="0" xfId="0" applyFill="true" applyBorder="true" applyNumberFormat="true" applyFont="true"/>
    <xf numFmtId="0" fontId="4173" fillId="0" borderId="0" xfId="0" applyFill="true" applyBorder="true" applyNumberFormat="true" applyFont="true"/>
    <xf numFmtId="0" fontId="4174" fillId="0" borderId="0" xfId="0" applyFill="true" applyBorder="true" applyNumberFormat="true" applyFont="true"/>
    <xf numFmtId="0" fontId="4175" fillId="0" borderId="0" xfId="0" applyFill="true" applyBorder="true" applyNumberFormat="true" applyFont="true"/>
    <xf numFmtId="0" fontId="4176" fillId="0" borderId="0" xfId="0" applyFill="true" applyBorder="true" applyNumberFormat="true" applyFont="true"/>
    <xf numFmtId="0" fontId="4177" fillId="0" borderId="0" xfId="0" applyFill="true" applyBorder="true" applyNumberFormat="true" applyFont="true"/>
    <xf numFmtId="0" fontId="4178" fillId="0" borderId="0" xfId="0" applyFill="true" applyBorder="true" applyNumberFormat="true" applyFont="true"/>
    <xf numFmtId="0" fontId="4179" fillId="0" borderId="0" xfId="0" applyFill="true" applyBorder="true" applyNumberFormat="true" applyFont="true"/>
    <xf numFmtId="0" fontId="4180" fillId="0" borderId="0" xfId="0" applyFill="true" applyBorder="true" applyNumberFormat="true" applyFont="true"/>
    <xf numFmtId="0" fontId="4181" fillId="0" borderId="0" xfId="0" applyFill="true" applyBorder="true" applyNumberFormat="true" applyFont="true"/>
    <xf numFmtId="0" fontId="4182" fillId="0" borderId="0" xfId="0" applyFill="true" applyBorder="true" applyNumberFormat="true" applyFont="true"/>
    <xf numFmtId="0" fontId="4183" fillId="0" borderId="0" xfId="0" applyFill="true" applyBorder="true" applyNumberFormat="true" applyFont="true"/>
    <xf numFmtId="0" fontId="4184" fillId="0" borderId="0" xfId="0" applyFill="true" applyBorder="true" applyNumberFormat="true" applyFont="true"/>
    <xf numFmtId="0" fontId="4185" fillId="0" borderId="0" xfId="0" applyFill="true" applyBorder="true" applyNumberFormat="true" applyFont="true"/>
    <xf numFmtId="0" fontId="4186" fillId="0" borderId="0" xfId="0" applyFill="true" applyBorder="true" applyNumberFormat="true" applyFont="true"/>
    <xf numFmtId="0" fontId="4187" fillId="0" borderId="0" xfId="0" applyFill="true" applyBorder="true" applyNumberFormat="true" applyFont="true"/>
    <xf numFmtId="0" fontId="4188" fillId="0" borderId="0" xfId="0" applyFill="true" applyBorder="true" applyNumberFormat="true" applyFont="true"/>
    <xf numFmtId="0" fontId="4189" fillId="0" borderId="0" xfId="0" applyFill="true" applyBorder="true" applyNumberFormat="true" applyFont="true"/>
    <xf numFmtId="0" fontId="4190" fillId="0" borderId="0" xfId="0" applyFill="true" applyBorder="true" applyNumberFormat="true" applyFont="true"/>
    <xf numFmtId="0" fontId="4191" fillId="0" borderId="0" xfId="0" applyFill="true" applyBorder="true" applyNumberFormat="true" applyFont="true"/>
    <xf numFmtId="0" fontId="4192" fillId="0" borderId="0" xfId="0" applyFill="true" applyBorder="true" applyNumberFormat="true" applyFont="true"/>
    <xf numFmtId="0" fontId="4193" fillId="0" borderId="0" xfId="0" applyFill="true" applyBorder="true" applyNumberFormat="true" applyFont="true"/>
    <xf numFmtId="0" fontId="4194" fillId="0" borderId="0" xfId="0" applyFill="true" applyBorder="true" applyNumberFormat="true" applyFont="true"/>
    <xf numFmtId="0" fontId="4195" fillId="0" borderId="0" xfId="0" applyFill="true" applyBorder="true" applyNumberFormat="true" applyFont="true"/>
    <xf numFmtId="0" fontId="4196" fillId="0" borderId="0" xfId="0" applyFill="true" applyBorder="true" applyNumberFormat="true" applyFont="true"/>
    <xf numFmtId="0" fontId="4197" fillId="0" borderId="0" xfId="0" applyFill="true" applyBorder="true" applyNumberFormat="true" applyFont="true"/>
    <xf numFmtId="0" fontId="4198" fillId="0" borderId="0" xfId="0" applyFill="true" applyBorder="true" applyNumberFormat="true" applyFont="true"/>
    <xf numFmtId="0" fontId="4199" fillId="0" borderId="0" xfId="0" applyFill="true" applyBorder="true" applyNumberFormat="true" applyFont="true"/>
    <xf numFmtId="0" fontId="4200" fillId="0" borderId="0" xfId="0" applyFill="true" applyBorder="true" applyNumberFormat="true" applyFont="true"/>
    <xf numFmtId="0" fontId="4201" fillId="0" borderId="0" xfId="0" applyFill="true" applyBorder="true" applyNumberFormat="true" applyFont="true"/>
    <xf numFmtId="0" fontId="4202" fillId="0" borderId="0" xfId="0" applyFill="true" applyBorder="true" applyNumberFormat="true" applyFont="true"/>
    <xf numFmtId="0" fontId="4203" fillId="0" borderId="0" xfId="0" applyFill="true" applyBorder="true" applyNumberFormat="true" applyFont="true"/>
    <xf numFmtId="0" fontId="4204" fillId="0" borderId="0" xfId="0" applyFill="true" applyBorder="true" applyNumberFormat="true" applyFont="true"/>
    <xf numFmtId="0" fontId="4205" fillId="0" borderId="0" xfId="0" applyFill="true" applyBorder="true" applyNumberFormat="true" applyFont="true"/>
    <xf numFmtId="0" fontId="4206" fillId="0" borderId="0" xfId="0" applyFill="true" applyBorder="true" applyNumberFormat="true" applyFont="true"/>
    <xf numFmtId="0" fontId="4207" fillId="0" borderId="0" xfId="0" applyFill="true" applyBorder="true" applyNumberFormat="true" applyFont="true"/>
    <xf numFmtId="0" fontId="4208" fillId="0" borderId="0" xfId="0" applyFill="true" applyBorder="true" applyNumberFormat="true" applyFont="true"/>
    <xf numFmtId="0" fontId="4209" fillId="0" borderId="0" xfId="0" applyFill="true" applyBorder="true" applyNumberFormat="true" applyFont="true"/>
    <xf numFmtId="0" fontId="4210" fillId="0" borderId="0" xfId="0" applyFill="true" applyBorder="true" applyNumberFormat="true" applyFont="true"/>
    <xf numFmtId="0" fontId="4211" fillId="0" borderId="0" xfId="0" applyFill="true" applyBorder="true" applyNumberFormat="true" applyFont="true"/>
    <xf numFmtId="0" fontId="4212" fillId="0" borderId="0" xfId="0" applyFill="true" applyBorder="true" applyNumberFormat="true" applyFont="true"/>
    <xf numFmtId="0" fontId="4213" fillId="0" borderId="0" xfId="0" applyFill="true" applyBorder="true" applyNumberFormat="true" applyFont="true"/>
    <xf numFmtId="0" fontId="4214" fillId="0" borderId="0" xfId="0" applyFill="true" applyBorder="true" applyNumberFormat="true" applyFont="true"/>
    <xf numFmtId="0" fontId="4215" fillId="0" borderId="0" xfId="0" applyFill="true" applyBorder="true" applyNumberFormat="true" applyFont="true"/>
    <xf numFmtId="0" fontId="4216" fillId="0" borderId="0" xfId="0" applyFill="true" applyBorder="true" applyNumberFormat="true" applyFont="true"/>
    <xf numFmtId="0" fontId="4217" fillId="0" borderId="0" xfId="0" applyFill="true" applyBorder="true" applyNumberFormat="true" applyFont="true"/>
    <xf numFmtId="0" fontId="4218" fillId="0" borderId="0" xfId="0" applyFill="true" applyBorder="true" applyNumberFormat="true" applyFont="true"/>
    <xf numFmtId="0" fontId="4219" fillId="0" borderId="0" xfId="0" applyFill="true" applyBorder="true" applyNumberFormat="true" applyFont="true"/>
    <xf numFmtId="0" fontId="4220" fillId="0" borderId="0" xfId="0" applyFill="true" applyBorder="true" applyNumberFormat="true" applyFont="true"/>
    <xf numFmtId="0" fontId="4221" fillId="0" borderId="0" xfId="0" applyFill="true" applyBorder="true" applyNumberFormat="true" applyFont="true"/>
    <xf numFmtId="0" fontId="4222" fillId="0" borderId="0" xfId="0" applyFill="true" applyBorder="true" applyNumberFormat="true" applyFont="true"/>
    <xf numFmtId="0" fontId="4223" fillId="0" borderId="0" xfId="0" applyFill="true" applyBorder="true" applyNumberFormat="true" applyFont="true"/>
    <xf numFmtId="0" fontId="4224" fillId="0" borderId="0" xfId="0" applyFill="true" applyBorder="true" applyNumberFormat="true" applyFont="true"/>
    <xf numFmtId="0" fontId="4225" fillId="0" borderId="0" xfId="0" applyFill="true" applyBorder="true" applyNumberFormat="true" applyFont="true"/>
    <xf numFmtId="0" fontId="4226" fillId="0" borderId="0" xfId="0" applyFill="true" applyBorder="true" applyNumberFormat="true" applyFont="true"/>
    <xf numFmtId="0" fontId="4227" fillId="0" borderId="0" xfId="0" applyFill="true" applyBorder="true" applyNumberFormat="true" applyFont="true"/>
    <xf numFmtId="0" fontId="4228" fillId="0" borderId="0" xfId="0" applyFill="true" applyBorder="true" applyNumberFormat="true" applyFont="true"/>
    <xf numFmtId="0" fontId="4229" fillId="0" borderId="0" xfId="0" applyFill="true" applyBorder="true" applyNumberFormat="true" applyFont="true"/>
    <xf numFmtId="0" fontId="4230" fillId="0" borderId="0" xfId="0" applyFill="true" applyBorder="true" applyNumberFormat="true" applyFont="true"/>
    <xf numFmtId="0" fontId="4231" fillId="0" borderId="0" xfId="0" applyFill="true" applyBorder="true" applyNumberFormat="true" applyFont="true"/>
    <xf numFmtId="0" fontId="4232" fillId="0" borderId="0" xfId="0" applyFill="true" applyBorder="true" applyNumberFormat="true" applyFont="true"/>
    <xf numFmtId="0" fontId="4233" fillId="0" borderId="0" xfId="0" applyFill="true" applyBorder="true" applyNumberFormat="true" applyFont="true"/>
    <xf numFmtId="0" fontId="4234" fillId="0" borderId="0" xfId="0" applyFill="true" applyBorder="true" applyNumberFormat="true" applyFont="true"/>
    <xf numFmtId="0" fontId="4235" fillId="0" borderId="0" xfId="0" applyFill="true" applyBorder="true" applyNumberFormat="true" applyFont="true"/>
    <xf numFmtId="0" fontId="4236" fillId="0" borderId="0" xfId="0" applyFill="true" applyBorder="true" applyNumberFormat="true" applyFont="true"/>
    <xf numFmtId="0" fontId="4237" fillId="0" borderId="0" xfId="0" applyFill="true" applyBorder="true" applyNumberFormat="true" applyFont="true"/>
    <xf numFmtId="0" fontId="4238" fillId="0" borderId="0" xfId="0" applyFill="true" applyBorder="true" applyNumberFormat="true" applyFont="true"/>
    <xf numFmtId="0" fontId="4239" fillId="0" borderId="0" xfId="0" applyFill="true" applyBorder="true" applyNumberFormat="true" applyFont="true"/>
    <xf numFmtId="0" fontId="4240" fillId="0" borderId="0" xfId="0" applyFill="true" applyBorder="true" applyNumberFormat="true" applyFont="true"/>
    <xf numFmtId="0" fontId="4241" fillId="0" borderId="0" xfId="0" applyFill="true" applyBorder="true" applyNumberFormat="true" applyFont="true"/>
    <xf numFmtId="0" fontId="4242" fillId="0" borderId="0" xfId="0" applyFill="true" applyBorder="true" applyNumberFormat="true" applyFont="true"/>
    <xf numFmtId="0" fontId="4243" fillId="0" borderId="0" xfId="0" applyFill="true" applyBorder="true" applyNumberFormat="true" applyFont="true"/>
    <xf numFmtId="0" fontId="4244" fillId="0" borderId="0" xfId="0" applyFill="true" applyBorder="true" applyNumberFormat="true" applyFont="true"/>
    <xf numFmtId="0" fontId="4245" fillId="0" borderId="0" xfId="0" applyFill="true" applyBorder="true" applyNumberFormat="true" applyFont="true"/>
    <xf numFmtId="0" fontId="4246" fillId="0" borderId="0" xfId="0" applyFill="true" applyBorder="true" applyNumberFormat="true" applyFont="true"/>
    <xf numFmtId="0" fontId="4247" fillId="0" borderId="0" xfId="0" applyFill="true" applyBorder="true" applyNumberFormat="true" applyFont="true"/>
    <xf numFmtId="0" fontId="4248" fillId="0" borderId="0" xfId="0" applyFill="true" applyBorder="true" applyNumberFormat="true" applyFont="true"/>
    <xf numFmtId="0" fontId="4249" fillId="0" borderId="0" xfId="0" applyFill="true" applyBorder="true" applyNumberFormat="true" applyFont="true"/>
    <xf numFmtId="0" fontId="4250" fillId="0" borderId="0" xfId="0" applyFill="true" applyBorder="true" applyNumberFormat="true" applyFont="true"/>
    <xf numFmtId="0" fontId="4251" fillId="0" borderId="0" xfId="0" applyFill="true" applyBorder="true" applyNumberFormat="true" applyFont="true"/>
    <xf numFmtId="0" fontId="4252" fillId="0" borderId="0" xfId="0" applyFill="true" applyBorder="true" applyNumberFormat="true" applyFont="true"/>
    <xf numFmtId="0" fontId="4253" fillId="0" borderId="0" xfId="0" applyFill="true" applyBorder="true" applyNumberFormat="true" applyFont="true"/>
    <xf numFmtId="0" fontId="4254" fillId="0" borderId="0" xfId="0" applyFill="true" applyBorder="true" applyNumberFormat="true" applyFont="true"/>
    <xf numFmtId="0" fontId="4255" fillId="0" borderId="0" xfId="0" applyFill="true" applyBorder="true" applyNumberFormat="true" applyFont="true"/>
    <xf numFmtId="0" fontId="4256" fillId="0" borderId="0" xfId="0" applyFill="true" applyBorder="true" applyNumberFormat="true" applyFont="true"/>
    <xf numFmtId="0" fontId="4257" fillId="0" borderId="0" xfId="0" applyFill="true" applyBorder="true" applyNumberFormat="true" applyFont="true"/>
    <xf numFmtId="0" fontId="4258" fillId="0" borderId="0" xfId="0" applyFill="true" applyBorder="true" applyNumberFormat="true" applyFont="true"/>
    <xf numFmtId="0" fontId="4259" fillId="0" borderId="0" xfId="0" applyFill="true" applyBorder="true" applyNumberFormat="true" applyFont="true"/>
    <xf numFmtId="0" fontId="4260" fillId="0" borderId="0" xfId="0" applyFill="true" applyBorder="true" applyNumberFormat="true" applyFont="true"/>
    <xf numFmtId="0" fontId="4261" fillId="0" borderId="0" xfId="0" applyFill="true" applyBorder="true" applyNumberFormat="true" applyFont="true"/>
    <xf numFmtId="0" fontId="4262" fillId="0" borderId="0" xfId="0" applyFill="true" applyBorder="true" applyNumberFormat="true" applyFont="true"/>
    <xf numFmtId="0" fontId="4263" fillId="0" borderId="0" xfId="0" applyFill="true" applyBorder="true" applyNumberFormat="true" applyFont="true"/>
    <xf numFmtId="0" fontId="4264" fillId="0" borderId="0" xfId="0" applyFill="true" applyBorder="true" applyNumberFormat="true" applyFont="true"/>
    <xf numFmtId="0" fontId="4265" fillId="0" borderId="0" xfId="0" applyFill="true" applyBorder="true" applyNumberFormat="true" applyFont="true"/>
    <xf numFmtId="0" fontId="4266" fillId="0" borderId="0" xfId="0" applyFill="true" applyBorder="true" applyNumberFormat="true" applyFont="true"/>
    <xf numFmtId="0" fontId="4267" fillId="0" borderId="0" xfId="0" applyFill="true" applyBorder="true" applyNumberFormat="true" applyFont="true"/>
    <xf numFmtId="0" fontId="4268" fillId="0" borderId="0" xfId="0" applyFill="true" applyBorder="true" applyNumberFormat="true" applyFont="true"/>
    <xf numFmtId="0" fontId="4269" fillId="0" borderId="0" xfId="0" applyFill="true" applyBorder="true" applyNumberFormat="true" applyFont="true"/>
    <xf numFmtId="0" fontId="4270" fillId="0" borderId="0" xfId="0" applyFill="true" applyBorder="true" applyNumberFormat="true" applyFont="true"/>
    <xf numFmtId="0" fontId="4271" fillId="0" borderId="0" xfId="0" applyFill="true" applyBorder="true" applyNumberFormat="true" applyFont="true"/>
    <xf numFmtId="0" fontId="4272" fillId="0" borderId="0" xfId="0" applyFill="true" applyBorder="true" applyNumberFormat="true" applyFont="true"/>
    <xf numFmtId="0" fontId="4273" fillId="0" borderId="0" xfId="0" applyFill="true" applyBorder="true" applyNumberFormat="true" applyFont="true"/>
    <xf numFmtId="0" fontId="4274" fillId="0" borderId="0" xfId="0" applyFill="true" applyBorder="true" applyNumberFormat="true" applyFont="true"/>
    <xf numFmtId="0" fontId="4275" fillId="0" borderId="0" xfId="0" applyFill="true" applyBorder="true" applyNumberFormat="true" applyFont="true"/>
    <xf numFmtId="0" fontId="4276" fillId="0" borderId="0" xfId="0" applyFill="true" applyBorder="true" applyNumberFormat="true" applyFont="true"/>
    <xf numFmtId="0" fontId="4277" fillId="0" borderId="0" xfId="0" applyFill="true" applyBorder="true" applyNumberFormat="true" applyFont="true"/>
    <xf numFmtId="0" fontId="4278" fillId="0" borderId="0" xfId="0" applyFill="true" applyBorder="true" applyNumberFormat="true" applyFont="true"/>
    <xf numFmtId="0" fontId="4279" fillId="0" borderId="0" xfId="0" applyFill="true" applyBorder="true" applyNumberFormat="true" applyFont="true"/>
    <xf numFmtId="0" fontId="4280" fillId="0" borderId="0" xfId="0" applyFill="true" applyBorder="true" applyNumberFormat="true" applyFont="true"/>
    <xf numFmtId="0" fontId="4281" fillId="0" borderId="0" xfId="0" applyFill="true" applyBorder="true" applyNumberFormat="true" applyFont="true"/>
    <xf numFmtId="0" fontId="4282" fillId="0" borderId="0" xfId="0" applyFill="true" applyBorder="true" applyNumberFormat="true" applyFont="true"/>
    <xf numFmtId="0" fontId="4283" fillId="0" borderId="0" xfId="0" applyFill="true" applyBorder="true" applyNumberFormat="true" applyFont="true"/>
    <xf numFmtId="0" fontId="4284" fillId="0" borderId="0" xfId="0" applyFill="true" applyBorder="true" applyNumberFormat="true" applyFont="true"/>
    <xf numFmtId="0" fontId="4285" fillId="0" borderId="0" xfId="0" applyFill="true" applyBorder="true" applyNumberFormat="true" applyFont="true"/>
    <xf numFmtId="0" fontId="4286" fillId="0" borderId="0" xfId="0" applyFill="true" applyBorder="true" applyNumberFormat="true" applyFont="true"/>
    <xf numFmtId="0" fontId="4287" fillId="0" borderId="0" xfId="0" applyFill="true" applyBorder="true" applyNumberFormat="true" applyFont="true"/>
    <xf numFmtId="0" fontId="4288" fillId="0" borderId="0" xfId="0" applyFill="true" applyBorder="true" applyNumberFormat="true" applyFont="true"/>
    <xf numFmtId="0" fontId="4289" fillId="0" borderId="0" xfId="0" applyFill="true" applyBorder="true" applyNumberFormat="true" applyFont="true"/>
    <xf numFmtId="0" fontId="4290" fillId="0" borderId="0" xfId="0" applyFill="true" applyBorder="true" applyNumberFormat="true" applyFont="true"/>
    <xf numFmtId="0" fontId="4291" fillId="0" borderId="0" xfId="0" applyFill="true" applyBorder="true" applyNumberFormat="true" applyFont="true"/>
    <xf numFmtId="0" fontId="4292" fillId="0" borderId="0" xfId="0" applyFill="true" applyBorder="true" applyNumberFormat="true" applyFont="true"/>
    <xf numFmtId="0" fontId="4293" fillId="0" borderId="0" xfId="0" applyFill="true" applyBorder="true" applyNumberFormat="true" applyFont="true"/>
    <xf numFmtId="0" fontId="4294" fillId="0" borderId="0" xfId="0" applyFill="true" applyBorder="true" applyNumberFormat="true" applyFont="true"/>
    <xf numFmtId="0" fontId="4295" fillId="0" borderId="0" xfId="0" applyFill="true" applyBorder="true" applyNumberFormat="true" applyFont="true"/>
    <xf numFmtId="0" fontId="4296" fillId="0" borderId="0" xfId="0" applyFill="true" applyBorder="true" applyNumberFormat="true" applyFont="true"/>
    <xf numFmtId="0" fontId="4297" fillId="0" borderId="0" xfId="0" applyFill="true" applyBorder="true" applyNumberFormat="true" applyFont="true"/>
    <xf numFmtId="0" fontId="4298" fillId="0" borderId="0" xfId="0" applyFill="true" applyBorder="true" applyNumberFormat="true" applyFont="true"/>
    <xf numFmtId="0" fontId="4299" fillId="0" borderId="0" xfId="0" applyFill="true" applyBorder="true" applyNumberFormat="true" applyFont="true"/>
    <xf numFmtId="0" fontId="4300" fillId="0" borderId="0" xfId="0" applyFill="true" applyBorder="true" applyNumberFormat="true" applyFont="true"/>
    <xf numFmtId="0" fontId="4301" fillId="0" borderId="0" xfId="0" applyFill="true" applyBorder="true" applyNumberFormat="true" applyFont="true"/>
    <xf numFmtId="0" fontId="4302" fillId="0" borderId="0" xfId="0" applyFill="true" applyBorder="true" applyNumberFormat="true" applyFont="true"/>
    <xf numFmtId="0" fontId="4303" fillId="0" borderId="0" xfId="0" applyFill="true" applyBorder="true" applyNumberFormat="true" applyFont="true"/>
    <xf numFmtId="0" fontId="4304" fillId="0" borderId="0" xfId="0" applyFill="true" applyBorder="true" applyNumberFormat="true" applyFont="true"/>
    <xf numFmtId="0" fontId="4305" fillId="0" borderId="0" xfId="0" applyFill="true" applyBorder="true" applyNumberFormat="true" applyFont="true"/>
    <xf numFmtId="0" fontId="4306" fillId="0" borderId="0" xfId="0" applyFill="true" applyBorder="true" applyNumberFormat="true" applyFont="true"/>
    <xf numFmtId="0" fontId="4307" fillId="0" borderId="0" xfId="0" applyFill="true" applyBorder="true" applyNumberFormat="true" applyFont="true"/>
    <xf numFmtId="0" fontId="4308" fillId="0" borderId="0" xfId="0" applyFill="true" applyBorder="true" applyNumberFormat="true" applyFont="true"/>
    <xf numFmtId="0" fontId="4309" fillId="0" borderId="0" xfId="0" applyFill="true" applyBorder="true" applyNumberFormat="true" applyFont="true"/>
    <xf numFmtId="0" fontId="4310" fillId="0" borderId="0" xfId="0" applyFill="true" applyBorder="true" applyNumberFormat="true" applyFont="true"/>
    <xf numFmtId="0" fontId="4311" fillId="0" borderId="0" xfId="0" applyFill="true" applyBorder="true" applyNumberFormat="true" applyFont="true"/>
    <xf numFmtId="0" fontId="4312" fillId="0" borderId="0" xfId="0" applyFill="true" applyBorder="true" applyNumberFormat="true" applyFont="true"/>
    <xf numFmtId="0" fontId="4313" fillId="0" borderId="0" xfId="0" applyFill="true" applyBorder="true" applyNumberFormat="true" applyFont="true"/>
    <xf numFmtId="0" fontId="4314" fillId="0" borderId="0" xfId="0" applyFill="true" applyBorder="true" applyNumberFormat="true" applyFont="true"/>
    <xf numFmtId="0" fontId="4315" fillId="0" borderId="0" xfId="0" applyFill="true" applyBorder="true" applyNumberFormat="true" applyFont="true"/>
    <xf numFmtId="0" fontId="4316" fillId="0" borderId="0" xfId="0" applyFill="true" applyBorder="true" applyNumberFormat="true" applyFont="true"/>
    <xf numFmtId="0" fontId="4317" fillId="0" borderId="0" xfId="0" applyFill="true" applyBorder="true" applyNumberFormat="true" applyFont="true"/>
    <xf numFmtId="0" fontId="4318" fillId="0" borderId="0" xfId="0" applyFill="true" applyBorder="true" applyNumberFormat="true" applyFont="true"/>
    <xf numFmtId="0" fontId="4319" fillId="0" borderId="0" xfId="0" applyFill="true" applyBorder="true" applyNumberFormat="true" applyFont="true"/>
    <xf numFmtId="0" fontId="4320" fillId="0" borderId="0" xfId="0" applyFill="true" applyBorder="true" applyNumberFormat="true" applyFont="true"/>
    <xf numFmtId="0" fontId="4321" fillId="0" borderId="0" xfId="0" applyFill="true" applyBorder="true" applyNumberFormat="true" applyFont="true"/>
    <xf numFmtId="0" fontId="4322" fillId="0" borderId="0" xfId="0" applyFill="true" applyBorder="true" applyNumberFormat="true" applyFont="true"/>
    <xf numFmtId="0" fontId="4323" fillId="0" borderId="0" xfId="0" applyFill="true" applyBorder="true" applyNumberFormat="true" applyFont="true"/>
    <xf numFmtId="0" fontId="4324" fillId="0" borderId="0" xfId="0" applyFill="true" applyBorder="true" applyNumberFormat="true" applyFont="true"/>
    <xf numFmtId="0" fontId="4325" fillId="0" borderId="0" xfId="0" applyFill="true" applyBorder="true" applyNumberFormat="true" applyFont="true"/>
    <xf numFmtId="0" fontId="4326" fillId="0" borderId="0" xfId="0" applyFill="true" applyBorder="true" applyNumberFormat="true" applyFont="true"/>
    <xf numFmtId="0" fontId="4327" fillId="0" borderId="0" xfId="0" applyFill="true" applyBorder="true" applyNumberFormat="true" applyFont="true"/>
    <xf numFmtId="0" fontId="4328" fillId="0" borderId="0" xfId="0" applyFill="true" applyBorder="true" applyNumberFormat="true" applyFont="true"/>
    <xf numFmtId="0" fontId="4329" fillId="0" borderId="0" xfId="0" applyFill="true" applyBorder="true" applyNumberFormat="true" applyFont="true"/>
    <xf numFmtId="0" fontId="4330" fillId="0" borderId="0" xfId="0" applyFill="true" applyBorder="true" applyNumberFormat="true" applyFont="true"/>
    <xf numFmtId="0" fontId="4331" fillId="0" borderId="0" xfId="0" applyFill="true" applyBorder="true" applyNumberFormat="true" applyFont="true"/>
    <xf numFmtId="0" fontId="4332" fillId="0" borderId="0" xfId="0" applyFill="true" applyBorder="true" applyNumberFormat="true" applyFont="true"/>
    <xf numFmtId="0" fontId="4333" fillId="0" borderId="0" xfId="0" applyFill="true" applyBorder="true" applyNumberFormat="true" applyFont="true"/>
    <xf numFmtId="0" fontId="4334" fillId="0" borderId="0" xfId="0" applyFill="true" applyBorder="true" applyNumberFormat="true" applyFont="true"/>
    <xf numFmtId="0" fontId="4335" fillId="0" borderId="0" xfId="0" applyFill="true" applyBorder="true" applyNumberFormat="true" applyFont="true"/>
    <xf numFmtId="0" fontId="4336" fillId="0" borderId="0" xfId="0" applyFill="true" applyBorder="true" applyNumberFormat="true" applyFont="true"/>
    <xf numFmtId="0" fontId="4337" fillId="0" borderId="0" xfId="0" applyFill="true" applyBorder="true" applyNumberFormat="true" applyFont="true"/>
    <xf numFmtId="0" fontId="4338" fillId="0" borderId="0" xfId="0" applyFill="true" applyBorder="true" applyNumberFormat="true" applyFont="true"/>
    <xf numFmtId="0" fontId="4339" fillId="0" borderId="0" xfId="0" applyFill="true" applyBorder="true" applyNumberFormat="true" applyFont="true"/>
    <xf numFmtId="0" fontId="4340" fillId="0" borderId="0" xfId="0" applyFill="true" applyBorder="true" applyNumberFormat="true" applyFont="true"/>
    <xf numFmtId="0" fontId="4341" fillId="0" borderId="0" xfId="0" applyFill="true" applyBorder="true" applyNumberFormat="true" applyFont="true"/>
    <xf numFmtId="0" fontId="4342" fillId="0" borderId="0" xfId="0" applyFill="true" applyBorder="true" applyNumberFormat="true" applyFont="true"/>
    <xf numFmtId="0" fontId="4343" fillId="0" borderId="0" xfId="0" applyFill="true" applyBorder="true" applyNumberFormat="true" applyFont="true"/>
    <xf numFmtId="0" fontId="4344" fillId="0" borderId="0" xfId="0" applyFill="true" applyBorder="true" applyNumberFormat="true" applyFont="true"/>
    <xf numFmtId="0" fontId="4345" fillId="0" borderId="0" xfId="0" applyFill="true" applyBorder="true" applyNumberFormat="true" applyFont="true"/>
    <xf numFmtId="0" fontId="4346" fillId="0" borderId="0" xfId="0" applyFill="true" applyBorder="true" applyNumberFormat="true" applyFont="true"/>
    <xf numFmtId="0" fontId="4347" fillId="0" borderId="0" xfId="0" applyFill="true" applyBorder="true" applyNumberFormat="true" applyFont="true"/>
    <xf numFmtId="0" fontId="4348" fillId="0" borderId="0" xfId="0" applyFill="true" applyBorder="true" applyNumberFormat="true" applyFont="true"/>
    <xf numFmtId="0" fontId="4349" fillId="0" borderId="0" xfId="0" applyFill="true" applyBorder="true" applyNumberFormat="true" applyFont="true"/>
    <xf numFmtId="0" fontId="4350" fillId="0" borderId="0" xfId="0" applyFill="true" applyBorder="true" applyNumberFormat="true" applyFont="true"/>
    <xf numFmtId="0" fontId="4351" fillId="0" borderId="0" xfId="0" applyFill="true" applyBorder="true" applyNumberFormat="true" applyFont="true"/>
    <xf numFmtId="0" fontId="4352" fillId="0" borderId="0" xfId="0" applyFill="true" applyBorder="true" applyNumberFormat="true" applyFont="true"/>
    <xf numFmtId="0" fontId="4353" fillId="0" borderId="0" xfId="0" applyFill="true" applyBorder="true" applyNumberFormat="true" applyFont="true"/>
    <xf numFmtId="0" fontId="4354" fillId="0" borderId="0" xfId="0" applyFill="true" applyBorder="true" applyNumberFormat="true" applyFont="true"/>
    <xf numFmtId="0" fontId="4355" fillId="0" borderId="0" xfId="0" applyFill="true" applyBorder="true" applyNumberFormat="true" applyFont="true"/>
    <xf numFmtId="0" fontId="4356" fillId="0" borderId="0" xfId="0" applyFill="true" applyBorder="true" applyNumberFormat="true" applyFont="true"/>
    <xf numFmtId="0" fontId="4357" fillId="0" borderId="0" xfId="0" applyFill="true" applyBorder="true" applyNumberFormat="true" applyFont="true"/>
    <xf numFmtId="0" fontId="4358" fillId="0" borderId="0" xfId="0" applyFill="true" applyBorder="true" applyNumberFormat="true" applyFont="true"/>
    <xf numFmtId="0" fontId="4359" fillId="0" borderId="0" xfId="0" applyFill="true" applyBorder="true" applyNumberFormat="true" applyFont="true"/>
    <xf numFmtId="0" fontId="4360" fillId="0" borderId="0" xfId="0" applyFill="true" applyBorder="true" applyNumberFormat="true" applyFont="true"/>
    <xf numFmtId="0" fontId="4361" fillId="0" borderId="0" xfId="0" applyFill="true" applyBorder="true" applyNumberFormat="true" applyFont="true"/>
    <xf numFmtId="0" fontId="4362" fillId="0" borderId="0" xfId="0" applyFill="true" applyBorder="true" applyNumberFormat="true" applyFont="true"/>
    <xf numFmtId="0" fontId="4363" fillId="0" borderId="0" xfId="0" applyFill="true" applyBorder="true" applyNumberFormat="true" applyFont="true"/>
    <xf numFmtId="0" fontId="4364" fillId="0" borderId="0" xfId="0" applyFill="true" applyBorder="true" applyNumberFormat="true" applyFont="true"/>
    <xf numFmtId="0" fontId="4365" fillId="0" borderId="0" xfId="0" applyFill="true" applyBorder="true" applyNumberFormat="true" applyFont="true"/>
    <xf numFmtId="0" fontId="4366" fillId="0" borderId="0" xfId="0" applyFill="true" applyBorder="true" applyNumberFormat="true" applyFont="true"/>
    <xf numFmtId="0" fontId="4367" fillId="0" borderId="0" xfId="0" applyFill="true" applyBorder="true" applyNumberFormat="true" applyFont="true"/>
    <xf numFmtId="0" fontId="4368" fillId="0" borderId="0" xfId="0" applyFill="true" applyBorder="true" applyNumberFormat="true" applyFont="true"/>
    <xf numFmtId="0" fontId="4369" fillId="0" borderId="0" xfId="0" applyFill="true" applyBorder="true" applyNumberFormat="true" applyFont="true"/>
    <xf numFmtId="0" fontId="4370" fillId="0" borderId="0" xfId="0" applyFill="true" applyBorder="true" applyNumberFormat="true" applyFont="true"/>
    <xf numFmtId="0" fontId="4371" fillId="0" borderId="0" xfId="0" applyFill="true" applyBorder="true" applyNumberFormat="true" applyFont="true"/>
    <xf numFmtId="0" fontId="4372" fillId="0" borderId="0" xfId="0" applyFill="true" applyBorder="true" applyNumberFormat="true" applyFont="true"/>
    <xf numFmtId="0" fontId="4373" fillId="0" borderId="0" xfId="0" applyFill="true" applyBorder="true" applyNumberFormat="true" applyFont="true"/>
    <xf numFmtId="0" fontId="4374" fillId="0" borderId="0" xfId="0" applyFill="true" applyBorder="true" applyNumberFormat="true" applyFont="true"/>
    <xf numFmtId="0" fontId="4375" fillId="0" borderId="0" xfId="0" applyFill="true" applyBorder="true" applyNumberFormat="true" applyFont="true"/>
    <xf numFmtId="0" fontId="4376" fillId="0" borderId="0" xfId="0" applyFill="true" applyBorder="true" applyNumberFormat="true" applyFont="true"/>
    <xf numFmtId="0" fontId="4377" fillId="0" borderId="0" xfId="0" applyFill="true" applyBorder="true" applyNumberFormat="true" applyFont="true"/>
    <xf numFmtId="0" fontId="4378" fillId="0" borderId="0" xfId="0" applyFill="true" applyBorder="true" applyNumberFormat="true" applyFont="true"/>
    <xf numFmtId="0" fontId="4379" fillId="0" borderId="0" xfId="0" applyFill="true" applyBorder="true" applyNumberFormat="true" applyFont="true"/>
    <xf numFmtId="0" fontId="4380" fillId="0" borderId="0" xfId="0" applyFill="true" applyBorder="true" applyNumberFormat="true" applyFont="true"/>
    <xf numFmtId="0" fontId="4381" fillId="0" borderId="0" xfId="0" applyFill="true" applyBorder="true" applyNumberFormat="true" applyFont="true"/>
    <xf numFmtId="0" fontId="4382" fillId="0" borderId="0" xfId="0" applyFill="true" applyBorder="true" applyNumberFormat="true" applyFont="true"/>
    <xf numFmtId="0" fontId="4383" fillId="0" borderId="0" xfId="0" applyFill="true" applyBorder="true" applyNumberFormat="true" applyFont="true"/>
    <xf numFmtId="0" fontId="4384" fillId="0" borderId="0" xfId="0" applyFill="true" applyBorder="true" applyNumberFormat="true" applyFont="true"/>
    <xf numFmtId="0" fontId="4385" fillId="0" borderId="0" xfId="0" applyFill="true" applyBorder="true" applyNumberFormat="true" applyFont="true"/>
    <xf numFmtId="0" fontId="4386" fillId="0" borderId="0" xfId="0" applyFill="true" applyBorder="true" applyNumberFormat="true" applyFont="true"/>
    <xf numFmtId="0" fontId="4387" fillId="0" borderId="0" xfId="0" applyFill="true" applyBorder="true" applyNumberFormat="true" applyFont="true"/>
    <xf numFmtId="0" fontId="4388" fillId="0" borderId="0" xfId="0" applyFill="true" applyBorder="true" applyNumberFormat="true" applyFont="true"/>
    <xf numFmtId="0" fontId="4389" fillId="0" borderId="0" xfId="0" applyFill="true" applyBorder="true" applyNumberFormat="true" applyFont="true"/>
    <xf numFmtId="0" fontId="4390" fillId="0" borderId="0" xfId="0" applyFill="true" applyBorder="true" applyNumberFormat="true" applyFont="true"/>
    <xf numFmtId="0" fontId="4391" fillId="0" borderId="0" xfId="0" applyFill="true" applyBorder="true" applyNumberFormat="true" applyFont="true"/>
    <xf numFmtId="0" fontId="4392" fillId="0" borderId="0" xfId="0" applyFill="true" applyBorder="true" applyNumberFormat="true" applyFont="true"/>
    <xf numFmtId="0" fontId="4393" fillId="0" borderId="0" xfId="0" applyFill="true" applyBorder="true" applyNumberFormat="true" applyFont="true"/>
    <xf numFmtId="0" fontId="4394" fillId="0" borderId="0" xfId="0" applyFill="true" applyBorder="true" applyNumberFormat="true" applyFont="true"/>
    <xf numFmtId="0" fontId="4395" fillId="0" borderId="0" xfId="0" applyFill="true" applyBorder="true" applyNumberFormat="true" applyFont="true"/>
    <xf numFmtId="0" fontId="4396" fillId="0" borderId="0" xfId="0" applyFill="true" applyBorder="true" applyNumberFormat="true" applyFont="true"/>
    <xf numFmtId="0" fontId="4397" fillId="0" borderId="0" xfId="0" applyFill="true" applyBorder="true" applyNumberFormat="true" applyFont="true"/>
    <xf numFmtId="0" fontId="4398" fillId="0" borderId="0" xfId="0" applyFill="true" applyBorder="true" applyNumberFormat="true" applyFont="true"/>
    <xf numFmtId="0" fontId="4399" fillId="0" borderId="0" xfId="0" applyFill="true" applyBorder="true" applyNumberFormat="true" applyFont="true"/>
    <xf numFmtId="0" fontId="4400" fillId="0" borderId="0" xfId="0" applyFill="true" applyBorder="true" applyNumberFormat="true" applyFont="true"/>
    <xf numFmtId="0" fontId="4401" fillId="0" borderId="0" xfId="0" applyFill="true" applyBorder="true" applyNumberFormat="true" applyFont="true"/>
    <xf numFmtId="0" fontId="4402" fillId="0" borderId="0" xfId="0" applyFill="true" applyBorder="true" applyNumberFormat="true" applyFont="true"/>
    <xf numFmtId="0" fontId="4403" fillId="0" borderId="0" xfId="0" applyFill="true" applyBorder="true" applyNumberFormat="true" applyFont="true"/>
    <xf numFmtId="0" fontId="4404" fillId="0" borderId="0" xfId="0" applyFill="true" applyBorder="true" applyNumberFormat="true" applyFont="true"/>
    <xf numFmtId="0" fontId="4405" fillId="0" borderId="0" xfId="0" applyFill="true" applyBorder="true" applyNumberFormat="true" applyFont="true"/>
    <xf numFmtId="0" fontId="4406" fillId="0" borderId="0" xfId="0" applyFill="true" applyBorder="true" applyNumberFormat="true" applyFont="true"/>
    <xf numFmtId="0" fontId="4407" fillId="0" borderId="0" xfId="0" applyFill="true" applyBorder="true" applyNumberFormat="true" applyFont="true"/>
    <xf numFmtId="0" fontId="4408" fillId="0" borderId="0" xfId="0" applyFill="true" applyBorder="true" applyNumberFormat="true" applyFont="true"/>
    <xf numFmtId="0" fontId="4409" fillId="0" borderId="0" xfId="0" applyFill="true" applyBorder="true" applyNumberFormat="true" applyFont="true"/>
    <xf numFmtId="0" fontId="4410" fillId="0" borderId="0" xfId="0" applyFill="true" applyBorder="true" applyNumberFormat="true" applyFont="true"/>
    <xf numFmtId="0" fontId="4411" fillId="0" borderId="0" xfId="0" applyFill="true" applyBorder="true" applyNumberFormat="true" applyFont="true"/>
    <xf numFmtId="0" fontId="4412" fillId="0" borderId="0" xfId="0" applyFill="true" applyBorder="true" applyNumberFormat="true" applyFont="true"/>
    <xf numFmtId="0" fontId="4413" fillId="0" borderId="0" xfId="0" applyFill="true" applyBorder="true" applyNumberFormat="true" applyFont="true"/>
    <xf numFmtId="0" fontId="4414" fillId="0" borderId="0" xfId="0" applyFill="true" applyBorder="true" applyNumberFormat="true" applyFont="true"/>
    <xf numFmtId="0" fontId="4415" fillId="0" borderId="0" xfId="0" applyFill="true" applyBorder="true" applyNumberFormat="true" applyFont="true"/>
    <xf numFmtId="0" fontId="4416" fillId="0" borderId="0" xfId="0" applyFill="true" applyBorder="true" applyNumberFormat="true" applyFont="true"/>
    <xf numFmtId="0" fontId="4417" fillId="0" borderId="0" xfId="0" applyFill="true" applyBorder="true" applyNumberFormat="true" applyFont="true"/>
    <xf numFmtId="0" fontId="4418" fillId="0" borderId="0" xfId="0" applyFill="true" applyBorder="true" applyNumberFormat="true" applyFont="true"/>
    <xf numFmtId="0" fontId="4419" fillId="0" borderId="0" xfId="0" applyFill="true" applyBorder="true" applyNumberFormat="true" applyFont="true"/>
    <xf numFmtId="0" fontId="4420" fillId="0" borderId="0" xfId="0" applyFill="true" applyBorder="true" applyNumberFormat="true" applyFont="true"/>
    <xf numFmtId="0" fontId="4421" fillId="0" borderId="0" xfId="0" applyFill="true" applyBorder="true" applyNumberFormat="true" applyFont="true"/>
    <xf numFmtId="0" fontId="4422" fillId="0" borderId="0" xfId="0" applyFill="true" applyBorder="true" applyNumberFormat="true" applyFont="true"/>
    <xf numFmtId="0" fontId="4423" fillId="0" borderId="0" xfId="0" applyFill="true" applyBorder="true" applyNumberFormat="true" applyFont="true"/>
    <xf numFmtId="0" fontId="4424" fillId="0" borderId="0" xfId="0" applyFill="true" applyBorder="true" applyNumberFormat="true" applyFont="true"/>
    <xf numFmtId="0" fontId="4425" fillId="0" borderId="0" xfId="0" applyFill="true" applyBorder="true" applyNumberFormat="true" applyFont="true"/>
    <xf numFmtId="0" fontId="4426" fillId="0" borderId="0" xfId="0" applyFill="true" applyBorder="true" applyNumberFormat="true" applyFont="true"/>
    <xf numFmtId="0" fontId="4427" fillId="0" borderId="0" xfId="0" applyFill="true" applyBorder="true" applyNumberFormat="true" applyFont="true"/>
    <xf numFmtId="0" fontId="4428" fillId="0" borderId="0" xfId="0" applyFill="true" applyBorder="true" applyNumberFormat="true" applyFont="true"/>
    <xf numFmtId="0" fontId="4429" fillId="0" borderId="0" xfId="0" applyFill="true" applyBorder="true" applyNumberFormat="true" applyFont="true"/>
    <xf numFmtId="0" fontId="4430" fillId="0" borderId="0" xfId="0" applyFill="true" applyBorder="true" applyNumberFormat="true" applyFont="true"/>
    <xf numFmtId="0" fontId="4431" fillId="0" borderId="0" xfId="0" applyFill="true" applyBorder="true" applyNumberFormat="true" applyFont="true"/>
    <xf numFmtId="0" fontId="4432" fillId="0" borderId="0" xfId="0" applyFill="true" applyBorder="true" applyNumberFormat="true" applyFont="true"/>
    <xf numFmtId="0" fontId="4433" fillId="0" borderId="0" xfId="0" applyFill="true" applyBorder="true" applyNumberFormat="true" applyFont="true"/>
    <xf numFmtId="0" fontId="4434" fillId="0" borderId="0" xfId="0" applyFill="true" applyBorder="true" applyNumberFormat="true" applyFont="true"/>
    <xf numFmtId="0" fontId="4435" fillId="0" borderId="0" xfId="0" applyFill="true" applyBorder="true" applyNumberFormat="true" applyFont="true"/>
    <xf numFmtId="0" fontId="4436" fillId="0" borderId="0" xfId="0" applyFill="true" applyBorder="true" applyNumberFormat="true" applyFont="true"/>
    <xf numFmtId="0" fontId="4437" fillId="0" borderId="0" xfId="0" applyFill="true" applyBorder="true" applyNumberFormat="true" applyFont="true"/>
    <xf numFmtId="0" fontId="4438" fillId="0" borderId="0" xfId="0" applyFill="true" applyBorder="true" applyNumberFormat="true" applyFont="true"/>
    <xf numFmtId="0" fontId="4439" fillId="0" borderId="0" xfId="0" applyFill="true" applyBorder="true" applyNumberFormat="true" applyFont="true"/>
    <xf numFmtId="0" fontId="4440" fillId="0" borderId="0" xfId="0" applyFill="true" applyBorder="true" applyNumberFormat="true" applyFont="true"/>
    <xf numFmtId="0" fontId="4441" fillId="0" borderId="0" xfId="0" applyFill="true" applyBorder="true" applyNumberFormat="true" applyFont="true"/>
    <xf numFmtId="0" fontId="4442" fillId="0" borderId="0" xfId="0" applyFill="true" applyBorder="true" applyNumberFormat="true" applyFont="true"/>
    <xf numFmtId="0" fontId="4443" fillId="0" borderId="0" xfId="0" applyFill="true" applyBorder="true" applyNumberFormat="true" applyFont="true"/>
    <xf numFmtId="0" fontId="4444" fillId="0" borderId="0" xfId="0" applyFill="true" applyBorder="true" applyNumberFormat="true" applyFont="true"/>
    <xf numFmtId="0" fontId="4445" fillId="0" borderId="0" xfId="0" applyFill="true" applyBorder="true" applyNumberFormat="true" applyFont="true"/>
    <xf numFmtId="0" fontId="4446" fillId="0" borderId="0" xfId="0" applyFill="true" applyBorder="true" applyNumberFormat="true" applyFont="true"/>
    <xf numFmtId="0" fontId="4447" fillId="0" borderId="0" xfId="0" applyFill="true" applyBorder="true" applyNumberFormat="true" applyFont="true"/>
    <xf numFmtId="0" fontId="4448" fillId="0" borderId="0" xfId="0" applyFill="true" applyBorder="true" applyNumberFormat="true" applyFont="true"/>
    <xf numFmtId="0" fontId="4449" fillId="0" borderId="0" xfId="0" applyFill="true" applyBorder="true" applyNumberFormat="true" applyFont="true"/>
    <xf numFmtId="0" fontId="4450" fillId="0" borderId="0" xfId="0" applyFill="true" applyBorder="true" applyNumberFormat="true" applyFont="true"/>
    <xf numFmtId="0" fontId="4451" fillId="0" borderId="0" xfId="0" applyFill="true" applyBorder="true" applyNumberFormat="true" applyFont="true"/>
    <xf numFmtId="0" fontId="4452" fillId="0" borderId="0" xfId="0" applyFill="true" applyBorder="true" applyNumberFormat="true" applyFont="true"/>
    <xf numFmtId="0" fontId="4453" fillId="0" borderId="0" xfId="0" applyFill="true" applyBorder="true" applyNumberFormat="true" applyFont="true"/>
    <xf numFmtId="0" fontId="4454" fillId="0" borderId="0" xfId="0" applyFill="true" applyBorder="true" applyNumberFormat="true" applyFont="true"/>
    <xf numFmtId="0" fontId="4455" fillId="0" borderId="0" xfId="0" applyFill="true" applyBorder="true" applyNumberFormat="true" applyFont="true"/>
    <xf numFmtId="0" fontId="4456" fillId="0" borderId="0" xfId="0" applyFill="true" applyBorder="true" applyNumberFormat="true" applyFont="true"/>
    <xf numFmtId="0" fontId="4457" fillId="0" borderId="0" xfId="0" applyFill="true" applyBorder="true" applyNumberFormat="true" applyFont="true"/>
    <xf numFmtId="0" fontId="4458" fillId="0" borderId="0" xfId="0" applyFill="true" applyBorder="true" applyNumberFormat="true" applyFont="true"/>
    <xf numFmtId="0" fontId="4459" fillId="0" borderId="0" xfId="0" applyFill="true" applyBorder="true" applyNumberFormat="true" applyFont="true"/>
    <xf numFmtId="0" fontId="4460" fillId="0" borderId="0" xfId="0" applyFill="true" applyBorder="true" applyNumberFormat="true" applyFont="true"/>
    <xf numFmtId="0" fontId="4461" fillId="0" borderId="0" xfId="0" applyFill="true" applyBorder="true" applyNumberFormat="true" applyFont="true"/>
    <xf numFmtId="0" fontId="4462" fillId="0" borderId="0" xfId="0" applyFill="true" applyBorder="true" applyNumberFormat="true" applyFont="true"/>
    <xf numFmtId="0" fontId="4463" fillId="0" borderId="0" xfId="0" applyFill="true" applyBorder="true" applyNumberFormat="true" applyFont="true"/>
    <xf numFmtId="0" fontId="4464" fillId="0" borderId="0" xfId="0" applyFill="true" applyBorder="true" applyNumberFormat="true" applyFont="true"/>
    <xf numFmtId="0" fontId="4465" fillId="0" borderId="0" xfId="0" applyFill="true" applyBorder="true" applyNumberFormat="true" applyFont="true"/>
    <xf numFmtId="0" fontId="4466" fillId="0" borderId="0" xfId="0" applyFill="true" applyBorder="true" applyNumberFormat="true" applyFont="true"/>
    <xf numFmtId="0" fontId="4467" fillId="0" borderId="0" xfId="0" applyFill="true" applyBorder="true" applyNumberFormat="true" applyFont="true"/>
    <xf numFmtId="0" fontId="4468" fillId="0" borderId="0" xfId="0" applyFill="true" applyBorder="true" applyNumberFormat="true" applyFont="true"/>
    <xf numFmtId="0" fontId="4469" fillId="0" borderId="0" xfId="0" applyFill="true" applyBorder="true" applyNumberFormat="true" applyFont="true"/>
    <xf numFmtId="0" fontId="4470" fillId="0" borderId="0" xfId="0" applyFill="true" applyBorder="true" applyNumberFormat="true" applyFont="true"/>
    <xf numFmtId="0" fontId="4471" fillId="0" borderId="0" xfId="0" applyFill="true" applyBorder="true" applyNumberFormat="true" applyFont="true"/>
    <xf numFmtId="0" fontId="4472" fillId="0" borderId="0" xfId="0" applyFill="true" applyBorder="true" applyNumberFormat="true" applyFont="true"/>
    <xf numFmtId="0" fontId="4473" fillId="0" borderId="0" xfId="0" applyFill="true" applyBorder="true" applyNumberFormat="true" applyFont="true"/>
    <xf numFmtId="0" fontId="4474" fillId="0" borderId="0" xfId="0" applyFill="true" applyBorder="true" applyNumberFormat="true" applyFont="true"/>
    <xf numFmtId="0" fontId="4475" fillId="0" borderId="0" xfId="0" applyFill="true" applyBorder="true" applyNumberFormat="true" applyFont="true"/>
    <xf numFmtId="0" fontId="4476" fillId="0" borderId="0" xfId="0" applyFill="true" applyBorder="true" applyNumberFormat="true" applyFont="true"/>
    <xf numFmtId="0" fontId="4477" fillId="0" borderId="0" xfId="0" applyFill="true" applyBorder="true" applyNumberFormat="true" applyFont="true"/>
    <xf numFmtId="0" fontId="4478" fillId="0" borderId="0" xfId="0" applyFill="true" applyBorder="true" applyNumberFormat="true" applyFont="true"/>
    <xf numFmtId="0" fontId="4479" fillId="0" borderId="0" xfId="0" applyFill="true" applyBorder="true" applyNumberFormat="true" applyFont="true"/>
    <xf numFmtId="0" fontId="4480" fillId="0" borderId="0" xfId="0" applyFill="true" applyBorder="true" applyNumberFormat="true" applyFont="true"/>
    <xf numFmtId="0" fontId="4481" fillId="0" borderId="0" xfId="0" applyFill="true" applyBorder="true" applyNumberFormat="true" applyFont="true"/>
    <xf numFmtId="0" fontId="4482" fillId="0" borderId="0" xfId="0" applyFill="true" applyBorder="true" applyNumberFormat="true" applyFont="true"/>
    <xf numFmtId="0" fontId="4483" fillId="0" borderId="0" xfId="0" applyFill="true" applyBorder="true" applyNumberFormat="true" applyFont="true"/>
    <xf numFmtId="0" fontId="4484" fillId="0" borderId="0" xfId="0" applyFill="true" applyBorder="true" applyNumberFormat="true" applyFont="true"/>
    <xf numFmtId="0" fontId="4485" fillId="0" borderId="0" xfId="0" applyFill="true" applyBorder="true" applyNumberFormat="true" applyFont="true"/>
    <xf numFmtId="0" fontId="4486" fillId="0" borderId="0" xfId="0" applyFill="true" applyBorder="true" applyNumberFormat="true" applyFont="true"/>
    <xf numFmtId="0" fontId="4487" fillId="0" borderId="0" xfId="0" applyFill="true" applyBorder="true" applyNumberFormat="true" applyFont="true"/>
    <xf numFmtId="0" fontId="4488" fillId="0" borderId="0" xfId="0" applyFill="true" applyBorder="true" applyNumberFormat="true" applyFont="true"/>
    <xf numFmtId="0" fontId="4489" fillId="0" borderId="0" xfId="0" applyFill="true" applyBorder="true" applyNumberFormat="true" applyFont="true"/>
    <xf numFmtId="0" fontId="4490" fillId="0" borderId="0" xfId="0" applyFill="true" applyBorder="true" applyNumberFormat="true" applyFont="true"/>
    <xf numFmtId="0" fontId="4491" fillId="0" borderId="0" xfId="0" applyFill="true" applyBorder="true" applyNumberFormat="true" applyFont="true"/>
    <xf numFmtId="0" fontId="4492" fillId="0" borderId="0" xfId="0" applyFill="true" applyBorder="true" applyNumberFormat="true" applyFont="true"/>
    <xf numFmtId="0" fontId="4493" fillId="0" borderId="0" xfId="0" applyFill="true" applyBorder="true" applyNumberFormat="true" applyFont="true"/>
    <xf numFmtId="0" fontId="4494" fillId="0" borderId="0" xfId="0" applyFill="true" applyBorder="true" applyNumberFormat="true" applyFont="true"/>
    <xf numFmtId="0" fontId="4495" fillId="0" borderId="0" xfId="0" applyFill="true" applyBorder="true" applyNumberFormat="true" applyFont="true"/>
    <xf numFmtId="0" fontId="4496" fillId="0" borderId="0" xfId="0" applyFill="true" applyBorder="true" applyNumberFormat="true" applyFont="true"/>
    <xf numFmtId="0" fontId="4497" fillId="0" borderId="0" xfId="0" applyFill="true" applyBorder="true" applyNumberFormat="true" applyFont="true"/>
    <xf numFmtId="0" fontId="4498" fillId="0" borderId="0" xfId="0" applyFill="true" applyBorder="true" applyNumberFormat="true" applyFont="true"/>
    <xf numFmtId="0" fontId="4499" fillId="0" borderId="0" xfId="0" applyFill="true" applyBorder="true" applyNumberFormat="true" applyFont="true"/>
    <xf numFmtId="0" fontId="4500" fillId="0" borderId="0" xfId="0" applyFill="true" applyBorder="true" applyNumberFormat="true" applyFont="true"/>
    <xf numFmtId="0" fontId="4501" fillId="0" borderId="0" xfId="0" applyFill="true" applyBorder="true" applyNumberFormat="true" applyFont="true"/>
    <xf numFmtId="0" fontId="4502" fillId="0" borderId="0" xfId="0" applyFill="true" applyBorder="true" applyNumberFormat="true" applyFont="true"/>
    <xf numFmtId="0" fontId="4503" fillId="0" borderId="0" xfId="0" applyFill="true" applyBorder="true" applyNumberFormat="true" applyFont="true"/>
    <xf numFmtId="0" fontId="4504" fillId="0" borderId="0" xfId="0" applyFill="true" applyBorder="true" applyNumberFormat="true" applyFont="true"/>
    <xf numFmtId="0" fontId="4505" fillId="0" borderId="0" xfId="0" applyFill="true" applyBorder="true" applyNumberFormat="true" applyFont="true"/>
    <xf numFmtId="0" fontId="4506" fillId="0" borderId="0" xfId="0" applyFill="true" applyBorder="true" applyNumberFormat="true" applyFont="true"/>
    <xf numFmtId="0" fontId="4507" fillId="0" borderId="0" xfId="0" applyFill="true" applyBorder="true" applyNumberFormat="true" applyFont="true"/>
    <xf numFmtId="0" fontId="4508" fillId="0" borderId="0" xfId="0" applyFill="true" applyBorder="true" applyNumberFormat="true" applyFont="true"/>
    <xf numFmtId="0" fontId="4509" fillId="0" borderId="0" xfId="0" applyFill="true" applyBorder="true" applyNumberFormat="true" applyFont="true"/>
    <xf numFmtId="0" fontId="4510" fillId="0" borderId="0" xfId="0" applyFill="true" applyBorder="true" applyNumberFormat="true" applyFont="true"/>
    <xf numFmtId="0" fontId="4511" fillId="0" borderId="0" xfId="0" applyFill="true" applyBorder="true" applyNumberFormat="true" applyFont="true"/>
    <xf numFmtId="0" fontId="4512" fillId="0" borderId="0" xfId="0" applyFill="true" applyBorder="true" applyNumberFormat="true" applyFont="true"/>
    <xf numFmtId="0" fontId="4513" fillId="0" borderId="0" xfId="0" applyFill="true" applyBorder="true" applyNumberFormat="true" applyFont="true"/>
    <xf numFmtId="0" fontId="4514" fillId="0" borderId="0" xfId="0" applyFill="true" applyBorder="true" applyNumberFormat="true" applyFont="true"/>
    <xf numFmtId="0" fontId="4515" fillId="0" borderId="0" xfId="0" applyFill="true" applyBorder="true" applyNumberFormat="true" applyFont="true"/>
    <xf numFmtId="0" fontId="4516" fillId="0" borderId="0" xfId="0" applyFill="true" applyBorder="true" applyNumberFormat="true" applyFont="true"/>
    <xf numFmtId="0" fontId="4517" fillId="0" borderId="0" xfId="0" applyFill="true" applyBorder="true" applyNumberFormat="true" applyFont="true"/>
    <xf numFmtId="0" fontId="4518" fillId="0" borderId="0" xfId="0" applyFill="true" applyBorder="true" applyNumberFormat="true" applyFont="true"/>
    <xf numFmtId="0" fontId="4519" fillId="0" borderId="0" xfId="0" applyFill="true" applyBorder="true" applyNumberFormat="true" applyFont="true"/>
    <xf numFmtId="0" fontId="4520" fillId="0" borderId="0" xfId="0" applyFill="true" applyBorder="true" applyNumberFormat="true" applyFont="true"/>
    <xf numFmtId="0" fontId="4521" fillId="0" borderId="0" xfId="0" applyFill="true" applyBorder="true" applyNumberFormat="true" applyFont="true"/>
    <xf numFmtId="0" fontId="4522" fillId="0" borderId="0" xfId="0" applyFill="true" applyBorder="true" applyNumberFormat="true" applyFont="true"/>
    <xf numFmtId="0" fontId="4523" fillId="0" borderId="0" xfId="0" applyFill="true" applyBorder="true" applyNumberFormat="true" applyFont="true"/>
    <xf numFmtId="0" fontId="4524" fillId="0" borderId="0" xfId="0" applyFill="true" applyBorder="true" applyNumberFormat="true" applyFont="true"/>
    <xf numFmtId="0" fontId="4525" fillId="0" borderId="0" xfId="0" applyFill="true" applyBorder="true" applyNumberFormat="true" applyFont="true"/>
    <xf numFmtId="0" fontId="4526" fillId="0" borderId="0" xfId="0" applyFill="true" applyBorder="true" applyNumberFormat="true" applyFont="true"/>
    <xf numFmtId="0" fontId="4527" fillId="0" borderId="0" xfId="0" applyFill="true" applyBorder="true" applyNumberFormat="true" applyFont="true"/>
    <xf numFmtId="0" fontId="4528" fillId="0" borderId="0" xfId="0" applyFill="true" applyBorder="true" applyNumberFormat="true" applyFont="true"/>
    <xf numFmtId="0" fontId="4529" fillId="0" borderId="0" xfId="0" applyFill="true" applyBorder="true" applyNumberFormat="true" applyFont="true"/>
    <xf numFmtId="0" fontId="4530" fillId="0" borderId="0" xfId="0" applyFill="true" applyBorder="true" applyNumberFormat="true" applyFont="true"/>
    <xf numFmtId="0" fontId="4531" fillId="0" borderId="0" xfId="0" applyFill="true" applyBorder="true" applyNumberFormat="true" applyFont="true"/>
    <xf numFmtId="0" fontId="4532" fillId="0" borderId="0" xfId="0" applyFill="true" applyBorder="true" applyNumberFormat="true" applyFont="true"/>
    <xf numFmtId="0" fontId="4533" fillId="0" borderId="0" xfId="0" applyFill="true" applyBorder="true" applyNumberFormat="true" applyFont="true"/>
    <xf numFmtId="0" fontId="4534" fillId="0" borderId="0" xfId="0" applyFill="true" applyBorder="true" applyNumberFormat="true" applyFont="true"/>
    <xf numFmtId="0" fontId="4535" fillId="0" borderId="0" xfId="0" applyFill="true" applyBorder="true" applyNumberFormat="true" applyFont="true"/>
    <xf numFmtId="0" fontId="4536" fillId="0" borderId="0" xfId="0" applyFill="true" applyBorder="true" applyNumberFormat="true" applyFont="true"/>
    <xf numFmtId="0" fontId="4537" fillId="0" borderId="0" xfId="0" applyFill="true" applyBorder="true" applyNumberFormat="true" applyFont="true"/>
    <xf numFmtId="0" fontId="4538" fillId="0" borderId="0" xfId="0" applyFill="true" applyBorder="true" applyNumberFormat="true" applyFont="true"/>
    <xf numFmtId="0" fontId="4539" fillId="0" borderId="0" xfId="0" applyFill="true" applyBorder="true" applyNumberFormat="true" applyFont="true"/>
    <xf numFmtId="0" fontId="4540" fillId="0" borderId="0" xfId="0" applyFill="true" applyBorder="true" applyNumberFormat="true" applyFont="true"/>
    <xf numFmtId="0" fontId="4541" fillId="0" borderId="0" xfId="0" applyFill="true" applyBorder="true" applyNumberFormat="true" applyFont="true"/>
    <xf numFmtId="0" fontId="4542" fillId="0" borderId="0" xfId="0" applyFill="true" applyBorder="true" applyNumberFormat="true" applyFont="true"/>
    <xf numFmtId="0" fontId="4543" fillId="0" borderId="0" xfId="0" applyFill="true" applyBorder="true" applyNumberFormat="true" applyFont="true"/>
    <xf numFmtId="0" fontId="4544" fillId="0" borderId="0" xfId="0" applyFill="true" applyBorder="true" applyNumberFormat="true" applyFont="true"/>
    <xf numFmtId="0" fontId="4545" fillId="0" borderId="0" xfId="0" applyFill="true" applyBorder="true" applyNumberFormat="true" applyFont="true"/>
    <xf numFmtId="0" fontId="4546" fillId="0" borderId="0" xfId="0" applyFill="true" applyBorder="true" applyNumberFormat="true" applyFont="true"/>
    <xf numFmtId="0" fontId="4547" fillId="0" borderId="0" xfId="0" applyFill="true" applyBorder="true" applyNumberFormat="true" applyFont="true"/>
    <xf numFmtId="0" fontId="4548" fillId="0" borderId="0" xfId="0" applyFill="true" applyBorder="true" applyNumberFormat="true" applyFont="true"/>
    <xf numFmtId="0" fontId="4549" fillId="0" borderId="0" xfId="0" applyFill="true" applyBorder="true" applyNumberFormat="true" applyFont="true"/>
    <xf numFmtId="0" fontId="4550" fillId="0" borderId="0" xfId="0" applyFill="true" applyBorder="true" applyNumberFormat="true" applyFont="true"/>
    <xf numFmtId="0" fontId="4551" fillId="0" borderId="0" xfId="0" applyFill="true" applyBorder="true" applyNumberFormat="true" applyFont="true"/>
    <xf numFmtId="0" fontId="4552" fillId="0" borderId="0" xfId="0" applyFill="true" applyBorder="true" applyNumberFormat="true" applyFont="true"/>
    <xf numFmtId="0" fontId="4553" fillId="0" borderId="0" xfId="0" applyFill="true" applyBorder="true" applyNumberFormat="true" applyFont="true"/>
    <xf numFmtId="0" fontId="4554" fillId="0" borderId="0" xfId="0" applyFill="true" applyBorder="true" applyNumberFormat="true" applyFont="true"/>
    <xf numFmtId="0" fontId="4555" fillId="0" borderId="0" xfId="0" applyFill="true" applyBorder="true" applyNumberFormat="true" applyFont="true"/>
    <xf numFmtId="0" fontId="4556" fillId="0" borderId="0" xfId="0" applyFill="true" applyBorder="true" applyNumberFormat="true" applyFont="true"/>
    <xf numFmtId="0" fontId="4557" fillId="0" borderId="0" xfId="0" applyFill="true" applyBorder="true" applyNumberFormat="true" applyFont="true"/>
    <xf numFmtId="0" fontId="4558" fillId="0" borderId="0" xfId="0" applyFill="true" applyBorder="true" applyNumberFormat="true" applyFont="true"/>
    <xf numFmtId="0" fontId="4559" fillId="0" borderId="0" xfId="0" applyFill="true" applyBorder="true" applyNumberFormat="true" applyFont="true"/>
    <xf numFmtId="0" fontId="4560" fillId="0" borderId="0" xfId="0" applyFill="true" applyBorder="true" applyNumberFormat="true" applyFont="true"/>
    <xf numFmtId="0" fontId="4561" fillId="0" borderId="0" xfId="0" applyFill="true" applyBorder="true" applyNumberFormat="true" applyFont="true"/>
    <xf numFmtId="0" fontId="4562" fillId="0" borderId="0" xfId="0" applyFill="true" applyBorder="true" applyNumberFormat="true" applyFont="true"/>
    <xf numFmtId="0" fontId="4563" fillId="0" borderId="0" xfId="0" applyFill="true" applyBorder="true" applyNumberFormat="true" applyFont="true"/>
    <xf numFmtId="0" fontId="4564" fillId="0" borderId="0" xfId="0" applyFill="true" applyBorder="true" applyNumberFormat="true" applyFont="true"/>
    <xf numFmtId="0" fontId="4565" fillId="0" borderId="0" xfId="0" applyFill="true" applyBorder="true" applyNumberFormat="true" applyFont="true"/>
    <xf numFmtId="0" fontId="4566" fillId="0" borderId="0" xfId="0" applyFill="true" applyBorder="true" applyNumberFormat="true" applyFont="true"/>
    <xf numFmtId="0" fontId="4567" fillId="0" borderId="0" xfId="0" applyFill="true" applyBorder="true" applyNumberFormat="true" applyFont="true"/>
    <xf numFmtId="0" fontId="4568" fillId="0" borderId="0" xfId="0" applyFill="true" applyBorder="true" applyNumberFormat="true" applyFont="true"/>
    <xf numFmtId="0" fontId="4569" fillId="0" borderId="0" xfId="0" applyFill="true" applyBorder="true" applyNumberFormat="true" applyFont="true"/>
    <xf numFmtId="0" fontId="4570" fillId="0" borderId="0" xfId="0" applyFill="true" applyBorder="true" applyNumberFormat="true" applyFont="true"/>
    <xf numFmtId="0" fontId="4571" fillId="0" borderId="0" xfId="0" applyFill="true" applyBorder="true" applyNumberFormat="true" applyFont="true"/>
    <xf numFmtId="0" fontId="4572" fillId="0" borderId="0" xfId="0" applyFill="true" applyBorder="true" applyNumberFormat="true" applyFont="true"/>
    <xf numFmtId="0" fontId="4573" fillId="0" borderId="0" xfId="0" applyFill="true" applyBorder="true" applyNumberFormat="true" applyFont="true"/>
    <xf numFmtId="0" fontId="4574" fillId="0" borderId="0" xfId="0" applyFill="true" applyBorder="true" applyNumberFormat="true" applyFont="true"/>
    <xf numFmtId="0" fontId="4575" fillId="0" borderId="0" xfId="0" applyFill="true" applyBorder="true" applyNumberFormat="true" applyFont="true"/>
    <xf numFmtId="0" fontId="4576" fillId="0" borderId="0" xfId="0" applyFill="true" applyBorder="true" applyNumberFormat="true" applyFont="true"/>
    <xf numFmtId="0" fontId="4577" fillId="0" borderId="0" xfId="0" applyFill="true" applyBorder="true" applyNumberFormat="true" applyFont="true"/>
    <xf numFmtId="0" fontId="4578" fillId="0" borderId="0" xfId="0" applyFill="true" applyBorder="true" applyNumberFormat="true" applyFont="true"/>
    <xf numFmtId="0" fontId="4579" fillId="0" borderId="0" xfId="0" applyFill="true" applyBorder="true" applyNumberFormat="true" applyFont="true"/>
    <xf numFmtId="0" fontId="4580" fillId="0" borderId="0" xfId="0" applyFill="true" applyBorder="true" applyNumberFormat="true" applyFont="true"/>
    <xf numFmtId="0" fontId="4581" fillId="0" borderId="0" xfId="0" applyFill="true" applyBorder="true" applyNumberFormat="true" applyFont="true"/>
    <xf numFmtId="0" fontId="4582" fillId="0" borderId="0" xfId="0" applyFill="true" applyBorder="true" applyNumberFormat="true" applyFont="true"/>
    <xf numFmtId="0" fontId="4583" fillId="0" borderId="0" xfId="0" applyFill="true" applyBorder="true" applyNumberFormat="true" applyFont="true"/>
    <xf numFmtId="0" fontId="4584" fillId="0" borderId="0" xfId="0" applyFill="true" applyBorder="true" applyNumberFormat="true" applyFont="true"/>
    <xf numFmtId="0" fontId="4585" fillId="0" borderId="0" xfId="0" applyFill="true" applyBorder="true" applyNumberFormat="true" applyFont="true"/>
    <xf numFmtId="0" fontId="4586" fillId="0" borderId="0" xfId="0" applyFill="true" applyBorder="true" applyNumberFormat="true" applyFont="true"/>
    <xf numFmtId="0" fontId="4587" fillId="0" borderId="0" xfId="0" applyFill="true" applyBorder="true" applyNumberFormat="true" applyFont="true"/>
    <xf numFmtId="0" fontId="4588" fillId="0" borderId="0" xfId="0" applyFill="true" applyBorder="true" applyNumberFormat="true" applyFont="true"/>
    <xf numFmtId="0" fontId="4589" fillId="0" borderId="0" xfId="0" applyFill="true" applyBorder="true" applyNumberFormat="true" applyFont="true"/>
    <xf numFmtId="0" fontId="4590" fillId="0" borderId="0" xfId="0" applyFill="true" applyBorder="true" applyNumberFormat="true" applyFont="true"/>
    <xf numFmtId="0" fontId="4591" fillId="0" borderId="0" xfId="0" applyFill="true" applyBorder="true" applyNumberFormat="true" applyFont="true"/>
    <xf numFmtId="0" fontId="4592" fillId="0" borderId="0" xfId="0" applyFill="true" applyBorder="true" applyNumberFormat="true" applyFont="true"/>
    <xf numFmtId="0" fontId="4593" fillId="0" borderId="0" xfId="0" applyFill="true" applyBorder="true" applyNumberFormat="true" applyFont="true"/>
    <xf numFmtId="0" fontId="4594" fillId="0" borderId="0" xfId="0" applyFill="true" applyBorder="true" applyNumberFormat="true" applyFont="true"/>
    <xf numFmtId="0" fontId="4595" fillId="0" borderId="0" xfId="0" applyFill="true" applyBorder="true" applyNumberFormat="true" applyFont="true"/>
    <xf numFmtId="0" fontId="4596" fillId="0" borderId="0" xfId="0" applyFill="true" applyBorder="true" applyNumberFormat="true" applyFont="true"/>
    <xf numFmtId="0" fontId="4597" fillId="0" borderId="0" xfId="0" applyFill="true" applyBorder="true" applyNumberFormat="true" applyFont="true"/>
    <xf numFmtId="0" fontId="4598" fillId="0" borderId="0" xfId="0" applyFill="true" applyBorder="true" applyNumberFormat="true" applyFont="true"/>
    <xf numFmtId="0" fontId="4599" fillId="0" borderId="0" xfId="0" applyFill="true" applyBorder="true" applyNumberFormat="true" applyFont="true"/>
    <xf numFmtId="0" fontId="4600" fillId="0" borderId="0" xfId="0" applyFill="true" applyBorder="true" applyNumberFormat="true" applyFont="true"/>
    <xf numFmtId="0" fontId="4601" fillId="0" borderId="0" xfId="0" applyFill="true" applyBorder="true" applyNumberFormat="true" applyFont="true"/>
    <xf numFmtId="0" fontId="4602" fillId="0" borderId="0" xfId="0" applyFill="true" applyBorder="true" applyNumberFormat="true" applyFont="true"/>
    <xf numFmtId="0" fontId="4603" fillId="0" borderId="0" xfId="0" applyFill="true" applyBorder="true" applyNumberFormat="true" applyFont="true"/>
    <xf numFmtId="0" fontId="4604" fillId="0" borderId="0" xfId="0" applyFill="true" applyBorder="true" applyNumberFormat="true" applyFont="true"/>
    <xf numFmtId="0" fontId="4605" fillId="0" borderId="0" xfId="0" applyFill="true" applyBorder="true" applyNumberFormat="true" applyFont="true"/>
    <xf numFmtId="0" fontId="4606" fillId="0" borderId="0" xfId="0" applyFill="true" applyBorder="true" applyNumberFormat="true" applyFont="true"/>
    <xf numFmtId="0" fontId="4607" fillId="0" borderId="0" xfId="0" applyFill="true" applyBorder="true" applyNumberFormat="true" applyFont="true"/>
    <xf numFmtId="0" fontId="4608" fillId="0" borderId="0" xfId="0" applyFill="true" applyBorder="true" applyNumberFormat="true" applyFont="true"/>
    <xf numFmtId="0" fontId="4609" fillId="0" borderId="0" xfId="0" applyFill="true" applyBorder="true" applyNumberFormat="true" applyFont="true"/>
    <xf numFmtId="0" fontId="4610" fillId="0" borderId="0" xfId="0" applyFill="true" applyBorder="true" applyNumberFormat="true" applyFont="true"/>
    <xf numFmtId="0" fontId="4611" fillId="0" borderId="0" xfId="0" applyFill="true" applyBorder="true" applyNumberFormat="true" applyFont="true"/>
    <xf numFmtId="0" fontId="4612" fillId="0" borderId="0" xfId="0" applyFill="true" applyBorder="true" applyNumberFormat="true" applyFont="true"/>
    <xf numFmtId="0" fontId="4613" fillId="0" borderId="0" xfId="0" applyFill="true" applyBorder="true" applyNumberFormat="true" applyFont="true"/>
    <xf numFmtId="0" fontId="4614" fillId="0" borderId="0" xfId="0" applyFill="true" applyBorder="true" applyNumberFormat="true" applyFont="true"/>
    <xf numFmtId="0" fontId="4615" fillId="0" borderId="0" xfId="0" applyFill="true" applyBorder="true" applyNumberFormat="true" applyFont="true"/>
    <xf numFmtId="0" fontId="4616" fillId="0" borderId="0" xfId="0" applyFill="true" applyBorder="true" applyNumberFormat="true" applyFont="true"/>
    <xf numFmtId="0" fontId="4617" fillId="0" borderId="0" xfId="0" applyFill="true" applyBorder="true" applyNumberFormat="true" applyFont="true"/>
    <xf numFmtId="0" fontId="4618" fillId="0" borderId="0" xfId="0" applyFill="true" applyBorder="true" applyNumberFormat="true" applyFont="true"/>
    <xf numFmtId="0" fontId="4619" fillId="0" borderId="0" xfId="0" applyFill="true" applyBorder="true" applyNumberFormat="true" applyFont="true"/>
    <xf numFmtId="0" fontId="4620" fillId="0" borderId="0" xfId="0" applyFill="true" applyBorder="true" applyNumberFormat="true" applyFont="true"/>
    <xf numFmtId="0" fontId="4621" fillId="0" borderId="0" xfId="0" applyFill="true" applyBorder="true" applyNumberFormat="true" applyFont="true"/>
    <xf numFmtId="0" fontId="4622" fillId="0" borderId="0" xfId="0" applyFill="true" applyBorder="true" applyNumberFormat="true" applyFont="true"/>
    <xf numFmtId="0" fontId="4623" fillId="0" borderId="0" xfId="0" applyFill="true" applyBorder="true" applyNumberFormat="true" applyFont="true"/>
    <xf numFmtId="0" fontId="4624" fillId="0" borderId="0" xfId="0" applyFill="true" applyBorder="true" applyNumberFormat="true" applyFont="true"/>
    <xf numFmtId="0" fontId="4625" fillId="0" borderId="0" xfId="0" applyFill="true" applyBorder="true" applyNumberFormat="true" applyFont="true"/>
    <xf numFmtId="0" fontId="4626" fillId="0" borderId="0" xfId="0" applyFill="true" applyBorder="true" applyNumberFormat="true" applyFont="true"/>
    <xf numFmtId="0" fontId="4627" fillId="0" borderId="0" xfId="0" applyFill="true" applyBorder="true" applyNumberFormat="true" applyFont="true"/>
    <xf numFmtId="0" fontId="4628" fillId="0" borderId="0" xfId="0" applyFill="true" applyBorder="true" applyNumberFormat="true" applyFont="true"/>
    <xf numFmtId="0" fontId="4629" fillId="0" borderId="0" xfId="0" applyFill="true" applyBorder="true" applyNumberFormat="true" applyFont="true"/>
    <xf numFmtId="0" fontId="4630" fillId="0" borderId="0" xfId="0" applyFill="true" applyBorder="true" applyNumberFormat="true" applyFont="true"/>
    <xf numFmtId="0" fontId="4631" fillId="0" borderId="0" xfId="0" applyFill="true" applyBorder="true" applyNumberFormat="true" applyFont="true"/>
    <xf numFmtId="0" fontId="4632" fillId="0" borderId="0" xfId="0" applyFill="true" applyBorder="true" applyNumberFormat="true" applyFont="true"/>
    <xf numFmtId="0" fontId="4633" fillId="0" borderId="0" xfId="0" applyFill="true" applyBorder="true" applyNumberFormat="true" applyFont="true"/>
    <xf numFmtId="0" fontId="4634" fillId="0" borderId="0" xfId="0" applyFill="true" applyBorder="true" applyNumberFormat="true" applyFont="true"/>
    <xf numFmtId="0" fontId="4635" fillId="0" borderId="0" xfId="0" applyFill="true" applyBorder="true" applyNumberFormat="true" applyFont="true"/>
    <xf numFmtId="0" fontId="4636" fillId="0" borderId="0" xfId="0" applyFill="true" applyBorder="true" applyNumberFormat="true" applyFont="true"/>
    <xf numFmtId="0" fontId="4637" fillId="0" borderId="0" xfId="0" applyFill="true" applyBorder="true" applyNumberFormat="true" applyFont="true"/>
    <xf numFmtId="0" fontId="4638" fillId="0" borderId="0" xfId="0" applyFill="true" applyBorder="true" applyNumberFormat="true" applyFont="true"/>
    <xf numFmtId="0" fontId="4639" fillId="0" borderId="0" xfId="0" applyFill="true" applyBorder="true" applyNumberFormat="true" applyFont="true"/>
    <xf numFmtId="0" fontId="4640" fillId="0" borderId="0" xfId="0" applyFill="true" applyBorder="true" applyNumberFormat="true" applyFont="true"/>
    <xf numFmtId="0" fontId="4641" fillId="0" borderId="0" xfId="0" applyFill="true" applyBorder="true" applyNumberFormat="true" applyFont="true"/>
    <xf numFmtId="0" fontId="4642" fillId="0" borderId="0" xfId="0" applyFill="true" applyBorder="true" applyNumberFormat="true" applyFont="true"/>
    <xf numFmtId="0" fontId="4643" fillId="0" borderId="0" xfId="0" applyFill="true" applyBorder="true" applyNumberFormat="true" applyFont="true"/>
    <xf numFmtId="0" fontId="4644" fillId="0" borderId="0" xfId="0" applyFill="true" applyBorder="true" applyNumberFormat="true" applyFont="true"/>
    <xf numFmtId="0" fontId="4645" fillId="0" borderId="0" xfId="0" applyFill="true" applyBorder="true" applyNumberFormat="true" applyFont="true"/>
    <xf numFmtId="0" fontId="4646" fillId="0" borderId="0" xfId="0" applyFill="true" applyBorder="true" applyNumberFormat="true" applyFont="true"/>
    <xf numFmtId="0" fontId="4647" fillId="0" borderId="0" xfId="0" applyFill="true" applyBorder="true" applyNumberFormat="true" applyFont="true"/>
    <xf numFmtId="0" fontId="4648" fillId="0" borderId="0" xfId="0" applyFill="true" applyBorder="true" applyNumberFormat="true" applyFont="true"/>
    <xf numFmtId="0" fontId="4649" fillId="0" borderId="0" xfId="0" applyFill="true" applyBorder="true" applyNumberFormat="true" applyFont="true"/>
    <xf numFmtId="0" fontId="4650" fillId="0" borderId="0" xfId="0" applyFill="true" applyBorder="true" applyNumberFormat="true" applyFont="true"/>
    <xf numFmtId="0" fontId="4651" fillId="0" borderId="0" xfId="0" applyFill="true" applyBorder="true" applyNumberFormat="true" applyFont="true"/>
    <xf numFmtId="0" fontId="4652" fillId="0" borderId="0" xfId="0" applyFill="true" applyBorder="true" applyNumberFormat="true" applyFont="true"/>
    <xf numFmtId="0" fontId="4653" fillId="0" borderId="0" xfId="0" applyFill="true" applyBorder="true" applyNumberFormat="true" applyFont="true"/>
    <xf numFmtId="0" fontId="4654" fillId="0" borderId="0" xfId="0" applyFill="true" applyBorder="true" applyNumberFormat="true" applyFont="true"/>
    <xf numFmtId="0" fontId="4655" fillId="0" borderId="0" xfId="0" applyFill="true" applyBorder="true" applyNumberFormat="true" applyFont="true"/>
    <xf numFmtId="0" fontId="4656" fillId="0" borderId="0" xfId="0" applyFill="true" applyBorder="true" applyNumberFormat="true" applyFont="true"/>
    <xf numFmtId="0" fontId="4657" fillId="0" borderId="0" xfId="0" applyFill="true" applyBorder="true" applyNumberFormat="true" applyFont="true"/>
    <xf numFmtId="0" fontId="4658" fillId="0" borderId="0" xfId="0" applyFill="true" applyBorder="true" applyNumberFormat="true" applyFont="true"/>
    <xf numFmtId="0" fontId="4659" fillId="0" borderId="0" xfId="0" applyFill="true" applyBorder="true" applyNumberFormat="true" applyFont="true"/>
    <xf numFmtId="0" fontId="4660" fillId="0" borderId="0" xfId="0" applyFill="true" applyBorder="true" applyNumberFormat="true" applyFont="true"/>
    <xf numFmtId="0" fontId="4661" fillId="0" borderId="0" xfId="0" applyFill="true" applyBorder="true" applyNumberFormat="true" applyFont="true"/>
    <xf numFmtId="0" fontId="4662" fillId="0" borderId="0" xfId="0" applyFill="true" applyBorder="true" applyNumberFormat="true" applyFont="true"/>
    <xf numFmtId="0" fontId="4663" fillId="0" borderId="0" xfId="0" applyFill="true" applyBorder="true" applyNumberFormat="true" applyFont="true"/>
    <xf numFmtId="0" fontId="4664" fillId="0" borderId="0" xfId="0" applyFill="true" applyBorder="true" applyNumberFormat="true" applyFont="true"/>
    <xf numFmtId="0" fontId="4665" fillId="0" borderId="0" xfId="0" applyFill="true" applyBorder="true" applyNumberFormat="true" applyFont="true"/>
    <xf numFmtId="0" fontId="4666" fillId="0" borderId="0" xfId="0" applyFill="true" applyBorder="true" applyNumberFormat="true" applyFont="true"/>
    <xf numFmtId="0" fontId="4667" fillId="0" borderId="0" xfId="0" applyFill="true" applyBorder="true" applyNumberFormat="true" applyFont="true"/>
    <xf numFmtId="0" fontId="4668" fillId="0" borderId="0" xfId="0" applyFill="true" applyBorder="true" applyNumberFormat="true" applyFont="true"/>
    <xf numFmtId="0" fontId="4669" fillId="0" borderId="0" xfId="0" applyFill="true" applyBorder="true" applyNumberFormat="true" applyFont="true"/>
    <xf numFmtId="0" fontId="4670" fillId="0" borderId="0" xfId="0" applyFill="true" applyBorder="true" applyNumberFormat="true" applyFont="true"/>
    <xf numFmtId="0" fontId="4671" fillId="0" borderId="0" xfId="0" applyFill="true" applyBorder="true" applyNumberFormat="true" applyFont="true"/>
    <xf numFmtId="0" fontId="4672" fillId="0" borderId="0" xfId="0" applyFill="true" applyBorder="true" applyNumberFormat="true" applyFont="true"/>
    <xf numFmtId="0" fontId="4673" fillId="0" borderId="0" xfId="0" applyFill="true" applyBorder="true" applyNumberFormat="true" applyFont="true"/>
    <xf numFmtId="0" fontId="4674" fillId="0" borderId="0" xfId="0" applyFill="true" applyBorder="true" applyNumberFormat="true" applyFont="true"/>
    <xf numFmtId="0" fontId="4675" fillId="0" borderId="0" xfId="0" applyFill="true" applyBorder="true" applyNumberFormat="true" applyFont="true"/>
    <xf numFmtId="0" fontId="4676" fillId="0" borderId="0" xfId="0" applyFill="true" applyBorder="true" applyNumberFormat="true" applyFont="true"/>
    <xf numFmtId="0" fontId="4677" fillId="0" borderId="0" xfId="0" applyFill="true" applyBorder="true" applyNumberFormat="true" applyFont="true"/>
    <xf numFmtId="0" fontId="4678" fillId="0" borderId="0" xfId="0" applyFill="true" applyBorder="true" applyNumberFormat="true" applyFont="true"/>
    <xf numFmtId="0" fontId="4679" fillId="0" borderId="0" xfId="0" applyFill="true" applyBorder="true" applyNumberFormat="true" applyFont="true"/>
    <xf numFmtId="0" fontId="4680" fillId="0" borderId="0" xfId="0" applyFill="true" applyBorder="true" applyNumberFormat="true" applyFont="true"/>
    <xf numFmtId="0" fontId="4681" fillId="0" borderId="0" xfId="0" applyFill="true" applyBorder="true" applyNumberFormat="true" applyFont="true"/>
    <xf numFmtId="0" fontId="4682" fillId="0" borderId="0" xfId="0" applyFill="true" applyBorder="true" applyNumberFormat="true" applyFont="true"/>
    <xf numFmtId="0" fontId="4683" fillId="0" borderId="0" xfId="0" applyFill="true" applyBorder="true" applyNumberFormat="true" applyFont="true"/>
    <xf numFmtId="0" fontId="4684" fillId="0" borderId="0" xfId="0" applyFill="true" applyBorder="true" applyNumberFormat="true" applyFont="true"/>
    <xf numFmtId="0" fontId="4685" fillId="0" borderId="0" xfId="0" applyFill="true" applyBorder="true" applyNumberFormat="true" applyFont="true"/>
    <xf numFmtId="0" fontId="4686" fillId="0" borderId="0" xfId="0" applyFill="true" applyBorder="true" applyNumberFormat="true" applyFont="true"/>
    <xf numFmtId="0" fontId="4687" fillId="0" borderId="0" xfId="0" applyFill="true" applyBorder="true" applyNumberFormat="true" applyFont="true"/>
    <xf numFmtId="0" fontId="4688" fillId="0" borderId="0" xfId="0" applyFill="true" applyBorder="true" applyNumberFormat="true" applyFont="true"/>
    <xf numFmtId="0" fontId="4689" fillId="0" borderId="0" xfId="0" applyFill="true" applyBorder="true" applyNumberFormat="true" applyFont="true"/>
    <xf numFmtId="0" fontId="4690" fillId="0" borderId="0" xfId="0" applyFill="true" applyBorder="true" applyNumberFormat="true" applyFont="true"/>
    <xf numFmtId="0" fontId="4691" fillId="0" borderId="0" xfId="0" applyFill="true" applyBorder="true" applyNumberFormat="true" applyFont="true"/>
    <xf numFmtId="0" fontId="4692" fillId="0" borderId="0" xfId="0" applyFill="true" applyBorder="true" applyNumberFormat="true" applyFont="true"/>
    <xf numFmtId="0" fontId="4693" fillId="0" borderId="0" xfId="0" applyFill="true" applyBorder="true" applyNumberFormat="true" applyFont="true"/>
    <xf numFmtId="0" fontId="4694" fillId="0" borderId="0" xfId="0" applyFill="true" applyBorder="true" applyNumberFormat="true" applyFont="true"/>
    <xf numFmtId="0" fontId="4695" fillId="0" borderId="0" xfId="0" applyFill="true" applyBorder="true" applyNumberFormat="true" applyFont="true"/>
    <xf numFmtId="0" fontId="4696" fillId="0" borderId="0" xfId="0" applyFill="true" applyBorder="true" applyNumberFormat="true" applyFont="true"/>
    <xf numFmtId="0" fontId="4697" fillId="0" borderId="0" xfId="0" applyFill="true" applyBorder="true" applyNumberFormat="true" applyFont="true"/>
    <xf numFmtId="0" fontId="4698" fillId="0" borderId="0" xfId="0" applyFill="true" applyBorder="true" applyNumberFormat="true" applyFont="true"/>
    <xf numFmtId="0" fontId="4699" fillId="0" borderId="0" xfId="0" applyFill="true" applyBorder="true" applyNumberFormat="true" applyFont="true"/>
    <xf numFmtId="0" fontId="4700" fillId="0" borderId="0" xfId="0" applyFill="true" applyBorder="true" applyNumberFormat="true" applyFont="true"/>
    <xf numFmtId="0" fontId="4701" fillId="0" borderId="0" xfId="0" applyFill="true" applyBorder="true" applyNumberFormat="true" applyFont="true"/>
    <xf numFmtId="0" fontId="4702" fillId="0" borderId="0" xfId="0" applyFill="true" applyBorder="true" applyNumberFormat="true" applyFont="true"/>
    <xf numFmtId="0" fontId="4703" fillId="0" borderId="0" xfId="0" applyFill="true" applyBorder="true" applyNumberFormat="true" applyFont="true"/>
    <xf numFmtId="0" fontId="4704" fillId="0" borderId="0" xfId="0" applyFill="true" applyBorder="true" applyNumberFormat="true" applyFont="true"/>
    <xf numFmtId="0" fontId="4705" fillId="0" borderId="0" xfId="0" applyFill="true" applyBorder="true" applyNumberFormat="true" applyFont="true"/>
    <xf numFmtId="0" fontId="4706" fillId="0" borderId="0" xfId="0" applyFill="true" applyBorder="true" applyNumberFormat="true" applyFont="true"/>
    <xf numFmtId="0" fontId="4707" fillId="0" borderId="0" xfId="0" applyFill="true" applyBorder="true" applyNumberFormat="true" applyFont="true"/>
    <xf numFmtId="0" fontId="4708" fillId="0" borderId="0" xfId="0" applyFill="true" applyBorder="true" applyNumberFormat="true" applyFont="true"/>
    <xf numFmtId="0" fontId="4709" fillId="0" borderId="0" xfId="0" applyFill="true" applyBorder="true" applyNumberFormat="true" applyFont="true"/>
    <xf numFmtId="0" fontId="4710" fillId="0" borderId="0" xfId="0" applyFill="true" applyBorder="true" applyNumberFormat="true" applyFont="true"/>
    <xf numFmtId="0" fontId="4711" fillId="0" borderId="0" xfId="0" applyFill="true" applyBorder="true" applyNumberFormat="true" applyFont="true"/>
    <xf numFmtId="0" fontId="4712" fillId="0" borderId="0" xfId="0" applyFill="true" applyBorder="true" applyNumberFormat="true" applyFont="true"/>
    <xf numFmtId="0" fontId="4713" fillId="0" borderId="0" xfId="0" applyFill="true" applyBorder="true" applyNumberFormat="true" applyFont="true"/>
    <xf numFmtId="0" fontId="4714" fillId="0" borderId="0" xfId="0" applyFill="true" applyBorder="true" applyNumberFormat="true" applyFont="true"/>
    <xf numFmtId="0" fontId="4715" fillId="0" borderId="0" xfId="0" applyFill="true" applyBorder="true" applyNumberFormat="true" applyFont="true"/>
    <xf numFmtId="0" fontId="4716" fillId="0" borderId="0" xfId="0" applyFill="true" applyBorder="true" applyNumberFormat="true" applyFont="true"/>
    <xf numFmtId="0" fontId="4717" fillId="0" borderId="0" xfId="0" applyFill="true" applyBorder="true" applyNumberFormat="true" applyFont="true"/>
    <xf numFmtId="0" fontId="4718" fillId="0" borderId="0" xfId="0" applyFill="true" applyBorder="true" applyNumberFormat="true" applyFont="true"/>
    <xf numFmtId="0" fontId="4719" fillId="0" borderId="0" xfId="0" applyFill="true" applyBorder="true" applyNumberFormat="true" applyFont="true"/>
    <xf numFmtId="0" fontId="4720" fillId="0" borderId="0" xfId="0" applyFill="true" applyBorder="true" applyNumberFormat="true" applyFont="true"/>
    <xf numFmtId="0" fontId="4721" fillId="0" borderId="0" xfId="0" applyFill="true" applyBorder="true" applyNumberFormat="true" applyFont="true"/>
    <xf numFmtId="0" fontId="4722" fillId="0" borderId="0" xfId="0" applyFill="true" applyBorder="true" applyNumberFormat="true" applyFont="true"/>
    <xf numFmtId="0" fontId="4723" fillId="0" borderId="0" xfId="0" applyFill="true" applyBorder="true" applyNumberFormat="true" applyFont="true"/>
    <xf numFmtId="0" fontId="4724" fillId="0" borderId="0" xfId="0" applyFill="true" applyBorder="true" applyNumberFormat="true" applyFont="true"/>
    <xf numFmtId="0" fontId="4725" fillId="0" borderId="0" xfId="0" applyFill="true" applyBorder="true" applyNumberFormat="true" applyFont="true"/>
    <xf numFmtId="0" fontId="4726" fillId="0" borderId="0" xfId="0" applyFill="true" applyBorder="true" applyNumberFormat="true" applyFont="true"/>
    <xf numFmtId="0" fontId="4727" fillId="0" borderId="0" xfId="0" applyFill="true" applyBorder="true" applyNumberFormat="true" applyFont="true"/>
    <xf numFmtId="0" fontId="4728" fillId="0" borderId="0" xfId="0" applyFill="true" applyBorder="true" applyNumberFormat="true" applyFont="true"/>
    <xf numFmtId="0" fontId="4729" fillId="0" borderId="0" xfId="0" applyFill="true" applyBorder="true" applyNumberFormat="true" applyFont="true"/>
    <xf numFmtId="0" fontId="4730" fillId="0" borderId="0" xfId="0" applyFill="true" applyBorder="true" applyNumberFormat="true" applyFont="true"/>
    <xf numFmtId="0" fontId="4731" fillId="0" borderId="0" xfId="0" applyFill="true" applyBorder="true" applyNumberFormat="true" applyFont="true"/>
    <xf numFmtId="0" fontId="4732" fillId="0" borderId="0" xfId="0" applyFill="true" applyBorder="true" applyNumberFormat="true" applyFont="true"/>
    <xf numFmtId="0" fontId="4733" fillId="0" borderId="0" xfId="0" applyFill="true" applyBorder="true" applyNumberFormat="true" applyFont="true"/>
    <xf numFmtId="0" fontId="4734" fillId="0" borderId="0" xfId="0" applyFill="true" applyBorder="true" applyNumberFormat="true" applyFont="true"/>
    <xf numFmtId="0" fontId="4735" fillId="0" borderId="0" xfId="0" applyFill="true" applyBorder="true" applyNumberFormat="true" applyFont="true"/>
    <xf numFmtId="0" fontId="4736" fillId="0" borderId="0" xfId="0" applyFill="true" applyBorder="true" applyNumberFormat="true" applyFont="true"/>
    <xf numFmtId="0" fontId="4737" fillId="0" borderId="0" xfId="0" applyFill="true" applyBorder="true" applyNumberFormat="true" applyFont="true"/>
    <xf numFmtId="0" fontId="4738" fillId="0" borderId="0" xfId="0" applyFill="true" applyBorder="true" applyNumberFormat="true" applyFont="true"/>
    <xf numFmtId="0" fontId="4739" fillId="0" borderId="0" xfId="0" applyFill="true" applyBorder="true" applyNumberFormat="true" applyFont="true"/>
    <xf numFmtId="0" fontId="4740" fillId="0" borderId="0" xfId="0" applyFill="true" applyBorder="true" applyNumberFormat="true" applyFont="true"/>
    <xf numFmtId="0" fontId="4741" fillId="0" borderId="0" xfId="0" applyFill="true" applyBorder="true" applyNumberFormat="true" applyFont="true"/>
    <xf numFmtId="0" fontId="4742" fillId="0" borderId="0" xfId="0" applyFill="true" applyBorder="true" applyNumberFormat="true" applyFont="true"/>
    <xf numFmtId="0" fontId="4743" fillId="0" borderId="0" xfId="0" applyFill="true" applyBorder="true" applyNumberFormat="true" applyFont="true"/>
    <xf numFmtId="0" fontId="4744" fillId="0" borderId="0" xfId="0" applyFill="true" applyBorder="true" applyNumberFormat="true" applyFont="true"/>
    <xf numFmtId="0" fontId="4745" fillId="0" borderId="0" xfId="0" applyFill="true" applyBorder="true" applyNumberFormat="true" applyFont="true"/>
    <xf numFmtId="0" fontId="4746" fillId="0" borderId="0" xfId="0" applyFill="true" applyBorder="true" applyNumberFormat="true" applyFont="true"/>
    <xf numFmtId="0" fontId="4747" fillId="0" borderId="0" xfId="0" applyFill="true" applyBorder="true" applyNumberFormat="true" applyFont="true"/>
    <xf numFmtId="0" fontId="4748" fillId="0" borderId="0" xfId="0" applyFill="true" applyBorder="true" applyNumberFormat="true" applyFont="true"/>
    <xf numFmtId="0" fontId="4749" fillId="0" borderId="0" xfId="0" applyFill="true" applyBorder="true" applyNumberFormat="true" applyFont="true"/>
    <xf numFmtId="0" fontId="4750" fillId="0" borderId="0" xfId="0" applyFill="true" applyBorder="true" applyNumberFormat="true" applyFont="true"/>
    <xf numFmtId="0" fontId="4751" fillId="0" borderId="0" xfId="0" applyFill="true" applyBorder="true" applyNumberFormat="true" applyFont="true"/>
    <xf numFmtId="0" fontId="4752" fillId="0" borderId="0" xfId="0" applyFill="true" applyBorder="true" applyNumberFormat="true" applyFont="true"/>
    <xf numFmtId="0" fontId="4753" fillId="0" borderId="0" xfId="0" applyFill="true" applyBorder="true" applyNumberFormat="true" applyFont="true"/>
    <xf numFmtId="0" fontId="4754" fillId="0" borderId="0" xfId="0" applyFill="true" applyBorder="true" applyNumberFormat="true" applyFont="true"/>
    <xf numFmtId="0" fontId="4755" fillId="0" borderId="0" xfId="0" applyFill="true" applyBorder="true" applyNumberFormat="true" applyFont="true"/>
    <xf numFmtId="0" fontId="4756" fillId="0" borderId="0" xfId="0" applyFill="true" applyBorder="true" applyNumberFormat="true" applyFont="true"/>
    <xf numFmtId="0" fontId="4757" fillId="0" borderId="0" xfId="0" applyFill="true" applyBorder="true" applyNumberFormat="true" applyFont="true"/>
    <xf numFmtId="0" fontId="4758" fillId="0" borderId="0" xfId="0" applyFill="true" applyBorder="true" applyNumberFormat="true" applyFont="true"/>
    <xf numFmtId="0" fontId="4759" fillId="0" borderId="0" xfId="0" applyFill="true" applyBorder="true" applyNumberFormat="true" applyFont="true"/>
    <xf numFmtId="0" fontId="4760" fillId="0" borderId="0" xfId="0" applyFill="true" applyBorder="true" applyNumberFormat="true" applyFont="true"/>
    <xf numFmtId="0" fontId="4761" fillId="0" borderId="0" xfId="0" applyFill="true" applyBorder="true" applyNumberFormat="true" applyFont="true"/>
    <xf numFmtId="0" fontId="4762" fillId="0" borderId="0" xfId="0" applyFill="true" applyBorder="true" applyNumberFormat="true" applyFont="true"/>
    <xf numFmtId="0" fontId="4763" fillId="0" borderId="0" xfId="0" applyFill="true" applyBorder="true" applyNumberFormat="true" applyFont="true"/>
    <xf numFmtId="0" fontId="4764" fillId="0" borderId="0" xfId="0" applyFill="true" applyBorder="true" applyNumberFormat="true" applyFont="true"/>
    <xf numFmtId="0" fontId="4765" fillId="0" borderId="0" xfId="0" applyFill="true" applyBorder="true" applyNumberFormat="true" applyFont="true"/>
    <xf numFmtId="0" fontId="4766" fillId="0" borderId="0" xfId="0" applyFill="true" applyBorder="true" applyNumberFormat="true" applyFont="true"/>
    <xf numFmtId="0" fontId="4767" fillId="0" borderId="0" xfId="0" applyFill="true" applyBorder="true" applyNumberFormat="true" applyFont="true"/>
    <xf numFmtId="0" fontId="4768" fillId="0" borderId="0" xfId="0" applyFill="true" applyBorder="true" applyNumberFormat="true" applyFont="true"/>
    <xf numFmtId="0" fontId="4769" fillId="0" borderId="0" xfId="0" applyFill="true" applyBorder="true" applyNumberFormat="true" applyFont="true"/>
    <xf numFmtId="0" fontId="4770" fillId="0" borderId="0" xfId="0" applyFill="true" applyBorder="true" applyNumberFormat="true" applyFont="true"/>
    <xf numFmtId="0" fontId="4771" fillId="0" borderId="0" xfId="0" applyFill="true" applyBorder="true" applyNumberFormat="true" applyFont="true"/>
    <xf numFmtId="0" fontId="4772" fillId="0" borderId="0" xfId="0" applyFill="true" applyBorder="true" applyNumberFormat="true" applyFont="true"/>
    <xf numFmtId="0" fontId="4773" fillId="0" borderId="0" xfId="0" applyFill="true" applyBorder="true" applyNumberFormat="true" applyFont="true"/>
    <xf numFmtId="0" fontId="4774" fillId="0" borderId="0" xfId="0" applyFill="true" applyBorder="true" applyNumberFormat="true" applyFont="true"/>
    <xf numFmtId="0" fontId="4775" fillId="0" borderId="0" xfId="0" applyFill="true" applyBorder="true" applyNumberFormat="true" applyFont="true"/>
    <xf numFmtId="0" fontId="4776" fillId="0" borderId="0" xfId="0" applyFill="true" applyBorder="true" applyNumberFormat="true" applyFont="true"/>
    <xf numFmtId="0" fontId="4777" fillId="0" borderId="0" xfId="0" applyFill="true" applyBorder="true" applyNumberFormat="true" applyFont="true"/>
    <xf numFmtId="0" fontId="4778" fillId="0" borderId="0" xfId="0" applyFill="true" applyBorder="true" applyNumberFormat="true" applyFont="true"/>
    <xf numFmtId="0" fontId="4779" fillId="0" borderId="0" xfId="0" applyFill="true" applyBorder="true" applyNumberFormat="true" applyFont="true"/>
    <xf numFmtId="0" fontId="4780" fillId="0" borderId="0" xfId="0" applyFill="true" applyBorder="true" applyNumberFormat="true" applyFont="true"/>
    <xf numFmtId="0" fontId="4781" fillId="0" borderId="0" xfId="0" applyFill="true" applyBorder="true" applyNumberFormat="true" applyFont="true"/>
    <xf numFmtId="0" fontId="4782" fillId="0" borderId="0" xfId="0" applyFill="true" applyBorder="true" applyNumberFormat="true" applyFont="true"/>
    <xf numFmtId="0" fontId="4783" fillId="0" borderId="0" xfId="0" applyFill="true" applyBorder="true" applyNumberFormat="true" applyFont="true"/>
    <xf numFmtId="0" fontId="4784" fillId="0" borderId="0" xfId="0" applyFill="true" applyBorder="true" applyNumberFormat="true" applyFont="true"/>
    <xf numFmtId="0" fontId="4785" fillId="0" borderId="0" xfId="0" applyFill="true" applyBorder="true" applyNumberFormat="true" applyFont="true"/>
    <xf numFmtId="0" fontId="4786" fillId="0" borderId="0" xfId="0" applyFill="true" applyBorder="true" applyNumberFormat="true" applyFont="true"/>
    <xf numFmtId="0" fontId="4787" fillId="0" borderId="0" xfId="0" applyFill="true" applyBorder="true" applyNumberFormat="true" applyFont="true"/>
    <xf numFmtId="0" fontId="4788" fillId="0" borderId="0" xfId="0" applyFill="true" applyBorder="true" applyNumberFormat="true" applyFont="true"/>
    <xf numFmtId="0" fontId="4789" fillId="0" borderId="0" xfId="0" applyFill="true" applyBorder="true" applyNumberFormat="true" applyFont="true"/>
    <xf numFmtId="0" fontId="4790" fillId="0" borderId="0" xfId="0" applyFill="true" applyBorder="true" applyNumberFormat="true" applyFont="true"/>
    <xf numFmtId="0" fontId="4791" fillId="0" borderId="0" xfId="0" applyFill="true" applyBorder="true" applyNumberFormat="true" applyFont="true"/>
    <xf numFmtId="0" fontId="4792" fillId="0" borderId="0" xfId="0" applyFill="true" applyBorder="true" applyNumberFormat="true" applyFont="true"/>
    <xf numFmtId="0" fontId="4793" fillId="0" borderId="0" xfId="0" applyFill="true" applyBorder="true" applyNumberFormat="true" applyFont="true"/>
    <xf numFmtId="0" fontId="4794" fillId="0" borderId="0" xfId="0" applyFill="true" applyBorder="true" applyNumberFormat="true" applyFont="true"/>
    <xf numFmtId="0" fontId="4795" fillId="0" borderId="0" xfId="0" applyFill="true" applyBorder="true" applyNumberFormat="true" applyFont="true"/>
    <xf numFmtId="0" fontId="4796" fillId="0" borderId="0" xfId="0" applyFill="true" applyBorder="true" applyNumberFormat="true" applyFont="true"/>
    <xf numFmtId="0" fontId="4797" fillId="0" borderId="0" xfId="0" applyFill="true" applyBorder="true" applyNumberFormat="true" applyFont="true"/>
    <xf numFmtId="0" fontId="4798" fillId="0" borderId="0" xfId="0" applyFill="true" applyBorder="true" applyNumberFormat="true" applyFont="true"/>
    <xf numFmtId="0" fontId="4799" fillId="0" borderId="0" xfId="0" applyFill="true" applyBorder="true" applyNumberFormat="true" applyFont="true"/>
    <xf numFmtId="0" fontId="4800" fillId="0" borderId="0" xfId="0" applyFill="true" applyBorder="true" applyNumberFormat="true" applyFont="true"/>
    <xf numFmtId="0" fontId="4801" fillId="0" borderId="0" xfId="0" applyFill="true" applyBorder="true" applyNumberFormat="true" applyFont="true"/>
    <xf numFmtId="0" fontId="4802" fillId="0" borderId="0" xfId="0" applyFill="true" applyBorder="true" applyNumberFormat="true" applyFont="true"/>
    <xf numFmtId="0" fontId="4803" fillId="0" borderId="0" xfId="0" applyFill="true" applyBorder="true" applyNumberFormat="true" applyFont="true"/>
    <xf numFmtId="0" fontId="4804" fillId="0" borderId="0" xfId="0" applyFill="true" applyBorder="true" applyNumberFormat="true" applyFont="true"/>
    <xf numFmtId="0" fontId="4805" fillId="0" borderId="0" xfId="0" applyFill="true" applyBorder="true" applyNumberFormat="true" applyFont="true"/>
    <xf numFmtId="0" fontId="4806" fillId="0" borderId="0" xfId="0" applyFill="true" applyBorder="true" applyNumberFormat="true" applyFont="true"/>
    <xf numFmtId="0" fontId="4807" fillId="0" borderId="0" xfId="0" applyFill="true" applyBorder="true" applyNumberFormat="true" applyFont="true"/>
    <xf numFmtId="0" fontId="4808" fillId="0" borderId="0" xfId="0" applyFill="true" applyBorder="true" applyNumberFormat="true" applyFont="true"/>
    <xf numFmtId="0" fontId="4809" fillId="0" borderId="0" xfId="0" applyFill="true" applyBorder="true" applyNumberFormat="true" applyFont="true"/>
    <xf numFmtId="0" fontId="4810" fillId="0" borderId="0" xfId="0" applyFill="true" applyBorder="true" applyNumberFormat="true" applyFont="true"/>
    <xf numFmtId="0" fontId="4811" fillId="0" borderId="0" xfId="0" applyFill="true" applyBorder="true" applyNumberFormat="true" applyFont="true"/>
    <xf numFmtId="0" fontId="4812" fillId="0" borderId="0" xfId="0" applyFill="true" applyBorder="true" applyNumberFormat="true" applyFont="true"/>
    <xf numFmtId="0" fontId="4813" fillId="0" borderId="0" xfId="0" applyFill="true" applyBorder="true" applyNumberFormat="true" applyFont="true"/>
    <xf numFmtId="0" fontId="4814" fillId="0" borderId="0" xfId="0" applyFill="true" applyBorder="true" applyNumberFormat="true" applyFont="true"/>
    <xf numFmtId="0" fontId="4815" fillId="0" borderId="0" xfId="0" applyFill="true" applyBorder="true" applyNumberFormat="true" applyFont="true"/>
    <xf numFmtId="0" fontId="4816" fillId="0" borderId="0" xfId="0" applyFill="true" applyBorder="true" applyNumberFormat="true" applyFont="true"/>
    <xf numFmtId="0" fontId="4817" fillId="0" borderId="0" xfId="0" applyFill="true" applyBorder="true" applyNumberFormat="true" applyFont="true"/>
    <xf numFmtId="0" fontId="4818" fillId="0" borderId="0" xfId="0" applyFill="true" applyBorder="true" applyNumberFormat="true" applyFont="true"/>
    <xf numFmtId="0" fontId="4819" fillId="0" borderId="0" xfId="0" applyFill="true" applyBorder="true" applyNumberFormat="true" applyFont="true"/>
    <xf numFmtId="0" fontId="4820" fillId="0" borderId="0" xfId="0" applyFill="true" applyBorder="true" applyNumberFormat="true" applyFont="true"/>
    <xf numFmtId="0" fontId="4821" fillId="0" borderId="0" xfId="0" applyFill="true" applyBorder="true" applyNumberFormat="true" applyFont="true"/>
    <xf numFmtId="0" fontId="4822" fillId="0" borderId="0" xfId="0" applyFill="true" applyBorder="true" applyNumberFormat="true" applyFont="true"/>
    <xf numFmtId="0" fontId="4823" fillId="0" borderId="0" xfId="0" applyFill="true" applyBorder="true" applyNumberFormat="true" applyFont="true"/>
    <xf numFmtId="0" fontId="4824" fillId="0" borderId="0" xfId="0" applyFill="true" applyBorder="true" applyNumberFormat="true" applyFont="true"/>
    <xf numFmtId="0" fontId="4825" fillId="0" borderId="0" xfId="0" applyFill="true" applyBorder="true" applyNumberFormat="true" applyFont="true"/>
    <xf numFmtId="0" fontId="4826" fillId="0" borderId="0" xfId="0" applyFill="true" applyBorder="true" applyNumberFormat="true" applyFont="true"/>
    <xf numFmtId="0" fontId="4827" fillId="0" borderId="0" xfId="0" applyFill="true" applyBorder="true" applyNumberFormat="true" applyFont="true"/>
    <xf numFmtId="0" fontId="4828" fillId="0" borderId="0" xfId="0" applyFill="true" applyBorder="true" applyNumberFormat="true" applyFont="true"/>
    <xf numFmtId="0" fontId="4829" fillId="0" borderId="0" xfId="0" applyFill="true" applyBorder="true" applyNumberFormat="true" applyFont="true"/>
    <xf numFmtId="0" fontId="4830" fillId="0" borderId="0" xfId="0" applyFill="true" applyBorder="true" applyNumberFormat="true" applyFont="true"/>
    <xf numFmtId="0" fontId="4831" fillId="0" borderId="0" xfId="0" applyFill="true" applyBorder="true" applyNumberFormat="true" applyFont="true"/>
    <xf numFmtId="0" fontId="4832" fillId="0" borderId="0" xfId="0" applyFill="true" applyBorder="true" applyNumberFormat="true" applyFont="true"/>
    <xf numFmtId="0" fontId="4833" fillId="0" borderId="0" xfId="0" applyFill="true" applyBorder="true" applyNumberFormat="true" applyFont="true"/>
    <xf numFmtId="0" fontId="4834" fillId="0" borderId="0" xfId="0" applyFill="true" applyBorder="true" applyNumberFormat="true" applyFont="true"/>
    <xf numFmtId="0" fontId="4835" fillId="0" borderId="0" xfId="0" applyFill="true" applyBorder="true" applyNumberFormat="true" applyFont="true"/>
    <xf numFmtId="0" fontId="4836" fillId="0" borderId="0" xfId="0" applyFill="true" applyBorder="true" applyNumberFormat="true" applyFont="true"/>
    <xf numFmtId="0" fontId="4837" fillId="0" borderId="0" xfId="0" applyFill="true" applyBorder="true" applyNumberFormat="true" applyFont="true"/>
    <xf numFmtId="0" fontId="4838" fillId="0" borderId="0" xfId="0" applyFill="true" applyBorder="true" applyNumberFormat="true" applyFont="true"/>
    <xf numFmtId="0" fontId="4839" fillId="0" borderId="0" xfId="0" applyFill="true" applyBorder="true" applyNumberFormat="true" applyFont="true"/>
    <xf numFmtId="0" fontId="4840" fillId="0" borderId="0" xfId="0" applyFill="true" applyBorder="true" applyNumberFormat="true" applyFont="true"/>
    <xf numFmtId="0" fontId="4841" fillId="0" borderId="0" xfId="0" applyFill="true" applyBorder="true" applyNumberFormat="true" applyFont="true"/>
    <xf numFmtId="0" fontId="4842" fillId="0" borderId="0" xfId="0" applyFill="true" applyBorder="true" applyNumberFormat="true" applyFont="true"/>
    <xf numFmtId="0" fontId="4843" fillId="0" borderId="0" xfId="0" applyFill="true" applyBorder="true" applyNumberFormat="true" applyFont="true"/>
    <xf numFmtId="0" fontId="4844" fillId="0" borderId="0" xfId="0" applyFill="true" applyBorder="true" applyNumberFormat="true" applyFont="true"/>
    <xf numFmtId="0" fontId="4845" fillId="0" borderId="0" xfId="0" applyFill="true" applyBorder="true" applyNumberFormat="true" applyFont="true"/>
    <xf numFmtId="0" fontId="4846" fillId="0" borderId="0" xfId="0" applyFill="true" applyBorder="true" applyNumberFormat="true" applyFont="true"/>
    <xf numFmtId="0" fontId="4847" fillId="0" borderId="0" xfId="0" applyFill="true" applyBorder="true" applyNumberFormat="true" applyFont="true"/>
    <xf numFmtId="0" fontId="4848" fillId="0" borderId="0" xfId="0" applyFill="true" applyBorder="true" applyNumberFormat="true" applyFont="true"/>
    <xf numFmtId="0" fontId="4849" fillId="0" borderId="0" xfId="0" applyFill="true" applyBorder="true" applyNumberFormat="true" applyFont="true"/>
    <xf numFmtId="0" fontId="4850" fillId="0" borderId="0" xfId="0" applyFill="true" applyBorder="true" applyNumberFormat="true" applyFont="true"/>
    <xf numFmtId="0" fontId="4851" fillId="0" borderId="0" xfId="0" applyFill="true" applyBorder="true" applyNumberFormat="true" applyFont="true"/>
    <xf numFmtId="0" fontId="4852" fillId="0" borderId="0" xfId="0" applyFill="true" applyBorder="true" applyNumberFormat="true" applyFont="true"/>
    <xf numFmtId="0" fontId="4853" fillId="0" borderId="0" xfId="0" applyFill="true" applyBorder="true" applyNumberFormat="true" applyFont="true"/>
    <xf numFmtId="0" fontId="4854" fillId="0" borderId="0" xfId="0" applyFill="true" applyBorder="true" applyNumberFormat="true" applyFont="true"/>
    <xf numFmtId="0" fontId="4855" fillId="0" borderId="0" xfId="0" applyFill="true" applyBorder="true" applyNumberFormat="true" applyFont="true"/>
    <xf numFmtId="0" fontId="4856" fillId="0" borderId="0" xfId="0" applyFill="true" applyBorder="true" applyNumberFormat="true" applyFont="true"/>
    <xf numFmtId="0" fontId="4857" fillId="0" borderId="0" xfId="0" applyFill="true" applyBorder="true" applyNumberFormat="true" applyFont="true"/>
    <xf numFmtId="0" fontId="4858" fillId="0" borderId="0" xfId="0" applyFill="true" applyBorder="true" applyNumberFormat="true" applyFont="true"/>
    <xf numFmtId="0" fontId="4859" fillId="0" borderId="0" xfId="0" applyFill="true" applyBorder="true" applyNumberFormat="true" applyFont="true"/>
    <xf numFmtId="0" fontId="4860" fillId="0" borderId="0" xfId="0" applyFill="true" applyBorder="true" applyNumberFormat="true" applyFont="true"/>
    <xf numFmtId="0" fontId="4861" fillId="0" borderId="0" xfId="0" applyFill="true" applyBorder="true" applyNumberFormat="true" applyFont="true"/>
    <xf numFmtId="0" fontId="4862" fillId="0" borderId="0" xfId="0" applyFill="true" applyBorder="true" applyNumberFormat="true" applyFont="true"/>
    <xf numFmtId="0" fontId="4863" fillId="0" borderId="0" xfId="0" applyFill="true" applyBorder="true" applyNumberFormat="true" applyFont="true"/>
    <xf numFmtId="0" fontId="4864" fillId="0" borderId="0" xfId="0" applyFill="true" applyBorder="true" applyNumberFormat="true" applyFont="true"/>
    <xf numFmtId="0" fontId="4865" fillId="0" borderId="0" xfId="0" applyFill="true" applyBorder="true" applyNumberFormat="true" applyFont="true"/>
    <xf numFmtId="0" fontId="4866" fillId="0" borderId="0" xfId="0" applyFill="true" applyBorder="true" applyNumberFormat="true" applyFont="true"/>
    <xf numFmtId="0" fontId="4867" fillId="0" borderId="0" xfId="0" applyFill="true" applyBorder="true" applyNumberFormat="true" applyFont="true"/>
    <xf numFmtId="0" fontId="4868" fillId="0" borderId="0" xfId="0" applyFill="true" applyBorder="true" applyNumberFormat="true" applyFont="true"/>
    <xf numFmtId="0" fontId="4869" fillId="0" borderId="0" xfId="0" applyFill="true" applyBorder="true" applyNumberFormat="true" applyFont="true"/>
    <xf numFmtId="0" fontId="4870" fillId="0" borderId="0" xfId="0" applyFill="true" applyBorder="true" applyNumberFormat="true" applyFont="true"/>
    <xf numFmtId="0" fontId="4871" fillId="0" borderId="0" xfId="0" applyFill="true" applyBorder="true" applyNumberFormat="true" applyFont="true"/>
    <xf numFmtId="0" fontId="4872" fillId="0" borderId="0" xfId="0" applyFill="true" applyBorder="true" applyNumberFormat="true" applyFont="true"/>
    <xf numFmtId="0" fontId="4873" fillId="0" borderId="0" xfId="0" applyFill="true" applyBorder="true" applyNumberFormat="true" applyFont="true"/>
    <xf numFmtId="0" fontId="4874" fillId="0" borderId="0" xfId="0" applyFill="true" applyBorder="true" applyNumberFormat="true" applyFont="true"/>
    <xf numFmtId="0" fontId="4875" fillId="0" borderId="0" xfId="0" applyFill="true" applyBorder="true" applyNumberFormat="true" applyFont="true"/>
    <xf numFmtId="0" fontId="4876" fillId="0" borderId="0" xfId="0" applyFill="true" applyBorder="true" applyNumberFormat="true" applyFont="true"/>
    <xf numFmtId="0" fontId="4877" fillId="0" borderId="0" xfId="0" applyFill="true" applyBorder="true" applyNumberFormat="true" applyFont="true"/>
    <xf numFmtId="0" fontId="4878" fillId="0" borderId="0" xfId="0" applyFill="true" applyBorder="true" applyNumberFormat="true" applyFont="true"/>
    <xf numFmtId="0" fontId="4879" fillId="0" borderId="0" xfId="0" applyFill="true" applyBorder="true" applyNumberFormat="true" applyFont="true"/>
    <xf numFmtId="0" fontId="4880" fillId="0" borderId="0" xfId="0" applyFill="true" applyBorder="true" applyNumberFormat="true" applyFont="true"/>
    <xf numFmtId="0" fontId="4881" fillId="0" borderId="0" xfId="0" applyFill="true" applyBorder="true" applyNumberFormat="true" applyFont="true"/>
    <xf numFmtId="0" fontId="4882" fillId="0" borderId="0" xfId="0" applyFill="true" applyBorder="true" applyNumberFormat="true" applyFont="true"/>
    <xf numFmtId="0" fontId="4883" fillId="0" borderId="0" xfId="0" applyFill="true" applyBorder="true" applyNumberFormat="true" applyFont="true"/>
    <xf numFmtId="0" fontId="4884" fillId="0" borderId="0" xfId="0" applyFill="true" applyBorder="true" applyNumberFormat="true" applyFont="true"/>
    <xf numFmtId="0" fontId="4885" fillId="0" borderId="0" xfId="0" applyFill="true" applyBorder="true" applyNumberFormat="true" applyFont="true"/>
    <xf numFmtId="0" fontId="4886" fillId="0" borderId="0" xfId="0" applyFill="true" applyBorder="true" applyNumberFormat="true" applyFont="true"/>
    <xf numFmtId="0" fontId="4887" fillId="0" borderId="0" xfId="0" applyFill="true" applyBorder="true" applyNumberFormat="true" applyFont="true"/>
    <xf numFmtId="0" fontId="4888" fillId="0" borderId="0" xfId="0" applyFill="true" applyBorder="true" applyNumberFormat="true" applyFont="true"/>
    <xf numFmtId="0" fontId="4889" fillId="0" borderId="0" xfId="0" applyFill="true" applyBorder="true" applyNumberFormat="true" applyFont="true"/>
    <xf numFmtId="0" fontId="4890" fillId="0" borderId="0" xfId="0" applyFill="true" applyBorder="true" applyNumberFormat="true" applyFont="true"/>
    <xf numFmtId="0" fontId="4891" fillId="0" borderId="0" xfId="0" applyFill="true" applyBorder="true" applyNumberFormat="true" applyFont="true"/>
    <xf numFmtId="0" fontId="4892" fillId="0" borderId="0" xfId="0" applyFill="true" applyBorder="true" applyNumberFormat="true" applyFont="true"/>
    <xf numFmtId="0" fontId="4893" fillId="0" borderId="0" xfId="0" applyFill="true" applyBorder="true" applyNumberFormat="true" applyFont="true"/>
    <xf numFmtId="0" fontId="4894" fillId="0" borderId="0" xfId="0" applyFill="true" applyBorder="true" applyNumberFormat="true" applyFont="true"/>
    <xf numFmtId="0" fontId="4895" fillId="0" borderId="0" xfId="0" applyFill="true" applyBorder="true" applyNumberFormat="true" applyFont="true"/>
    <xf numFmtId="0" fontId="4896" fillId="0" borderId="0" xfId="0" applyFill="true" applyBorder="true" applyNumberFormat="true" applyFont="true"/>
    <xf numFmtId="0" fontId="4897" fillId="0" borderId="0" xfId="0" applyFill="true" applyBorder="true" applyNumberFormat="true" applyFont="true"/>
    <xf numFmtId="0" fontId="4898" fillId="0" borderId="0" xfId="0" applyFill="true" applyBorder="true" applyNumberFormat="true" applyFont="true"/>
    <xf numFmtId="0" fontId="4899" fillId="0" borderId="0" xfId="0" applyFill="true" applyBorder="true" applyNumberFormat="true" applyFont="true"/>
    <xf numFmtId="0" fontId="4900" fillId="0" borderId="0" xfId="0" applyFill="true" applyBorder="true" applyNumberFormat="true" applyFont="true"/>
    <xf numFmtId="0" fontId="4901" fillId="0" borderId="0" xfId="0" applyFill="true" applyBorder="true" applyNumberFormat="true" applyFont="true"/>
    <xf numFmtId="0" fontId="4902" fillId="0" borderId="0" xfId="0" applyFill="true" applyBorder="true" applyNumberFormat="true" applyFont="true"/>
    <xf numFmtId="0" fontId="4903" fillId="0" borderId="0" xfId="0" applyFill="true" applyBorder="true" applyNumberFormat="true" applyFont="true"/>
    <xf numFmtId="0" fontId="4904" fillId="0" borderId="0" xfId="0" applyFill="true" applyBorder="true" applyNumberFormat="true" applyFont="true"/>
    <xf numFmtId="0" fontId="4905" fillId="0" borderId="0" xfId="0" applyFill="true" applyBorder="true" applyNumberFormat="true" applyFont="true"/>
    <xf numFmtId="0" fontId="4906" fillId="0" borderId="0" xfId="0" applyFill="true" applyBorder="true" applyNumberFormat="true" applyFont="true"/>
    <xf numFmtId="0" fontId="4907" fillId="0" borderId="0" xfId="0" applyFill="true" applyBorder="true" applyNumberFormat="true" applyFont="true"/>
    <xf numFmtId="0" fontId="4908" fillId="0" borderId="0" xfId="0" applyFill="true" applyBorder="true" applyNumberFormat="true" applyFont="true"/>
    <xf numFmtId="0" fontId="4909" fillId="0" borderId="0" xfId="0" applyFill="true" applyBorder="true" applyNumberFormat="true" applyFont="true"/>
    <xf numFmtId="0" fontId="4910" fillId="0" borderId="0" xfId="0" applyFill="true" applyBorder="true" applyNumberFormat="true" applyFont="true"/>
    <xf numFmtId="0" fontId="4911" fillId="0" borderId="0" xfId="0" applyFill="true" applyBorder="true" applyNumberFormat="true" applyFont="true"/>
    <xf numFmtId="0" fontId="4912" fillId="0" borderId="0" xfId="0" applyFill="true" applyBorder="true" applyNumberFormat="true" applyFont="true"/>
    <xf numFmtId="0" fontId="4913" fillId="0" borderId="0" xfId="0" applyFill="true" applyBorder="true" applyNumberFormat="true" applyFont="true"/>
    <xf numFmtId="0" fontId="4914" fillId="0" borderId="0" xfId="0" applyFill="true" applyBorder="true" applyNumberFormat="true" applyFont="true"/>
    <xf numFmtId="0" fontId="4915" fillId="0" borderId="0" xfId="0" applyFill="true" applyBorder="true" applyNumberFormat="true" applyFont="true"/>
    <xf numFmtId="0" fontId="4916" fillId="0" borderId="0" xfId="0" applyFill="true" applyBorder="true" applyNumberFormat="true" applyFont="true"/>
    <xf numFmtId="0" fontId="4917" fillId="0" borderId="0" xfId="0" applyFill="true" applyBorder="true" applyNumberFormat="true" applyFont="true"/>
    <xf numFmtId="0" fontId="4918" fillId="0" borderId="0" xfId="0" applyFill="true" applyBorder="true" applyNumberFormat="true" applyFont="true"/>
    <xf numFmtId="0" fontId="4919" fillId="0" borderId="0" xfId="0" applyFill="true" applyBorder="true" applyNumberFormat="true" applyFont="true"/>
    <xf numFmtId="0" fontId="4920" fillId="0" borderId="0" xfId="0" applyFill="true" applyBorder="true" applyNumberFormat="true" applyFont="true"/>
    <xf numFmtId="0" fontId="4921" fillId="0" borderId="0" xfId="0" applyFill="true" applyBorder="true" applyNumberFormat="true" applyFont="true"/>
    <xf numFmtId="0" fontId="4922" fillId="0" borderId="0" xfId="0" applyFill="true" applyBorder="true" applyNumberFormat="true" applyFont="true"/>
    <xf numFmtId="0" fontId="4923" fillId="0" borderId="0" xfId="0" applyFill="true" applyBorder="true" applyNumberFormat="true" applyFont="true"/>
    <xf numFmtId="0" fontId="4924" fillId="0" borderId="0" xfId="0" applyFill="true" applyBorder="true" applyNumberFormat="true" applyFont="true"/>
    <xf numFmtId="0" fontId="4925" fillId="0" borderId="0" xfId="0" applyFill="true" applyBorder="true" applyNumberFormat="true" applyFont="true"/>
    <xf numFmtId="0" fontId="4926" fillId="0" borderId="0" xfId="0" applyFill="true" applyBorder="true" applyNumberFormat="true" applyFont="true"/>
    <xf numFmtId="0" fontId="4927" fillId="0" borderId="0" xfId="0" applyFill="true" applyBorder="true" applyNumberFormat="true" applyFont="true"/>
    <xf numFmtId="0" fontId="4928" fillId="0" borderId="0" xfId="0" applyFill="true" applyBorder="true" applyNumberFormat="true" applyFont="true"/>
    <xf numFmtId="0" fontId="4929" fillId="0" borderId="0" xfId="0" applyFill="true" applyBorder="true" applyNumberFormat="true" applyFont="true"/>
    <xf numFmtId="0" fontId="4930" fillId="0" borderId="0" xfId="0" applyFill="true" applyBorder="true" applyNumberFormat="true" applyFont="true"/>
    <xf numFmtId="0" fontId="4931" fillId="0" borderId="0" xfId="0" applyFill="true" applyBorder="true" applyNumberFormat="true" applyFont="true"/>
    <xf numFmtId="0" fontId="4932" fillId="0" borderId="0" xfId="0" applyFill="true" applyBorder="true" applyNumberFormat="true" applyFont="true"/>
    <xf numFmtId="0" fontId="4933" fillId="0" borderId="0" xfId="0" applyFill="true" applyBorder="true" applyNumberFormat="true" applyFont="true"/>
    <xf numFmtId="0" fontId="4934" fillId="0" borderId="0" xfId="0" applyFill="true" applyBorder="true" applyNumberFormat="true" applyFont="true"/>
    <xf numFmtId="0" fontId="4935" fillId="0" borderId="0" xfId="0" applyFill="true" applyBorder="true" applyNumberFormat="true" applyFont="true"/>
    <xf numFmtId="0" fontId="4936" fillId="0" borderId="0" xfId="0" applyFill="true" applyBorder="true" applyNumberFormat="true" applyFont="true"/>
    <xf numFmtId="0" fontId="4937" fillId="0" borderId="0" xfId="0" applyFill="true" applyBorder="true" applyNumberFormat="true" applyFont="true"/>
    <xf numFmtId="0" fontId="4938" fillId="0" borderId="0" xfId="0" applyFill="true" applyBorder="true" applyNumberFormat="true" applyFont="true"/>
    <xf numFmtId="0" fontId="4939" fillId="0" borderId="0" xfId="0" applyFill="true" applyBorder="true" applyNumberFormat="true" applyFont="true"/>
    <xf numFmtId="0" fontId="4940" fillId="0" borderId="0" xfId="0" applyFill="true" applyBorder="true" applyNumberFormat="true" applyFont="true"/>
    <xf numFmtId="0" fontId="4941" fillId="0" borderId="0" xfId="0" applyFill="true" applyBorder="true" applyNumberFormat="true" applyFont="true"/>
    <xf numFmtId="0" fontId="4942" fillId="0" borderId="0" xfId="0" applyFill="true" applyBorder="true" applyNumberFormat="true" applyFont="true"/>
    <xf numFmtId="0" fontId="4943" fillId="0" borderId="0" xfId="0" applyFill="true" applyBorder="true" applyNumberFormat="true" applyFont="true"/>
    <xf numFmtId="0" fontId="4944" fillId="0" borderId="0" xfId="0" applyFill="true" applyBorder="true" applyNumberFormat="true" applyFont="true"/>
    <xf numFmtId="0" fontId="4945" fillId="0" borderId="0" xfId="0" applyFill="true" applyBorder="true" applyNumberFormat="true" applyFont="true"/>
    <xf numFmtId="0" fontId="4946" fillId="0" borderId="0" xfId="0" applyFill="true" applyBorder="true" applyNumberFormat="true" applyFont="true"/>
    <xf numFmtId="0" fontId="4947" fillId="0" borderId="0" xfId="0" applyFill="true" applyBorder="true" applyNumberFormat="true" applyFont="true"/>
    <xf numFmtId="0" fontId="4948" fillId="0" borderId="0" xfId="0" applyFill="true" applyBorder="true" applyNumberFormat="true" applyFont="true"/>
    <xf numFmtId="0" fontId="4949" fillId="0" borderId="0" xfId="0" applyFill="true" applyBorder="true" applyNumberFormat="true" applyFont="true"/>
    <xf numFmtId="0" fontId="4950" fillId="0" borderId="0" xfId="0" applyFill="true" applyBorder="true" applyNumberFormat="true" applyFont="true"/>
    <xf numFmtId="0" fontId="4951" fillId="0" borderId="0" xfId="0" applyFill="true" applyBorder="true" applyNumberFormat="true" applyFont="true"/>
    <xf numFmtId="0" fontId="4952" fillId="0" borderId="0" xfId="0" applyFill="true" applyBorder="true" applyNumberFormat="true" applyFont="true"/>
    <xf numFmtId="0" fontId="4953" fillId="0" borderId="0" xfId="0" applyFill="true" applyBorder="true" applyNumberFormat="true" applyFont="true"/>
    <xf numFmtId="0" fontId="4954" fillId="0" borderId="0" xfId="0" applyFill="true" applyBorder="true" applyNumberFormat="true" applyFont="true"/>
    <xf numFmtId="0" fontId="4955" fillId="0" borderId="0" xfId="0" applyFill="true" applyBorder="true" applyNumberFormat="true" applyFont="true"/>
    <xf numFmtId="0" fontId="4956" fillId="0" borderId="0" xfId="0" applyFill="true" applyBorder="true" applyNumberFormat="true" applyFont="true"/>
    <xf numFmtId="0" fontId="4957" fillId="0" borderId="0" xfId="0" applyFill="true" applyBorder="true" applyNumberFormat="true" applyFont="true"/>
    <xf numFmtId="0" fontId="4958" fillId="0" borderId="0" xfId="0" applyFill="true" applyBorder="true" applyNumberFormat="true" applyFont="true"/>
    <xf numFmtId="0" fontId="4959" fillId="0" borderId="0" xfId="0" applyFill="true" applyBorder="true" applyNumberFormat="true" applyFont="true"/>
    <xf numFmtId="0" fontId="4960" fillId="0" borderId="0" xfId="0" applyFill="true" applyBorder="true" applyNumberFormat="true" applyFont="true"/>
    <xf numFmtId="0" fontId="4961" fillId="0" borderId="0" xfId="0" applyFill="true" applyBorder="true" applyNumberFormat="true" applyFont="true"/>
    <xf numFmtId="0" fontId="4962" fillId="0" borderId="0" xfId="0" applyFill="true" applyBorder="true" applyNumberFormat="true" applyFont="true"/>
    <xf numFmtId="0" fontId="4963" fillId="0" borderId="0" xfId="0" applyFill="true" applyBorder="true" applyNumberFormat="true" applyFont="true"/>
    <xf numFmtId="0" fontId="4964" fillId="0" borderId="0" xfId="0" applyFill="true" applyBorder="true" applyNumberFormat="true" applyFont="true"/>
    <xf numFmtId="0" fontId="4965" fillId="0" borderId="0" xfId="0" applyFill="true" applyBorder="true" applyNumberFormat="true" applyFont="true"/>
    <xf numFmtId="0" fontId="4966" fillId="0" borderId="0" xfId="0" applyFill="true" applyBorder="true" applyNumberFormat="true" applyFont="true"/>
    <xf numFmtId="0" fontId="4967" fillId="0" borderId="0" xfId="0" applyFill="true" applyBorder="true" applyNumberFormat="true" applyFont="true"/>
    <xf numFmtId="0" fontId="4968" fillId="0" borderId="0" xfId="0" applyFill="true" applyBorder="true" applyNumberFormat="true" applyFont="true"/>
    <xf numFmtId="0" fontId="4969" fillId="0" borderId="0" xfId="0" applyFill="true" applyBorder="true" applyNumberFormat="true" applyFont="true"/>
    <xf numFmtId="0" fontId="4970" fillId="0" borderId="0" xfId="0" applyFill="true" applyBorder="true" applyNumberFormat="true" applyFont="true"/>
    <xf numFmtId="0" fontId="4971" fillId="0" borderId="0" xfId="0" applyFill="true" applyBorder="true" applyNumberFormat="true" applyFont="true"/>
    <xf numFmtId="0" fontId="4972" fillId="0" borderId="0" xfId="0" applyFill="true" applyBorder="true" applyNumberFormat="true" applyFont="true"/>
    <xf numFmtId="0" fontId="4973" fillId="0" borderId="0" xfId="0" applyFill="true" applyBorder="true" applyNumberFormat="true" applyFont="true"/>
    <xf numFmtId="0" fontId="4974" fillId="0" borderId="0" xfId="0" applyFill="true" applyBorder="true" applyNumberFormat="true" applyFont="true"/>
    <xf numFmtId="0" fontId="4975" fillId="0" borderId="0" xfId="0" applyFill="true" applyBorder="true" applyNumberFormat="true" applyFont="true"/>
    <xf numFmtId="0" fontId="4976" fillId="0" borderId="0" xfId="0" applyFill="true" applyBorder="true" applyNumberFormat="true" applyFont="true"/>
    <xf numFmtId="0" fontId="4977" fillId="0" borderId="0" xfId="0" applyFill="true" applyBorder="true" applyNumberFormat="true" applyFont="true"/>
    <xf numFmtId="0" fontId="4978" fillId="0" borderId="0" xfId="0" applyFill="true" applyBorder="true" applyNumberFormat="true" applyFont="true"/>
    <xf numFmtId="0" fontId="4979" fillId="0" borderId="0" xfId="0" applyFill="true" applyBorder="true" applyNumberFormat="true" applyFont="true"/>
    <xf numFmtId="0" fontId="4980" fillId="0" borderId="0" xfId="0" applyFill="true" applyBorder="true" applyNumberFormat="true" applyFont="true"/>
    <xf numFmtId="0" fontId="4981" fillId="0" borderId="0" xfId="0" applyFill="true" applyBorder="true" applyNumberFormat="true" applyFont="true"/>
    <xf numFmtId="0" fontId="4982" fillId="0" borderId="0" xfId="0" applyFill="true" applyBorder="true" applyNumberFormat="true" applyFont="true"/>
    <xf numFmtId="0" fontId="4983" fillId="0" borderId="0" xfId="0" applyFill="true" applyBorder="true" applyNumberFormat="true" applyFont="true"/>
    <xf numFmtId="0" fontId="4984" fillId="0" borderId="0" xfId="0" applyFill="true" applyBorder="true" applyNumberFormat="true" applyFont="true"/>
    <xf numFmtId="0" fontId="4985" fillId="0" borderId="0" xfId="0" applyFill="true" applyBorder="true" applyNumberFormat="true" applyFont="true"/>
    <xf numFmtId="0" fontId="4986" fillId="0" borderId="0" xfId="0" applyFill="true" applyBorder="true" applyNumberFormat="true" applyFont="true"/>
    <xf numFmtId="0" fontId="4987" fillId="0" borderId="0" xfId="0" applyFill="true" applyBorder="true" applyNumberFormat="true" applyFont="true"/>
    <xf numFmtId="0" fontId="4988" fillId="0" borderId="0" xfId="0" applyFill="true" applyBorder="true" applyNumberFormat="true" applyFont="true"/>
    <xf numFmtId="0" fontId="4989" fillId="0" borderId="0" xfId="0" applyFill="true" applyBorder="true" applyNumberFormat="true" applyFont="true"/>
    <xf numFmtId="0" fontId="4990" fillId="0" borderId="0" xfId="0" applyFill="true" applyBorder="true" applyNumberFormat="true" applyFont="true"/>
    <xf numFmtId="0" fontId="4991" fillId="0" borderId="0" xfId="0" applyFill="true" applyBorder="true" applyNumberFormat="true" applyFont="true"/>
    <xf numFmtId="0" fontId="4992" fillId="0" borderId="0" xfId="0" applyFill="true" applyBorder="true" applyNumberFormat="true" applyFont="true"/>
    <xf numFmtId="0" fontId="4993" fillId="0" borderId="0" xfId="0" applyFill="true" applyBorder="true" applyNumberFormat="true" applyFont="true"/>
    <xf numFmtId="0" fontId="4994" fillId="0" borderId="0" xfId="0" applyFill="true" applyBorder="true" applyNumberFormat="true" applyFont="true"/>
    <xf numFmtId="0" fontId="4995" fillId="0" borderId="0" xfId="0" applyFill="true" applyBorder="true" applyNumberFormat="true" applyFont="true"/>
    <xf numFmtId="0" fontId="4996" fillId="0" borderId="0" xfId="0" applyFill="true" applyBorder="true" applyNumberFormat="true" applyFont="true"/>
    <xf numFmtId="0" fontId="4997" fillId="0" borderId="0" xfId="0" applyFill="true" applyBorder="true" applyNumberFormat="true" applyFont="true"/>
    <xf numFmtId="0" fontId="4998" fillId="0" borderId="0" xfId="0" applyFill="true" applyBorder="true" applyNumberFormat="true" applyFont="true"/>
    <xf numFmtId="0" fontId="4999" fillId="0" borderId="0" xfId="0" applyFill="true" applyBorder="true" applyNumberFormat="true" applyFont="true"/>
    <xf numFmtId="0" fontId="5000" fillId="0" borderId="0" xfId="0" applyFill="true" applyBorder="true" applyNumberFormat="true" applyFont="true"/>
    <xf numFmtId="0" fontId="5001" fillId="0" borderId="0" xfId="0" applyFill="true" applyBorder="true" applyNumberFormat="true" applyFont="true"/>
    <xf numFmtId="0" fontId="5002" fillId="0" borderId="0" xfId="0" applyFill="true" applyBorder="true" applyNumberFormat="true" applyFont="true"/>
    <xf numFmtId="0" fontId="5003" fillId="0" borderId="0" xfId="0" applyFill="true" applyBorder="true" applyNumberFormat="true" applyFont="true"/>
    <xf numFmtId="0" fontId="5004" fillId="0" borderId="0" xfId="0" applyFill="true" applyBorder="true" applyNumberFormat="true" applyFont="true"/>
    <xf numFmtId="0" fontId="5005" fillId="0" borderId="0" xfId="0" applyFill="true" applyBorder="true" applyNumberFormat="true" applyFont="true"/>
    <xf numFmtId="0" fontId="5006" fillId="0" borderId="0" xfId="0" applyFill="true" applyBorder="true" applyNumberFormat="true" applyFont="true"/>
    <xf numFmtId="0" fontId="5007" fillId="0" borderId="0" xfId="0" applyFill="true" applyBorder="true" applyNumberFormat="true" applyFont="true"/>
    <xf numFmtId="0" fontId="5008" fillId="0" borderId="0" xfId="0" applyFill="true" applyBorder="true" applyNumberFormat="true" applyFont="true"/>
    <xf numFmtId="0" fontId="5009" fillId="0" borderId="0" xfId="0" applyFill="true" applyBorder="true" applyNumberFormat="true" applyFont="true"/>
    <xf numFmtId="0" fontId="5010" fillId="0" borderId="0" xfId="0" applyFill="true" applyBorder="true" applyNumberFormat="true" applyFont="true"/>
    <xf numFmtId="0" fontId="5011" fillId="0" borderId="0" xfId="0" applyFill="true" applyBorder="true" applyNumberFormat="true" applyFont="true"/>
    <xf numFmtId="0" fontId="5012" fillId="0" borderId="0" xfId="0" applyFill="true" applyBorder="true" applyNumberFormat="true" applyFont="true"/>
    <xf numFmtId="0" fontId="5013" fillId="0" borderId="0" xfId="0" applyFill="true" applyBorder="true" applyNumberFormat="true" applyFont="true"/>
    <xf numFmtId="0" fontId="5014" fillId="0" borderId="0" xfId="0" applyFill="true" applyBorder="true" applyNumberFormat="true" applyFont="true"/>
    <xf numFmtId="0" fontId="5015" fillId="0" borderId="0" xfId="0" applyFill="true" applyBorder="true" applyNumberFormat="true" applyFont="true"/>
    <xf numFmtId="0" fontId="5016" fillId="0" borderId="0" xfId="0" applyFill="true" applyBorder="true" applyNumberFormat="true" applyFont="true"/>
    <xf numFmtId="0" fontId="5017" fillId="0" borderId="0" xfId="0" applyFill="true" applyBorder="true" applyNumberFormat="true" applyFont="true"/>
    <xf numFmtId="0" fontId="5018" fillId="0" borderId="0" xfId="0" applyFill="true" applyBorder="true" applyNumberFormat="true" applyFont="true"/>
    <xf numFmtId="0" fontId="5019" fillId="0" borderId="0" xfId="0" applyFill="true" applyBorder="true" applyNumberFormat="true" applyFont="true"/>
    <xf numFmtId="0" fontId="5020" fillId="0" borderId="0" xfId="0" applyFill="true" applyBorder="true" applyNumberFormat="true" applyFont="true"/>
    <xf numFmtId="0" fontId="5021" fillId="0" borderId="0" xfId="0" applyFill="true" applyBorder="true" applyNumberFormat="true" applyFont="true"/>
    <xf numFmtId="0" fontId="5022" fillId="0" borderId="0" xfId="0" applyFill="true" applyBorder="true" applyNumberFormat="true" applyFont="true"/>
    <xf numFmtId="0" fontId="5023" fillId="0" borderId="0" xfId="0" applyFill="true" applyBorder="true" applyNumberFormat="true" applyFont="true"/>
    <xf numFmtId="0" fontId="5024" fillId="0" borderId="0" xfId="0" applyFill="true" applyBorder="true" applyNumberFormat="true" applyFont="true"/>
    <xf numFmtId="0" fontId="5025" fillId="0" borderId="0" xfId="0" applyFill="true" applyBorder="true" applyNumberFormat="true" applyFont="true"/>
    <xf numFmtId="0" fontId="5026" fillId="0" borderId="0" xfId="0" applyFill="true" applyBorder="true" applyNumberFormat="true" applyFont="true"/>
    <xf numFmtId="0" fontId="5027" fillId="0" borderId="0" xfId="0" applyFill="true" applyBorder="true" applyNumberFormat="true" applyFont="true"/>
    <xf numFmtId="0" fontId="5028" fillId="0" borderId="0" xfId="0" applyFill="true" applyBorder="true" applyNumberFormat="true" applyFont="true"/>
    <xf numFmtId="0" fontId="5029" fillId="0" borderId="0" xfId="0" applyFill="true" applyBorder="true" applyNumberFormat="true" applyFont="true"/>
    <xf numFmtId="0" fontId="5030" fillId="0" borderId="0" xfId="0" applyFill="true" applyBorder="true" applyNumberFormat="true" applyFont="true"/>
    <xf numFmtId="0" fontId="5031" fillId="0" borderId="0" xfId="0" applyFill="true" applyBorder="true" applyNumberFormat="true" applyFont="true"/>
    <xf numFmtId="0" fontId="5032" fillId="0" borderId="0" xfId="0" applyFill="true" applyBorder="true" applyNumberFormat="true" applyFont="true"/>
    <xf numFmtId="0" fontId="5033" fillId="0" borderId="0" xfId="0" applyFill="true" applyBorder="true" applyNumberFormat="true" applyFont="true"/>
    <xf numFmtId="0" fontId="5034" fillId="0" borderId="0" xfId="0" applyFill="true" applyBorder="true" applyNumberFormat="true" applyFont="true"/>
    <xf numFmtId="0" fontId="5035" fillId="0" borderId="0" xfId="0" applyFill="true" applyBorder="true" applyNumberFormat="true" applyFont="true"/>
    <xf numFmtId="0" fontId="5036" fillId="0" borderId="0" xfId="0" applyFill="true" applyBorder="true" applyNumberFormat="true" applyFont="true"/>
    <xf numFmtId="0" fontId="5037" fillId="0" borderId="0" xfId="0" applyFill="true" applyBorder="true" applyNumberFormat="true" applyFont="true"/>
    <xf numFmtId="0" fontId="5038" fillId="0" borderId="0" xfId="0" applyFill="true" applyBorder="true" applyNumberFormat="true" applyFont="true"/>
    <xf numFmtId="0" fontId="5039" fillId="0" borderId="0" xfId="0" applyFill="true" applyBorder="true" applyNumberFormat="true" applyFont="true"/>
    <xf numFmtId="0" fontId="5040" fillId="0" borderId="0" xfId="0" applyFill="true" applyBorder="true" applyNumberFormat="true" applyFont="true"/>
    <xf numFmtId="0" fontId="5041" fillId="0" borderId="0" xfId="0" applyFill="true" applyBorder="true" applyNumberFormat="true" applyFont="true"/>
    <xf numFmtId="0" fontId="5042" fillId="0" borderId="0" xfId="0" applyFill="true" applyBorder="true" applyNumberFormat="true" applyFont="true"/>
    <xf numFmtId="0" fontId="5043" fillId="0" borderId="0" xfId="0" applyFill="true" applyBorder="true" applyNumberFormat="true" applyFont="true"/>
    <xf numFmtId="0" fontId="5044" fillId="0" borderId="0" xfId="0" applyFill="true" applyBorder="true" applyNumberFormat="true" applyFont="true"/>
    <xf numFmtId="0" fontId="5045" fillId="0" borderId="0" xfId="0" applyFill="true" applyBorder="true" applyNumberFormat="true" applyFont="true"/>
    <xf numFmtId="0" fontId="5046" fillId="0" borderId="0" xfId="0" applyFill="true" applyBorder="true" applyNumberFormat="true" applyFont="true"/>
    <xf numFmtId="0" fontId="5047" fillId="0" borderId="0" xfId="0" applyFill="true" applyBorder="true" applyNumberFormat="true" applyFont="true"/>
    <xf numFmtId="0" fontId="5048" fillId="0" borderId="0" xfId="0" applyFill="true" applyBorder="true" applyNumberFormat="true" applyFont="true"/>
    <xf numFmtId="0" fontId="5049" fillId="0" borderId="0" xfId="0" applyFill="true" applyBorder="true" applyNumberFormat="true" applyFont="true"/>
    <xf numFmtId="0" fontId="5050" fillId="0" borderId="0" xfId="0" applyFill="true" applyBorder="true" applyNumberFormat="true" applyFont="true"/>
    <xf numFmtId="0" fontId="5051" fillId="0" borderId="0" xfId="0" applyFill="true" applyBorder="true" applyNumberFormat="true" applyFont="true"/>
    <xf numFmtId="0" fontId="5052" fillId="0" borderId="0" xfId="0" applyFill="true" applyBorder="true" applyNumberFormat="true" applyFont="true"/>
    <xf numFmtId="0" fontId="5053" fillId="0" borderId="0" xfId="0" applyFill="true" applyBorder="true" applyNumberFormat="true" applyFont="true"/>
    <xf numFmtId="0" fontId="5054" fillId="0" borderId="0" xfId="0" applyFill="true" applyBorder="true" applyNumberFormat="true" applyFont="true"/>
    <xf numFmtId="0" fontId="5055" fillId="0" borderId="0" xfId="0" applyFill="true" applyBorder="true" applyNumberFormat="true" applyFont="true"/>
    <xf numFmtId="0" fontId="5056" fillId="0" borderId="0" xfId="0" applyFill="true" applyBorder="true" applyNumberFormat="true" applyFont="true"/>
    <xf numFmtId="0" fontId="5057" fillId="0" borderId="0" xfId="0" applyFill="true" applyBorder="true" applyNumberFormat="true" applyFont="true"/>
    <xf numFmtId="0" fontId="5058" fillId="0" borderId="0" xfId="0" applyFill="true" applyBorder="true" applyNumberFormat="true" applyFont="true"/>
    <xf numFmtId="0" fontId="5059" fillId="0" borderId="0" xfId="0" applyFill="true" applyBorder="true" applyNumberFormat="true" applyFont="true"/>
    <xf numFmtId="0" fontId="5060" fillId="0" borderId="0" xfId="0" applyFill="true" applyBorder="true" applyNumberFormat="true" applyFont="true"/>
    <xf numFmtId="0" fontId="5061" fillId="0" borderId="0" xfId="0" applyFill="true" applyBorder="true" applyNumberFormat="true" applyFont="true"/>
    <xf numFmtId="0" fontId="5062" fillId="0" borderId="0" xfId="0" applyFill="true" applyBorder="true" applyNumberFormat="true" applyFont="true"/>
    <xf numFmtId="0" fontId="5063" fillId="0" borderId="0" xfId="0" applyFill="true" applyBorder="true" applyNumberFormat="true" applyFont="true"/>
    <xf numFmtId="0" fontId="5064" fillId="0" borderId="0" xfId="0" applyFill="true" applyBorder="true" applyNumberFormat="true" applyFont="true"/>
    <xf numFmtId="0" fontId="5065" fillId="0" borderId="0" xfId="0" applyFill="true" applyBorder="true" applyNumberFormat="true" applyFont="true"/>
    <xf numFmtId="0" fontId="5066" fillId="0" borderId="0" xfId="0" applyFill="true" applyBorder="true" applyNumberFormat="true" applyFont="true"/>
    <xf numFmtId="0" fontId="5067" fillId="0" borderId="0" xfId="0" applyFill="true" applyBorder="true" applyNumberFormat="true" applyFont="true"/>
    <xf numFmtId="0" fontId="5068" fillId="0" borderId="0" xfId="0" applyFill="true" applyBorder="true" applyNumberFormat="true" applyFont="true"/>
    <xf numFmtId="0" fontId="5069" fillId="0" borderId="0" xfId="0" applyFill="true" applyBorder="true" applyNumberFormat="true" applyFont="true"/>
    <xf numFmtId="0" fontId="5070" fillId="0" borderId="0" xfId="0" applyFill="true" applyBorder="true" applyNumberFormat="true" applyFont="true"/>
    <xf numFmtId="0" fontId="5071" fillId="0" borderId="0" xfId="0" applyFill="true" applyBorder="true" applyNumberFormat="true" applyFont="true"/>
    <xf numFmtId="0" fontId="5072" fillId="0" borderId="0" xfId="0" applyFill="true" applyBorder="true" applyNumberFormat="true" applyFont="true"/>
    <xf numFmtId="0" fontId="5073" fillId="0" borderId="0" xfId="0" applyFill="true" applyBorder="true" applyNumberFormat="true" applyFont="true"/>
    <xf numFmtId="0" fontId="5074" fillId="0" borderId="0" xfId="0" applyFill="true" applyBorder="true" applyNumberFormat="true" applyFont="true"/>
    <xf numFmtId="0" fontId="5075" fillId="0" borderId="0" xfId="0" applyFill="true" applyBorder="true" applyNumberFormat="true" applyFont="true"/>
    <xf numFmtId="0" fontId="5076" fillId="0" borderId="0" xfId="0" applyFill="true" applyBorder="true" applyNumberFormat="true" applyFont="true"/>
    <xf numFmtId="0" fontId="5077" fillId="0" borderId="0" xfId="0" applyFill="true" applyBorder="true" applyNumberFormat="true" applyFont="true"/>
    <xf numFmtId="0" fontId="5078" fillId="0" borderId="0" xfId="0" applyFill="true" applyBorder="true" applyNumberFormat="true" applyFont="true"/>
    <xf numFmtId="0" fontId="5079" fillId="0" borderId="0" xfId="0" applyFill="true" applyBorder="true" applyNumberFormat="true" applyFont="true"/>
    <xf numFmtId="0" fontId="5080" fillId="0" borderId="0" xfId="0" applyFill="true" applyBorder="true" applyNumberFormat="true" applyFont="true"/>
    <xf numFmtId="0" fontId="5081" fillId="0" borderId="0" xfId="0" applyFill="true" applyBorder="true" applyNumberFormat="true" applyFont="true"/>
    <xf numFmtId="0" fontId="5082" fillId="0" borderId="0" xfId="0" applyFill="true" applyBorder="true" applyNumberFormat="true" applyFont="true"/>
    <xf numFmtId="0" fontId="5083" fillId="0" borderId="0" xfId="0" applyFill="true" applyBorder="true" applyNumberFormat="true" applyFont="true"/>
    <xf numFmtId="0" fontId="5084" fillId="0" borderId="0" xfId="0" applyFill="true" applyBorder="true" applyNumberFormat="true" applyFont="true"/>
    <xf numFmtId="0" fontId="5085" fillId="0" borderId="0" xfId="0" applyFill="true" applyBorder="true" applyNumberFormat="true" applyFont="true"/>
    <xf numFmtId="0" fontId="5086" fillId="0" borderId="0" xfId="0" applyFill="true" applyBorder="true" applyNumberFormat="true" applyFont="true"/>
    <xf numFmtId="0" fontId="5087" fillId="0" borderId="0" xfId="0" applyFill="true" applyBorder="true" applyNumberFormat="true" applyFont="true"/>
    <xf numFmtId="0" fontId="5088" fillId="0" borderId="0" xfId="0" applyFill="true" applyBorder="true" applyNumberFormat="true" applyFont="true"/>
    <xf numFmtId="0" fontId="5089" fillId="0" borderId="0" xfId="0" applyFill="true" applyBorder="true" applyNumberFormat="true" applyFont="true"/>
    <xf numFmtId="0" fontId="5090" fillId="0" borderId="0" xfId="0" applyFill="true" applyBorder="true" applyNumberFormat="true" applyFont="true"/>
    <xf numFmtId="0" fontId="5091" fillId="0" borderId="0" xfId="0" applyFill="true" applyBorder="true" applyNumberFormat="true" applyFont="true"/>
    <xf numFmtId="0" fontId="5092" fillId="0" borderId="0" xfId="0" applyFill="true" applyBorder="true" applyNumberFormat="true" applyFont="true"/>
    <xf numFmtId="0" fontId="5093" fillId="0" borderId="0" xfId="0" applyFill="true" applyBorder="true" applyNumberFormat="true" applyFont="true"/>
    <xf numFmtId="0" fontId="5094" fillId="0" borderId="0" xfId="0" applyFill="true" applyBorder="true" applyNumberFormat="true" applyFont="true"/>
    <xf numFmtId="0" fontId="5095" fillId="0" borderId="0" xfId="0" applyFill="true" applyBorder="true" applyNumberFormat="true" applyFont="true"/>
    <xf numFmtId="0" fontId="5096" fillId="0" borderId="0" xfId="0" applyFill="true" applyBorder="true" applyNumberFormat="true" applyFont="true"/>
    <xf numFmtId="0" fontId="5097" fillId="0" borderId="0" xfId="0" applyFill="true" applyBorder="true" applyNumberFormat="true" applyFont="true"/>
    <xf numFmtId="0" fontId="5098" fillId="0" borderId="0" xfId="0" applyFill="true" applyBorder="true" applyNumberFormat="true" applyFont="true"/>
    <xf numFmtId="0" fontId="5099" fillId="0" borderId="0" xfId="0" applyFill="true" applyBorder="true" applyNumberFormat="true" applyFont="true"/>
    <xf numFmtId="0" fontId="5100" fillId="0" borderId="0" xfId="0" applyFill="true" applyBorder="true" applyNumberFormat="true" applyFont="true"/>
    <xf numFmtId="0" fontId="5101" fillId="0" borderId="0" xfId="0" applyFill="true" applyBorder="true" applyNumberFormat="true" applyFont="true"/>
    <xf numFmtId="0" fontId="5102" fillId="0" borderId="0" xfId="0" applyFill="true" applyBorder="true" applyNumberFormat="true" applyFont="true"/>
    <xf numFmtId="0" fontId="5103" fillId="0" borderId="0" xfId="0" applyFill="true" applyBorder="true" applyNumberFormat="true" applyFont="true"/>
    <xf numFmtId="0" fontId="5104" fillId="0" borderId="0" xfId="0" applyFill="true" applyBorder="true" applyNumberFormat="true" applyFont="true"/>
    <xf numFmtId="0" fontId="5105" fillId="0" borderId="0" xfId="0" applyFill="true" applyBorder="true" applyNumberFormat="true" applyFont="true"/>
    <xf numFmtId="0" fontId="5106" fillId="0" borderId="0" xfId="0" applyFill="true" applyBorder="true" applyNumberFormat="true" applyFont="true"/>
    <xf numFmtId="0" fontId="5107" fillId="0" borderId="0" xfId="0" applyFill="true" applyBorder="true" applyNumberFormat="true" applyFont="true"/>
    <xf numFmtId="0" fontId="5108" fillId="0" borderId="0" xfId="0" applyFill="true" applyBorder="true" applyNumberFormat="true" applyFont="true"/>
    <xf numFmtId="0" fontId="5109" fillId="0" borderId="0" xfId="0" applyFill="true" applyBorder="true" applyNumberFormat="true" applyFont="true"/>
    <xf numFmtId="0" fontId="5110" fillId="0" borderId="0" xfId="0" applyFill="true" applyBorder="true" applyNumberFormat="true" applyFont="true"/>
    <xf numFmtId="0" fontId="5111" fillId="0" borderId="0" xfId="0" applyFill="true" applyBorder="true" applyNumberFormat="true" applyFont="true"/>
    <xf numFmtId="0" fontId="5112" fillId="0" borderId="0" xfId="0" applyFill="true" applyBorder="true" applyNumberFormat="true" applyFont="true"/>
    <xf numFmtId="0" fontId="5113" fillId="0" borderId="0" xfId="0" applyFill="true" applyBorder="true" applyNumberFormat="true" applyFont="true"/>
    <xf numFmtId="0" fontId="5114" fillId="0" borderId="0" xfId="0" applyFill="true" applyBorder="true" applyNumberFormat="true" applyFont="true"/>
    <xf numFmtId="0" fontId="5115" fillId="0" borderId="0" xfId="0" applyFill="true" applyBorder="true" applyNumberFormat="true" applyFont="true"/>
    <xf numFmtId="0" fontId="5116" fillId="0" borderId="0" xfId="0" applyFill="true" applyBorder="true" applyNumberFormat="true" applyFont="true"/>
    <xf numFmtId="0" fontId="5117" fillId="0" borderId="0" xfId="0" applyFill="true" applyBorder="true" applyNumberFormat="true" applyFont="true"/>
    <xf numFmtId="0" fontId="5118" fillId="0" borderId="0" xfId="0" applyFill="true" applyBorder="true" applyNumberFormat="true" applyFont="true"/>
    <xf numFmtId="0" fontId="5119" fillId="0" borderId="0" xfId="0" applyFill="true" applyBorder="true" applyNumberFormat="true" applyFont="true"/>
    <xf numFmtId="0" fontId="5120" fillId="0" borderId="0" xfId="0" applyFill="true" applyBorder="true" applyNumberFormat="true" applyFont="true"/>
    <xf numFmtId="0" fontId="5121" fillId="0" borderId="0" xfId="0" applyFill="true" applyBorder="true" applyNumberFormat="true" applyFont="true"/>
    <xf numFmtId="0" fontId="5122" fillId="0" borderId="0" xfId="0" applyFill="true" applyBorder="true" applyNumberFormat="true" applyFont="true"/>
    <xf numFmtId="0" fontId="5123" fillId="0" borderId="0" xfId="0" applyFill="true" applyBorder="true" applyNumberFormat="true" applyFont="true"/>
    <xf numFmtId="0" fontId="5124" fillId="0" borderId="0" xfId="0" applyFill="true" applyBorder="true" applyNumberFormat="true" applyFont="true"/>
    <xf numFmtId="0" fontId="5125" fillId="0" borderId="0" xfId="0" applyFill="true" applyBorder="true" applyNumberFormat="true" applyFont="true"/>
    <xf numFmtId="0" fontId="5126" fillId="0" borderId="0" xfId="0" applyFill="true" applyBorder="true" applyNumberFormat="true" applyFont="true"/>
    <xf numFmtId="0" fontId="5127" fillId="0" borderId="0" xfId="0" applyFill="true" applyBorder="true" applyNumberFormat="true" applyFont="true"/>
    <xf numFmtId="0" fontId="5128" fillId="0" borderId="0" xfId="0" applyFill="true" applyBorder="true" applyNumberFormat="true" applyFont="true"/>
    <xf numFmtId="0" fontId="5129" fillId="0" borderId="0" xfId="0" applyFill="true" applyBorder="true" applyNumberFormat="true" applyFont="true"/>
    <xf numFmtId="0" fontId="5130" fillId="0" borderId="0" xfId="0" applyFill="true" applyBorder="true" applyNumberFormat="true" applyFont="true"/>
    <xf numFmtId="0" fontId="5131" fillId="0" borderId="0" xfId="0" applyFill="true" applyBorder="true" applyNumberFormat="true" applyFont="true"/>
    <xf numFmtId="0" fontId="5132" fillId="0" borderId="0" xfId="0" applyFill="true" applyBorder="true" applyNumberFormat="true" applyFont="true"/>
    <xf numFmtId="0" fontId="5133" fillId="0" borderId="0" xfId="0" applyFill="true" applyBorder="true" applyNumberFormat="true" applyFont="true"/>
    <xf numFmtId="0" fontId="5134" fillId="0" borderId="0" xfId="0" applyFill="true" applyBorder="true" applyNumberFormat="true" applyFont="true"/>
    <xf numFmtId="0" fontId="5135" fillId="0" borderId="0" xfId="0" applyFill="true" applyBorder="true" applyNumberFormat="true" applyFont="true"/>
    <xf numFmtId="0" fontId="5136" fillId="0" borderId="0" xfId="0" applyFill="true" applyBorder="true" applyNumberFormat="true" applyFont="true"/>
    <xf numFmtId="0" fontId="5137" fillId="0" borderId="0" xfId="0" applyFill="true" applyBorder="true" applyNumberFormat="true" applyFont="true"/>
    <xf numFmtId="0" fontId="5138" fillId="0" borderId="0" xfId="0" applyFill="true" applyBorder="true" applyNumberFormat="true" applyFont="true"/>
    <xf numFmtId="0" fontId="5139" fillId="0" borderId="0" xfId="0" applyFill="true" applyBorder="true" applyNumberFormat="true" applyFont="true"/>
    <xf numFmtId="0" fontId="5140" fillId="0" borderId="0" xfId="0" applyFill="true" applyBorder="true" applyNumberFormat="true" applyFont="true"/>
    <xf numFmtId="0" fontId="5141" fillId="0" borderId="0" xfId="0" applyFill="true" applyBorder="true" applyNumberFormat="true" applyFont="true"/>
    <xf numFmtId="0" fontId="5142" fillId="0" borderId="0" xfId="0" applyFill="true" applyBorder="true" applyNumberFormat="true" applyFont="true"/>
    <xf numFmtId="0" fontId="5143" fillId="0" borderId="0" xfId="0" applyFill="true" applyBorder="true" applyNumberFormat="true" applyFont="true"/>
    <xf numFmtId="0" fontId="5144" fillId="0" borderId="0" xfId="0" applyFill="true" applyBorder="true" applyNumberFormat="true" applyFont="true"/>
    <xf numFmtId="0" fontId="5145" fillId="0" borderId="0" xfId="0" applyFill="true" applyBorder="true" applyNumberFormat="true" applyFont="true"/>
    <xf numFmtId="0" fontId="5146" fillId="0" borderId="0" xfId="0" applyFill="true" applyBorder="true" applyNumberFormat="true" applyFont="true"/>
    <xf numFmtId="0" fontId="5147" fillId="0" borderId="0" xfId="0" applyFill="true" applyBorder="true" applyNumberFormat="true" applyFont="true"/>
    <xf numFmtId="0" fontId="5148" fillId="0" borderId="0" xfId="0" applyFill="true" applyBorder="true" applyNumberFormat="true" applyFont="true"/>
    <xf numFmtId="0" fontId="5149" fillId="0" borderId="0" xfId="0" applyFill="true" applyBorder="true" applyNumberFormat="true" applyFont="true"/>
    <xf numFmtId="0" fontId="5150" fillId="0" borderId="0" xfId="0" applyFill="true" applyBorder="true" applyNumberFormat="true" applyFont="true"/>
    <xf numFmtId="0" fontId="5151" fillId="0" borderId="0" xfId="0" applyFill="true" applyBorder="true" applyNumberFormat="true" applyFont="true"/>
    <xf numFmtId="0" fontId="5152" fillId="0" borderId="0" xfId="0" applyFill="true" applyBorder="true" applyNumberFormat="true" applyFont="true"/>
    <xf numFmtId="0" fontId="5153" fillId="0" borderId="0" xfId="0" applyFill="true" applyBorder="true" applyNumberFormat="true" applyFont="true"/>
    <xf numFmtId="0" fontId="5154" fillId="0" borderId="0" xfId="0" applyFill="true" applyBorder="true" applyNumberFormat="true" applyFont="true"/>
    <xf numFmtId="0" fontId="5155" fillId="0" borderId="0" xfId="0" applyFill="true" applyBorder="true" applyNumberFormat="true" applyFont="true"/>
    <xf numFmtId="0" fontId="5156" fillId="0" borderId="0" xfId="0" applyFill="true" applyBorder="true" applyNumberFormat="true" applyFont="true"/>
    <xf numFmtId="0" fontId="5157" fillId="0" borderId="0" xfId="0" applyFill="true" applyBorder="true" applyNumberFormat="true" applyFont="true"/>
    <xf numFmtId="0" fontId="5158" fillId="0" borderId="0" xfId="0" applyFill="true" applyBorder="true" applyNumberFormat="true" applyFont="true"/>
    <xf numFmtId="0" fontId="5159" fillId="0" borderId="0" xfId="0" applyFill="true" applyBorder="true" applyNumberFormat="true" applyFont="true"/>
    <xf numFmtId="0" fontId="5160" fillId="0" borderId="0" xfId="0" applyFill="true" applyBorder="true" applyNumberFormat="true" applyFont="true"/>
    <xf numFmtId="0" fontId="5161" fillId="0" borderId="0" xfId="0" applyFill="true" applyBorder="true" applyNumberFormat="true" applyFont="true"/>
    <xf numFmtId="0" fontId="5162" fillId="0" borderId="0" xfId="0" applyFill="true" applyBorder="true" applyNumberFormat="true" applyFont="true"/>
    <xf numFmtId="0" fontId="5163" fillId="0" borderId="0" xfId="0" applyFill="true" applyBorder="true" applyNumberFormat="true" applyFont="true"/>
    <xf numFmtId="0" fontId="5164" fillId="0" borderId="0" xfId="0" applyFill="true" applyBorder="true" applyNumberFormat="true" applyFont="true"/>
    <xf numFmtId="0" fontId="5165" fillId="0" borderId="0" xfId="0" applyFill="true" applyBorder="true" applyNumberFormat="true" applyFont="true"/>
    <xf numFmtId="0" fontId="5166" fillId="0" borderId="0" xfId="0" applyFill="true" applyBorder="true" applyNumberFormat="true" applyFont="true"/>
    <xf numFmtId="0" fontId="5167" fillId="0" borderId="0" xfId="0" applyFill="true" applyBorder="true" applyNumberFormat="true" applyFont="true"/>
    <xf numFmtId="0" fontId="5168" fillId="0" borderId="0" xfId="0" applyFill="true" applyBorder="true" applyNumberFormat="true" applyFont="true"/>
    <xf numFmtId="0" fontId="5169" fillId="0" borderId="0" xfId="0" applyFill="true" applyBorder="true" applyNumberFormat="true" applyFont="true"/>
    <xf numFmtId="0" fontId="5170" fillId="0" borderId="0" xfId="0" applyFill="true" applyBorder="true" applyNumberFormat="true" applyFont="true"/>
    <xf numFmtId="0" fontId="5171" fillId="0" borderId="0" xfId="0" applyFill="true" applyBorder="true" applyNumberFormat="true" applyFont="true"/>
    <xf numFmtId="0" fontId="5172" fillId="0" borderId="0" xfId="0" applyFill="true" applyBorder="true" applyNumberFormat="true" applyFont="true"/>
    <xf numFmtId="0" fontId="5173" fillId="0" borderId="0" xfId="0" applyFill="true" applyBorder="true" applyNumberFormat="true" applyFont="true"/>
    <xf numFmtId="0" fontId="5174" fillId="0" borderId="0" xfId="0" applyFill="true" applyBorder="true" applyNumberFormat="true" applyFont="true"/>
    <xf numFmtId="0" fontId="5175" fillId="0" borderId="0" xfId="0" applyFill="true" applyBorder="true" applyNumberFormat="true" applyFont="true"/>
    <xf numFmtId="0" fontId="5176" fillId="0" borderId="0" xfId="0" applyFill="true" applyBorder="true" applyNumberFormat="true" applyFont="true"/>
    <xf numFmtId="0" fontId="5177" fillId="0" borderId="0" xfId="0" applyFill="true" applyBorder="true" applyNumberFormat="true" applyFont="true"/>
    <xf numFmtId="0" fontId="5178" fillId="0" borderId="0" xfId="0" applyFill="true" applyBorder="true" applyNumberFormat="true" applyFont="true"/>
    <xf numFmtId="0" fontId="5179" fillId="0" borderId="0" xfId="0" applyFill="true" applyBorder="true" applyNumberFormat="true" applyFont="true"/>
    <xf numFmtId="0" fontId="5180" fillId="0" borderId="0" xfId="0" applyFill="true" applyBorder="true" applyNumberFormat="true" applyFont="true"/>
    <xf numFmtId="0" fontId="5181" fillId="0" borderId="0" xfId="0" applyFill="true" applyBorder="true" applyNumberFormat="true" applyFont="true"/>
    <xf numFmtId="0" fontId="5182" fillId="0" borderId="0" xfId="0" applyFill="true" applyBorder="true" applyNumberFormat="true" applyFont="true"/>
    <xf numFmtId="0" fontId="5183" fillId="0" borderId="0" xfId="0" applyFill="true" applyBorder="true" applyNumberFormat="true" applyFont="true"/>
    <xf numFmtId="0" fontId="5184" fillId="0" borderId="0" xfId="0" applyFill="true" applyBorder="true" applyNumberFormat="true" applyFont="true"/>
    <xf numFmtId="0" fontId="5185" fillId="0" borderId="0" xfId="0" applyFill="true" applyBorder="true" applyNumberFormat="true" applyFont="true"/>
    <xf numFmtId="0" fontId="5186" fillId="0" borderId="0" xfId="0" applyFill="true" applyBorder="true" applyNumberFormat="true" applyFont="true"/>
    <xf numFmtId="0" fontId="5187" fillId="0" borderId="0" xfId="0" applyFill="true" applyBorder="true" applyNumberFormat="true" applyFont="true"/>
    <xf numFmtId="0" fontId="5188" fillId="0" borderId="0" xfId="0" applyFill="true" applyBorder="true" applyNumberFormat="true" applyFont="true"/>
    <xf numFmtId="0" fontId="5189" fillId="0" borderId="0" xfId="0" applyFill="true" applyBorder="true" applyNumberFormat="true" applyFont="true"/>
    <xf numFmtId="0" fontId="5190" fillId="0" borderId="0" xfId="0" applyFill="true" applyBorder="true" applyNumberFormat="true" applyFont="true"/>
    <xf numFmtId="0" fontId="5191" fillId="0" borderId="0" xfId="0" applyFill="true" applyBorder="true" applyNumberFormat="true" applyFont="true"/>
    <xf numFmtId="0" fontId="5192" fillId="0" borderId="0" xfId="0" applyFill="true" applyBorder="true" applyNumberFormat="true" applyFont="true"/>
    <xf numFmtId="0" fontId="5193" fillId="0" borderId="0" xfId="0" applyFill="true" applyBorder="true" applyNumberFormat="true" applyFont="true"/>
    <xf numFmtId="0" fontId="5194" fillId="0" borderId="0" xfId="0" applyFill="true" applyBorder="true" applyNumberFormat="true" applyFont="true"/>
    <xf numFmtId="0" fontId="5195" fillId="0" borderId="0" xfId="0" applyFill="true" applyBorder="true" applyNumberFormat="true" applyFont="true"/>
    <xf numFmtId="0" fontId="5196" fillId="0" borderId="0" xfId="0" applyFill="true" applyBorder="true" applyNumberFormat="true" applyFont="true"/>
    <xf numFmtId="0" fontId="5197" fillId="0" borderId="0" xfId="0" applyFill="true" applyBorder="true" applyNumberFormat="true" applyFont="true"/>
    <xf numFmtId="0" fontId="5198" fillId="0" borderId="0" xfId="0" applyFill="true" applyBorder="true" applyNumberFormat="true" applyFont="true"/>
    <xf numFmtId="0" fontId="5199" fillId="0" borderId="0" xfId="0" applyFill="true" applyBorder="true" applyNumberFormat="true" applyFont="true"/>
    <xf numFmtId="0" fontId="5200" fillId="0" borderId="0" xfId="0" applyFill="true" applyBorder="true" applyNumberFormat="true" applyFont="true"/>
    <xf numFmtId="0" fontId="5201" fillId="0" borderId="0" xfId="0" applyFill="true" applyBorder="true" applyNumberFormat="true" applyFont="true"/>
    <xf numFmtId="0" fontId="5202" fillId="0" borderId="0" xfId="0" applyFill="true" applyBorder="true" applyNumberFormat="true" applyFont="true"/>
    <xf numFmtId="0" fontId="5203" fillId="0" borderId="0" xfId="0" applyFill="true" applyBorder="true" applyNumberFormat="true" applyFont="true"/>
    <xf numFmtId="0" fontId="5204" fillId="0" borderId="0" xfId="0" applyFill="true" applyBorder="true" applyNumberFormat="true" applyFont="true"/>
    <xf numFmtId="0" fontId="5205" fillId="0" borderId="0" xfId="0" applyFill="true" applyBorder="true" applyNumberFormat="true" applyFont="true"/>
    <xf numFmtId="0" fontId="5206" fillId="0" borderId="0" xfId="0" applyFill="true" applyBorder="true" applyNumberFormat="true" applyFont="true"/>
    <xf numFmtId="0" fontId="5207" fillId="0" borderId="0" xfId="0" applyFill="true" applyBorder="true" applyNumberFormat="true" applyFont="true"/>
    <xf numFmtId="0" fontId="5208" fillId="0" borderId="0" xfId="0" applyFill="true" applyBorder="true" applyNumberFormat="true" applyFont="true"/>
    <xf numFmtId="0" fontId="5209" fillId="0" borderId="0" xfId="0" applyFill="true" applyBorder="true" applyNumberFormat="true" applyFont="true"/>
    <xf numFmtId="0" fontId="5210" fillId="0" borderId="0" xfId="0" applyFill="true" applyBorder="true" applyNumberFormat="true" applyFont="true"/>
    <xf numFmtId="0" fontId="5211" fillId="0" borderId="0" xfId="0" applyFill="true" applyBorder="true" applyNumberFormat="true" applyFont="true"/>
    <xf numFmtId="0" fontId="5212" fillId="0" borderId="0" xfId="0" applyFill="true" applyBorder="true" applyNumberFormat="true" applyFont="true"/>
    <xf numFmtId="0" fontId="5213" fillId="0" borderId="0" xfId="0" applyFill="true" applyBorder="true" applyNumberFormat="true" applyFont="true"/>
    <xf numFmtId="0" fontId="5214" fillId="0" borderId="0" xfId="0" applyFill="true" applyBorder="true" applyNumberFormat="true" applyFont="true"/>
    <xf numFmtId="0" fontId="5215" fillId="0" borderId="0" xfId="0" applyFill="true" applyBorder="true" applyNumberFormat="true" applyFont="true"/>
    <xf numFmtId="0" fontId="5216" fillId="0" borderId="0" xfId="0" applyFill="true" applyBorder="true" applyNumberFormat="true" applyFont="true"/>
    <xf numFmtId="0" fontId="5217" fillId="0" borderId="0" xfId="0" applyFill="true" applyBorder="true" applyNumberFormat="true" applyFont="true"/>
    <xf numFmtId="0" fontId="5218" fillId="0" borderId="0" xfId="0" applyFill="true" applyBorder="true" applyNumberFormat="true" applyFont="true"/>
    <xf numFmtId="0" fontId="5219" fillId="0" borderId="0" xfId="0" applyFill="true" applyBorder="true" applyNumberFormat="true" applyFont="true"/>
    <xf numFmtId="0" fontId="5220" fillId="0" borderId="0" xfId="0" applyFill="true" applyBorder="true" applyNumberFormat="true" applyFont="true"/>
    <xf numFmtId="0" fontId="5221" fillId="0" borderId="0" xfId="0" applyFill="true" applyBorder="true" applyNumberFormat="true" applyFont="true"/>
    <xf numFmtId="0" fontId="5222" fillId="0" borderId="0" xfId="0" applyFill="true" applyBorder="true" applyNumberFormat="true" applyFont="true"/>
    <xf numFmtId="0" fontId="5223" fillId="0" borderId="0" xfId="0" applyFill="true" applyBorder="true" applyNumberFormat="true" applyFont="true"/>
    <xf numFmtId="0" fontId="5224" fillId="0" borderId="0" xfId="0" applyFill="true" applyBorder="true" applyNumberFormat="true" applyFont="true"/>
    <xf numFmtId="0" fontId="5225" fillId="0" borderId="0" xfId="0" applyFill="true" applyBorder="true" applyNumberFormat="true" applyFont="true"/>
    <xf numFmtId="0" fontId="5226" fillId="0" borderId="0" xfId="0" applyFill="true" applyBorder="true" applyNumberFormat="true" applyFont="true"/>
    <xf numFmtId="0" fontId="5227" fillId="0" borderId="0" xfId="0" applyFill="true" applyBorder="true" applyNumberFormat="true" applyFont="true"/>
    <xf numFmtId="0" fontId="5228" fillId="0" borderId="0" xfId="0" applyFill="true" applyBorder="true" applyNumberFormat="true" applyFont="true"/>
    <xf numFmtId="0" fontId="5229" fillId="0" borderId="0" xfId="0" applyFill="true" applyBorder="true" applyNumberFormat="true" applyFont="true"/>
    <xf numFmtId="0" fontId="5230" fillId="0" borderId="0" xfId="0" applyFill="true" applyBorder="true" applyNumberFormat="true" applyFont="true"/>
    <xf numFmtId="0" fontId="5231" fillId="0" borderId="0" xfId="0" applyFill="true" applyBorder="true" applyNumberFormat="true" applyFont="true"/>
    <xf numFmtId="0" fontId="5232" fillId="0" borderId="0" xfId="0" applyFill="true" applyBorder="true" applyNumberFormat="true" applyFont="true"/>
    <xf numFmtId="0" fontId="5233" fillId="0" borderId="0" xfId="0" applyFill="true" applyBorder="true" applyNumberFormat="true" applyFont="true"/>
    <xf numFmtId="0" fontId="5234" fillId="0" borderId="0" xfId="0" applyFill="true" applyBorder="true" applyNumberFormat="true" applyFont="true"/>
    <xf numFmtId="0" fontId="5235" fillId="0" borderId="0" xfId="0" applyFill="true" applyBorder="true" applyNumberFormat="true" applyFont="true"/>
    <xf numFmtId="0" fontId="5236" fillId="0" borderId="0" xfId="0" applyFill="true" applyBorder="true" applyNumberFormat="true" applyFont="true"/>
    <xf numFmtId="0" fontId="5237" fillId="0" borderId="0" xfId="0" applyFill="true" applyBorder="true" applyNumberFormat="true" applyFont="true"/>
    <xf numFmtId="0" fontId="5238" fillId="0" borderId="0" xfId="0" applyFill="true" applyBorder="true" applyNumberFormat="true" applyFont="true"/>
    <xf numFmtId="0" fontId="5239" fillId="0" borderId="0" xfId="0" applyFill="true" applyBorder="true" applyNumberFormat="true" applyFont="true"/>
    <xf numFmtId="0" fontId="5240" fillId="0" borderId="0" xfId="0" applyFill="true" applyBorder="true" applyNumberFormat="true" applyFont="true"/>
    <xf numFmtId="0" fontId="5241" fillId="0" borderId="0" xfId="0" applyFill="true" applyBorder="true" applyNumberFormat="true" applyFont="true"/>
    <xf numFmtId="0" fontId="5242" fillId="0" borderId="0" xfId="0" applyFill="true" applyBorder="true" applyNumberFormat="true" applyFont="true"/>
    <xf numFmtId="0" fontId="5243" fillId="0" borderId="0" xfId="0" applyFill="true" applyBorder="true" applyNumberFormat="true" applyFont="true"/>
    <xf numFmtId="0" fontId="5244" fillId="0" borderId="0" xfId="0" applyFill="true" applyBorder="true" applyNumberFormat="true" applyFont="true"/>
    <xf numFmtId="0" fontId="5245" fillId="0" borderId="0" xfId="0" applyFill="true" applyBorder="true" applyNumberFormat="true" applyFont="true"/>
    <xf numFmtId="0" fontId="5246" fillId="0" borderId="0" xfId="0" applyFill="true" applyBorder="true" applyNumberFormat="true" applyFont="true"/>
    <xf numFmtId="0" fontId="5247" fillId="0" borderId="0" xfId="0" applyFill="true" applyBorder="true" applyNumberFormat="true" applyFont="true"/>
    <xf numFmtId="0" fontId="5248" fillId="0" borderId="0" xfId="0" applyFill="true" applyBorder="true" applyNumberFormat="true" applyFont="true"/>
    <xf numFmtId="0" fontId="5249" fillId="0" borderId="0" xfId="0" applyFill="true" applyBorder="true" applyNumberFormat="true" applyFont="true"/>
    <xf numFmtId="0" fontId="5250" fillId="0" borderId="0" xfId="0" applyFill="true" applyBorder="true" applyNumberFormat="true" applyFont="true"/>
    <xf numFmtId="0" fontId="5251" fillId="0" borderId="0" xfId="0" applyFill="true" applyBorder="true" applyNumberFormat="true" applyFont="true"/>
    <xf numFmtId="0" fontId="5252" fillId="0" borderId="0" xfId="0" applyFill="true" applyBorder="true" applyNumberFormat="true" applyFont="true"/>
    <xf numFmtId="0" fontId="5253" fillId="0" borderId="0" xfId="0" applyFill="true" applyBorder="true" applyNumberFormat="true" applyFont="true"/>
    <xf numFmtId="0" fontId="5254" fillId="0" borderId="0" xfId="0" applyFill="true" applyBorder="true" applyNumberFormat="true" applyFont="true"/>
    <xf numFmtId="0" fontId="5255" fillId="0" borderId="0" xfId="0" applyFill="true" applyBorder="true" applyNumberFormat="true" applyFont="true"/>
    <xf numFmtId="0" fontId="5256" fillId="0" borderId="0" xfId="0" applyFill="true" applyBorder="true" applyNumberFormat="true" applyFont="true"/>
    <xf numFmtId="0" fontId="5257" fillId="0" borderId="0" xfId="0" applyFill="true" applyBorder="true" applyNumberFormat="true" applyFont="true"/>
    <xf numFmtId="0" fontId="5258" fillId="0" borderId="0" xfId="0" applyFill="true" applyBorder="true" applyNumberFormat="true" applyFont="true"/>
    <xf numFmtId="0" fontId="5259" fillId="0" borderId="0" xfId="0" applyFill="true" applyBorder="true" applyNumberFormat="true" applyFont="true"/>
    <xf numFmtId="0" fontId="5260" fillId="0" borderId="0" xfId="0" applyFill="true" applyBorder="true" applyNumberFormat="true" applyFont="true"/>
    <xf numFmtId="0" fontId="5261" fillId="0" borderId="0" xfId="0" applyFill="true" applyBorder="true" applyNumberFormat="true" applyFont="true"/>
    <xf numFmtId="0" fontId="5262" fillId="0" borderId="0" xfId="0" applyFill="true" applyBorder="true" applyNumberFormat="true" applyFont="true"/>
    <xf numFmtId="0" fontId="5263" fillId="0" borderId="0" xfId="0" applyFill="true" applyBorder="true" applyNumberFormat="true" applyFont="true"/>
    <xf numFmtId="0" fontId="5264" fillId="0" borderId="0" xfId="0" applyFill="true" applyBorder="true" applyNumberFormat="true" applyFont="true"/>
    <xf numFmtId="0" fontId="5265" fillId="0" borderId="0" xfId="0" applyFill="true" applyBorder="true" applyNumberFormat="true" applyFont="true"/>
    <xf numFmtId="0" fontId="5266" fillId="0" borderId="0" xfId="0" applyFill="true" applyBorder="true" applyNumberFormat="true" applyFont="true"/>
    <xf numFmtId="0" fontId="5267" fillId="0" borderId="0" xfId="0" applyFill="true" applyBorder="true" applyNumberFormat="true" applyFont="true"/>
    <xf numFmtId="0" fontId="5268" fillId="0" borderId="0" xfId="0" applyFill="true" applyBorder="true" applyNumberFormat="true" applyFont="true"/>
    <xf numFmtId="0" fontId="5269" fillId="0" borderId="0" xfId="0" applyFill="true" applyBorder="true" applyNumberFormat="true" applyFont="true"/>
    <xf numFmtId="0" fontId="5270" fillId="0" borderId="0" xfId="0" applyFill="true" applyBorder="true" applyNumberFormat="true" applyFont="true"/>
    <xf numFmtId="0" fontId="5271" fillId="0" borderId="0" xfId="0" applyFill="true" applyBorder="true" applyNumberFormat="true" applyFont="true"/>
    <xf numFmtId="0" fontId="5272" fillId="0" borderId="0" xfId="0" applyFill="true" applyBorder="true" applyNumberFormat="true" applyFont="true"/>
    <xf numFmtId="0" fontId="5273" fillId="0" borderId="0" xfId="0" applyFill="true" applyBorder="true" applyNumberFormat="true" applyFont="true"/>
    <xf numFmtId="0" fontId="5274" fillId="0" borderId="0" xfId="0" applyFill="true" applyBorder="true" applyNumberFormat="true" applyFont="true"/>
    <xf numFmtId="0" fontId="5275" fillId="0" borderId="0" xfId="0" applyFill="true" applyBorder="true" applyNumberFormat="true" applyFont="true"/>
    <xf numFmtId="0" fontId="5276" fillId="0" borderId="0" xfId="0" applyFill="true" applyBorder="true" applyNumberFormat="true" applyFont="true"/>
    <xf numFmtId="0" fontId="5277" fillId="0" borderId="0" xfId="0" applyFill="true" applyBorder="true" applyNumberFormat="true" applyFont="true"/>
    <xf numFmtId="0" fontId="5278" fillId="0" borderId="0" xfId="0" applyFill="true" applyBorder="true" applyNumberFormat="true" applyFont="true"/>
    <xf numFmtId="0" fontId="5279" fillId="0" borderId="0" xfId="0" applyFill="true" applyBorder="true" applyNumberFormat="true" applyFont="true"/>
    <xf numFmtId="0" fontId="5280" fillId="0" borderId="0" xfId="0" applyFill="true" applyBorder="true" applyNumberFormat="true" applyFont="true"/>
    <xf numFmtId="0" fontId="5281" fillId="0" borderId="0" xfId="0" applyFill="true" applyBorder="true" applyNumberFormat="true" applyFont="true"/>
    <xf numFmtId="0" fontId="5282" fillId="0" borderId="0" xfId="0" applyFill="true" applyBorder="true" applyNumberFormat="true" applyFont="true"/>
    <xf numFmtId="0" fontId="5283" fillId="0" borderId="0" xfId="0" applyFill="true" applyBorder="true" applyNumberFormat="true" applyFont="true"/>
    <xf numFmtId="0" fontId="5284" fillId="0" borderId="0" xfId="0" applyFill="true" applyBorder="true" applyNumberFormat="true" applyFont="true"/>
    <xf numFmtId="0" fontId="5285" fillId="0" borderId="0" xfId="0" applyFill="true" applyBorder="true" applyNumberFormat="true" applyFont="true"/>
    <xf numFmtId="0" fontId="5286" fillId="0" borderId="0" xfId="0" applyFill="true" applyBorder="true" applyNumberFormat="true" applyFont="true"/>
    <xf numFmtId="0" fontId="5287" fillId="0" borderId="0" xfId="0" applyFill="true" applyBorder="true" applyNumberFormat="true" applyFont="true"/>
    <xf numFmtId="0" fontId="5288" fillId="0" borderId="0" xfId="0" applyFill="true" applyBorder="true" applyNumberFormat="true" applyFont="true"/>
    <xf numFmtId="0" fontId="5289" fillId="0" borderId="0" xfId="0" applyFill="true" applyBorder="true" applyNumberFormat="true" applyFont="true"/>
    <xf numFmtId="0" fontId="5290" fillId="0" borderId="0" xfId="0" applyFill="true" applyBorder="true" applyNumberFormat="true" applyFont="true"/>
    <xf numFmtId="0" fontId="5291" fillId="0" borderId="0" xfId="0" applyFill="true" applyBorder="true" applyNumberFormat="true" applyFont="true"/>
    <xf numFmtId="0" fontId="5292" fillId="0" borderId="0" xfId="0" applyFill="true" applyBorder="true" applyNumberFormat="true" applyFont="true"/>
    <xf numFmtId="0" fontId="5293" fillId="0" borderId="0" xfId="0" applyFill="true" applyBorder="true" applyNumberFormat="true" applyFont="true"/>
    <xf numFmtId="0" fontId="5294" fillId="0" borderId="0" xfId="0" applyFill="true" applyBorder="true" applyNumberFormat="true" applyFont="true"/>
    <xf numFmtId="0" fontId="5295" fillId="0" borderId="0" xfId="0" applyFill="true" applyBorder="true" applyNumberFormat="true" applyFont="true"/>
    <xf numFmtId="0" fontId="5296" fillId="0" borderId="0" xfId="0" applyFill="true" applyBorder="true" applyNumberFormat="true" applyFont="true"/>
    <xf numFmtId="0" fontId="5297" fillId="0" borderId="0" xfId="0" applyFill="true" applyBorder="true" applyNumberFormat="true" applyFont="true"/>
    <xf numFmtId="0" fontId="5298" fillId="0" borderId="0" xfId="0" applyFill="true" applyBorder="true" applyNumberFormat="true" applyFont="true"/>
    <xf numFmtId="0" fontId="5299" fillId="0" borderId="0" xfId="0" applyFill="true" applyBorder="true" applyNumberFormat="true" applyFont="true"/>
    <xf numFmtId="0" fontId="5300" fillId="0" borderId="0" xfId="0" applyFill="true" applyBorder="true" applyNumberFormat="true" applyFont="true"/>
    <xf numFmtId="0" fontId="5301" fillId="0" borderId="0" xfId="0" applyFill="true" applyBorder="true" applyNumberFormat="true" applyFont="true"/>
    <xf numFmtId="0" fontId="5302" fillId="0" borderId="0" xfId="0" applyFill="true" applyBorder="true" applyNumberFormat="true" applyFont="true"/>
    <xf numFmtId="0" fontId="5303" fillId="0" borderId="0" xfId="0" applyFill="true" applyBorder="true" applyNumberFormat="true" applyFont="true"/>
    <xf numFmtId="0" fontId="5304" fillId="0" borderId="0" xfId="0" applyFill="true" applyBorder="true" applyNumberFormat="true" applyFont="true"/>
    <xf numFmtId="0" fontId="5305" fillId="0" borderId="0" xfId="0" applyFill="true" applyBorder="true" applyNumberFormat="true" applyFont="true"/>
    <xf numFmtId="0" fontId="5306" fillId="0" borderId="0" xfId="0" applyFill="true" applyBorder="true" applyNumberFormat="true" applyFont="true"/>
    <xf numFmtId="0" fontId="5307" fillId="0" borderId="0" xfId="0" applyFill="true" applyBorder="true" applyNumberFormat="true" applyFont="true"/>
    <xf numFmtId="0" fontId="5308" fillId="0" borderId="0" xfId="0" applyFill="true" applyBorder="true" applyNumberFormat="true" applyFont="true"/>
    <xf numFmtId="0" fontId="5309" fillId="0" borderId="0" xfId="0" applyFill="true" applyBorder="true" applyNumberFormat="true" applyFont="true"/>
    <xf numFmtId="0" fontId="5310" fillId="0" borderId="0" xfId="0" applyFill="true" applyBorder="true" applyNumberFormat="true" applyFont="true"/>
    <xf numFmtId="0" fontId="5311" fillId="0" borderId="0" xfId="0" applyFill="true" applyBorder="true" applyNumberFormat="true" applyFont="true"/>
    <xf numFmtId="0" fontId="5312" fillId="0" borderId="0" xfId="0" applyFill="true" applyBorder="true" applyNumberFormat="true" applyFont="true"/>
    <xf numFmtId="0" fontId="5313" fillId="0" borderId="0" xfId="0" applyFill="true" applyBorder="true" applyNumberFormat="true" applyFont="true"/>
    <xf numFmtId="0" fontId="5314" fillId="0" borderId="0" xfId="0" applyFill="true" applyBorder="true" applyNumberFormat="true" applyFont="true"/>
    <xf numFmtId="0" fontId="5315" fillId="0" borderId="0" xfId="0" applyFill="true" applyBorder="true" applyNumberFormat="true" applyFont="true"/>
    <xf numFmtId="0" fontId="5316" fillId="0" borderId="0" xfId="0" applyFill="true" applyBorder="true" applyNumberFormat="true" applyFont="true"/>
    <xf numFmtId="0" fontId="5317" fillId="0" borderId="0" xfId="0" applyFill="true" applyBorder="true" applyNumberFormat="true" applyFont="true"/>
    <xf numFmtId="0" fontId="5318" fillId="0" borderId="0" xfId="0" applyFill="true" applyBorder="true" applyNumberFormat="true" applyFont="true"/>
    <xf numFmtId="0" fontId="5319" fillId="0" borderId="0" xfId="0" applyFill="true" applyBorder="true" applyNumberFormat="true" applyFont="true"/>
    <xf numFmtId="0" fontId="5320" fillId="0" borderId="0" xfId="0" applyFill="true" applyBorder="true" applyNumberFormat="true" applyFont="true"/>
    <xf numFmtId="0" fontId="5321" fillId="0" borderId="0" xfId="0" applyFill="true" applyBorder="true" applyNumberFormat="true" applyFont="true"/>
    <xf numFmtId="0" fontId="5322" fillId="0" borderId="0" xfId="0" applyFill="true" applyBorder="true" applyNumberFormat="true" applyFont="true"/>
    <xf numFmtId="0" fontId="5323" fillId="0" borderId="0" xfId="0" applyFill="true" applyBorder="true" applyNumberFormat="true" applyFont="true"/>
    <xf numFmtId="0" fontId="5324" fillId="0" borderId="0" xfId="0" applyFill="true" applyBorder="true" applyNumberFormat="true" applyFont="true"/>
    <xf numFmtId="0" fontId="5325" fillId="0" borderId="0" xfId="0" applyFill="true" applyBorder="true" applyNumberFormat="true" applyFont="true"/>
    <xf numFmtId="0" fontId="5326" fillId="0" borderId="0" xfId="0" applyFill="true" applyBorder="true" applyNumberFormat="true" applyFont="true"/>
    <xf numFmtId="0" fontId="5327" fillId="0" borderId="0" xfId="0" applyFill="true" applyBorder="true" applyNumberFormat="true" applyFont="true"/>
    <xf numFmtId="0" fontId="5328" fillId="0" borderId="0" xfId="0" applyFill="true" applyBorder="true" applyNumberFormat="true" applyFont="true"/>
    <xf numFmtId="0" fontId="5329" fillId="0" borderId="0" xfId="0" applyFill="true" applyBorder="true" applyNumberFormat="true" applyFont="true"/>
    <xf numFmtId="0" fontId="5330" fillId="0" borderId="0" xfId="0" applyFill="true" applyBorder="true" applyNumberFormat="true" applyFont="true"/>
    <xf numFmtId="0" fontId="5331" fillId="0" borderId="0" xfId="0" applyFill="true" applyBorder="true" applyNumberFormat="true" applyFont="true"/>
    <xf numFmtId="0" fontId="5332" fillId="0" borderId="0" xfId="0" applyFill="true" applyBorder="true" applyNumberFormat="true" applyFont="true"/>
    <xf numFmtId="0" fontId="5333" fillId="0" borderId="0" xfId="0" applyFill="true" applyBorder="true" applyNumberFormat="true" applyFont="true"/>
    <xf numFmtId="0" fontId="5334" fillId="0" borderId="0" xfId="0" applyFill="true" applyBorder="true" applyNumberFormat="true" applyFont="true"/>
    <xf numFmtId="0" fontId="5335" fillId="0" borderId="0" xfId="0" applyFill="true" applyBorder="true" applyNumberFormat="true" applyFont="true"/>
    <xf numFmtId="0" fontId="5336" fillId="0" borderId="0" xfId="0" applyFill="true" applyBorder="true" applyNumberFormat="true" applyFont="true"/>
    <xf numFmtId="0" fontId="5337" fillId="0" borderId="0" xfId="0" applyFill="true" applyBorder="true" applyNumberFormat="true" applyFont="true"/>
    <xf numFmtId="0" fontId="5338" fillId="0" borderId="0" xfId="0" applyFill="true" applyBorder="true" applyNumberFormat="true" applyFont="true"/>
    <xf numFmtId="0" fontId="5339" fillId="0" borderId="0" xfId="0" applyFill="true" applyBorder="true" applyNumberFormat="true" applyFont="true"/>
    <xf numFmtId="0" fontId="5340" fillId="0" borderId="0" xfId="0" applyFill="true" applyBorder="true" applyNumberFormat="true" applyFont="true"/>
    <xf numFmtId="0" fontId="5341" fillId="0" borderId="0" xfId="0" applyFill="true" applyBorder="true" applyNumberFormat="true" applyFont="true"/>
    <xf numFmtId="0" fontId="5342" fillId="0" borderId="0" xfId="0" applyFill="true" applyBorder="true" applyNumberFormat="true" applyFont="true"/>
    <xf numFmtId="0" fontId="5343" fillId="0" borderId="0" xfId="0" applyFill="true" applyBorder="true" applyNumberFormat="true" applyFont="true"/>
    <xf numFmtId="0" fontId="5344" fillId="0" borderId="0" xfId="0" applyFill="true" applyBorder="true" applyNumberFormat="true" applyFont="true"/>
    <xf numFmtId="0" fontId="5345" fillId="0" borderId="0" xfId="0" applyFill="true" applyBorder="true" applyNumberFormat="true" applyFont="true"/>
    <xf numFmtId="0" fontId="5346" fillId="0" borderId="0" xfId="0" applyFill="true" applyBorder="true" applyNumberFormat="true" applyFont="true"/>
    <xf numFmtId="0" fontId="5347" fillId="0" borderId="0" xfId="0" applyFill="true" applyBorder="true" applyNumberFormat="true" applyFont="true"/>
    <xf numFmtId="0" fontId="5348" fillId="0" borderId="0" xfId="0" applyFill="true" applyBorder="true" applyNumberFormat="true" applyFont="true"/>
    <xf numFmtId="0" fontId="5349" fillId="0" borderId="0" xfId="0" applyFill="true" applyBorder="true" applyNumberFormat="true" applyFont="true"/>
    <xf numFmtId="0" fontId="5350" fillId="0" borderId="0" xfId="0" applyFill="true" applyBorder="true" applyNumberFormat="true" applyFont="true"/>
    <xf numFmtId="0" fontId="5351" fillId="0" borderId="0" xfId="0" applyFill="true" applyBorder="true" applyNumberFormat="true" applyFont="true"/>
    <xf numFmtId="0" fontId="5352" fillId="0" borderId="0" xfId="0" applyFill="true" applyBorder="true" applyNumberFormat="true" applyFont="true"/>
    <xf numFmtId="0" fontId="5353" fillId="0" borderId="0" xfId="0" applyFill="true" applyBorder="true" applyNumberFormat="true" applyFont="true"/>
    <xf numFmtId="0" fontId="5354" fillId="0" borderId="0" xfId="0" applyFill="true" applyBorder="true" applyNumberFormat="true" applyFont="true"/>
    <xf numFmtId="0" fontId="5355" fillId="0" borderId="0" xfId="0" applyFill="true" applyBorder="true" applyNumberFormat="true" applyFont="true"/>
    <xf numFmtId="0" fontId="5356" fillId="0" borderId="0" xfId="0" applyFill="true" applyBorder="true" applyNumberFormat="true" applyFont="true"/>
    <xf numFmtId="0" fontId="5357" fillId="0" borderId="0" xfId="0" applyFill="true" applyBorder="true" applyNumberFormat="true" applyFont="true"/>
    <xf numFmtId="0" fontId="5358" fillId="0" borderId="0" xfId="0" applyFill="true" applyBorder="true" applyNumberFormat="true" applyFont="true"/>
    <xf numFmtId="0" fontId="5359" fillId="0" borderId="0" xfId="0" applyFill="true" applyBorder="true" applyNumberFormat="true" applyFont="true"/>
    <xf numFmtId="0" fontId="5360" fillId="0" borderId="0" xfId="0" applyFill="true" applyBorder="true" applyNumberFormat="true" applyFont="true"/>
    <xf numFmtId="0" fontId="5361" fillId="0" borderId="0" xfId="0" applyFill="true" applyBorder="true" applyNumberFormat="true" applyFont="true"/>
    <xf numFmtId="0" fontId="5362" fillId="0" borderId="0" xfId="0" applyFill="true" applyBorder="true" applyNumberFormat="true" applyFont="true"/>
    <xf numFmtId="0" fontId="5363" fillId="0" borderId="0" xfId="0" applyFill="true" applyBorder="true" applyNumberFormat="true" applyFont="true"/>
    <xf numFmtId="0" fontId="5364" fillId="0" borderId="0" xfId="0" applyFill="true" applyBorder="true" applyNumberFormat="true" applyFont="true"/>
    <xf numFmtId="0" fontId="5365" fillId="0" borderId="0" xfId="0" applyFill="true" applyBorder="true" applyNumberFormat="true" applyFont="true"/>
    <xf numFmtId="0" fontId="5366" fillId="0" borderId="0" xfId="0" applyFill="true" applyBorder="true" applyNumberFormat="true" applyFont="true"/>
    <xf numFmtId="0" fontId="5367" fillId="0" borderId="0" xfId="0" applyFill="true" applyBorder="true" applyNumberFormat="true" applyFont="true"/>
    <xf numFmtId="0" fontId="5368" fillId="0" borderId="0" xfId="0" applyFill="true" applyBorder="true" applyNumberFormat="true" applyFont="true"/>
    <xf numFmtId="0" fontId="5369" fillId="0" borderId="0" xfId="0" applyFill="true" applyBorder="true" applyNumberFormat="true" applyFont="true"/>
    <xf numFmtId="0" fontId="5370" fillId="0" borderId="0" xfId="0" applyFill="true" applyBorder="true" applyNumberFormat="true" applyFont="true"/>
    <xf numFmtId="0" fontId="5371" fillId="0" borderId="0" xfId="0" applyFill="true" applyBorder="true" applyNumberFormat="true" applyFont="true"/>
    <xf numFmtId="0" fontId="5372" fillId="0" borderId="0" xfId="0" applyFill="true" applyBorder="true" applyNumberFormat="true" applyFont="true"/>
    <xf numFmtId="0" fontId="5373" fillId="0" borderId="0" xfId="0" applyFill="true" applyBorder="true" applyNumberFormat="true" applyFont="true"/>
    <xf numFmtId="0" fontId="5374" fillId="0" borderId="0" xfId="0" applyFill="true" applyBorder="true" applyNumberFormat="true" applyFont="true"/>
    <xf numFmtId="0" fontId="5375" fillId="0" borderId="0" xfId="0" applyFill="true" applyBorder="true" applyNumberFormat="true" applyFont="true"/>
    <xf numFmtId="0" fontId="5376" fillId="0" borderId="0" xfId="0" applyFill="true" applyBorder="true" applyNumberFormat="true" applyFont="true"/>
    <xf numFmtId="0" fontId="5377" fillId="0" borderId="0" xfId="0" applyFill="true" applyBorder="true" applyNumberFormat="true" applyFont="true"/>
    <xf numFmtId="0" fontId="5378" fillId="0" borderId="0" xfId="0" applyFill="true" applyBorder="true" applyNumberFormat="true" applyFont="true"/>
    <xf numFmtId="0" fontId="5379" fillId="0" borderId="0" xfId="0" applyFill="true" applyBorder="true" applyNumberFormat="true" applyFont="true"/>
    <xf numFmtId="0" fontId="5380" fillId="0" borderId="0" xfId="0" applyFill="true" applyBorder="true" applyNumberFormat="true" applyFont="true"/>
    <xf numFmtId="0" fontId="5381" fillId="0" borderId="0" xfId="0" applyFill="true" applyBorder="true" applyNumberFormat="true" applyFont="true"/>
    <xf numFmtId="0" fontId="5382" fillId="0" borderId="0" xfId="0" applyFill="true" applyBorder="true" applyNumberFormat="true" applyFont="true"/>
    <xf numFmtId="0" fontId="5383" fillId="0" borderId="0" xfId="0" applyFill="true" applyBorder="true" applyNumberFormat="true" applyFont="true"/>
    <xf numFmtId="0" fontId="5384" fillId="0" borderId="0" xfId="0" applyFill="true" applyBorder="true" applyNumberFormat="true" applyFont="true"/>
    <xf numFmtId="0" fontId="5385" fillId="0" borderId="0" xfId="0" applyFill="true" applyBorder="true" applyNumberFormat="true" applyFont="true"/>
    <xf numFmtId="0" fontId="5386" fillId="0" borderId="0" xfId="0" applyFill="true" applyBorder="true" applyNumberFormat="true" applyFont="true"/>
    <xf numFmtId="0" fontId="5387" fillId="0" borderId="0" xfId="0" applyFill="true" applyBorder="true" applyNumberFormat="true" applyFont="true"/>
    <xf numFmtId="0" fontId="5388" fillId="0" borderId="0" xfId="0" applyFill="true" applyBorder="true" applyNumberFormat="true" applyFont="true"/>
    <xf numFmtId="0" fontId="5389" fillId="0" borderId="0" xfId="0" applyFill="true" applyBorder="true" applyNumberFormat="true" applyFont="true"/>
    <xf numFmtId="0" fontId="5390" fillId="0" borderId="0" xfId="0" applyFill="true" applyBorder="true" applyNumberFormat="true" applyFont="true"/>
    <xf numFmtId="0" fontId="5391" fillId="0" borderId="0" xfId="0" applyFill="true" applyBorder="true" applyNumberFormat="true" applyFont="true"/>
    <xf numFmtId="0" fontId="5392" fillId="0" borderId="0" xfId="0" applyFill="true" applyBorder="true" applyNumberFormat="true" applyFont="true"/>
    <xf numFmtId="0" fontId="5393" fillId="0" borderId="0" xfId="0" applyFill="true" applyBorder="true" applyNumberFormat="true" applyFont="true"/>
    <xf numFmtId="0" fontId="5394" fillId="0" borderId="0" xfId="0" applyFill="true" applyBorder="true" applyNumberFormat="true" applyFont="true"/>
    <xf numFmtId="0" fontId="5395" fillId="0" borderId="0" xfId="0" applyFill="true" applyBorder="true" applyNumberFormat="true" applyFont="true"/>
    <xf numFmtId="0" fontId="5396" fillId="0" borderId="0" xfId="0" applyFill="true" applyBorder="true" applyNumberFormat="true" applyFont="true"/>
    <xf numFmtId="0" fontId="5397" fillId="0" borderId="0" xfId="0" applyFill="true" applyBorder="true" applyNumberFormat="true" applyFont="true"/>
    <xf numFmtId="0" fontId="5398" fillId="0" borderId="0" xfId="0" applyFill="true" applyBorder="true" applyNumberFormat="true" applyFont="true"/>
    <xf numFmtId="0" fontId="5399" fillId="0" borderId="0" xfId="0" applyFill="true" applyBorder="true" applyNumberFormat="true" applyFont="true"/>
    <xf numFmtId="0" fontId="5400" fillId="0" borderId="0" xfId="0" applyFill="true" applyBorder="true" applyNumberFormat="true" applyFont="true"/>
    <xf numFmtId="0" fontId="5401" fillId="0" borderId="0" xfId="0" applyFill="true" applyBorder="true" applyNumberFormat="true" applyFont="true"/>
    <xf numFmtId="0" fontId="5402" fillId="0" borderId="0" xfId="0" applyFill="true" applyBorder="true" applyNumberFormat="true" applyFont="true"/>
    <xf numFmtId="0" fontId="5403" fillId="0" borderId="0" xfId="0" applyFill="true" applyBorder="true" applyNumberFormat="true" applyFont="true"/>
    <xf numFmtId="0" fontId="5404" fillId="0" borderId="0" xfId="0" applyFill="true" applyBorder="true" applyNumberFormat="true" applyFont="true"/>
    <xf numFmtId="0" fontId="5405" fillId="0" borderId="0" xfId="0" applyFill="true" applyBorder="true" applyNumberFormat="true" applyFont="true"/>
    <xf numFmtId="0" fontId="5406" fillId="0" borderId="0" xfId="0" applyFill="true" applyBorder="true" applyNumberFormat="true" applyFont="true"/>
    <xf numFmtId="0" fontId="5407" fillId="0" borderId="0" xfId="0" applyFill="true" applyBorder="true" applyNumberFormat="true" applyFont="true"/>
    <xf numFmtId="0" fontId="5408" fillId="0" borderId="0" xfId="0" applyFill="true" applyBorder="true" applyNumberFormat="true" applyFont="true"/>
    <xf numFmtId="0" fontId="5409" fillId="0" borderId="0" xfId="0" applyFill="true" applyBorder="true" applyNumberFormat="true" applyFont="true"/>
    <xf numFmtId="0" fontId="5410" fillId="0" borderId="0" xfId="0" applyFill="true" applyBorder="true" applyNumberFormat="true" applyFont="true"/>
    <xf numFmtId="0" fontId="5411" fillId="0" borderId="0" xfId="0" applyFill="true" applyBorder="true" applyNumberFormat="true" applyFont="true"/>
    <xf numFmtId="0" fontId="5412" fillId="0" borderId="0" xfId="0" applyFill="true" applyBorder="true" applyNumberFormat="true" applyFont="true"/>
    <xf numFmtId="0" fontId="5413" fillId="0" borderId="0" xfId="0" applyFill="true" applyBorder="true" applyNumberFormat="true" applyFont="true"/>
    <xf numFmtId="0" fontId="5414" fillId="0" borderId="0" xfId="0" applyFill="true" applyBorder="true" applyNumberFormat="true" applyFont="true"/>
    <xf numFmtId="0" fontId="5415" fillId="0" borderId="0" xfId="0" applyFill="true" applyBorder="true" applyNumberFormat="true" applyFont="true"/>
    <xf numFmtId="0" fontId="5416" fillId="0" borderId="0" xfId="0" applyFill="true" applyBorder="true" applyNumberFormat="true" applyFont="true"/>
    <xf numFmtId="0" fontId="5417" fillId="0" borderId="0" xfId="0" applyFill="true" applyBorder="true" applyNumberFormat="true" applyFont="true"/>
    <xf numFmtId="0" fontId="5418" fillId="0" borderId="0" xfId="0" applyFill="true" applyBorder="true" applyNumberFormat="true" applyFont="true"/>
    <xf numFmtId="0" fontId="5419" fillId="0" borderId="0" xfId="0" applyFill="true" applyBorder="true" applyNumberFormat="true" applyFont="true"/>
    <xf numFmtId="0" fontId="5420" fillId="0" borderId="0" xfId="0" applyFill="true" applyBorder="true" applyNumberFormat="true" applyFont="true"/>
    <xf numFmtId="0" fontId="5421" fillId="0" borderId="0" xfId="0" applyFill="true" applyBorder="true" applyNumberFormat="true" applyFont="true"/>
    <xf numFmtId="0" fontId="5422" fillId="0" borderId="0" xfId="0" applyFill="true" applyBorder="true" applyNumberFormat="true" applyFont="true"/>
    <xf numFmtId="0" fontId="5423" fillId="0" borderId="0" xfId="0" applyFill="true" applyBorder="true" applyNumberFormat="true" applyFont="true"/>
    <xf numFmtId="0" fontId="5424" fillId="0" borderId="0" xfId="0" applyFill="true" applyBorder="true" applyNumberFormat="true" applyFont="true"/>
    <xf numFmtId="0" fontId="5425" fillId="0" borderId="0" xfId="0" applyFill="true" applyBorder="true" applyNumberFormat="true" applyFont="true"/>
    <xf numFmtId="0" fontId="5426" fillId="0" borderId="0" xfId="0" applyFill="true" applyBorder="true" applyNumberFormat="true" applyFont="true"/>
    <xf numFmtId="0" fontId="5427" fillId="0" borderId="0" xfId="0" applyFill="true" applyBorder="true" applyNumberFormat="true" applyFont="true"/>
    <xf numFmtId="0" fontId="5428" fillId="0" borderId="0" xfId="0" applyFill="true" applyBorder="true" applyNumberFormat="true" applyFont="true"/>
    <xf numFmtId="0" fontId="5429" fillId="0" borderId="0" xfId="0" applyFill="true" applyBorder="true" applyNumberFormat="true" applyFont="true"/>
    <xf numFmtId="0" fontId="5430" fillId="0" borderId="0" xfId="0" applyFill="true" applyBorder="true" applyNumberFormat="true" applyFont="true"/>
    <xf numFmtId="0" fontId="5431" fillId="0" borderId="0" xfId="0" applyFill="true" applyBorder="true" applyNumberFormat="true" applyFont="true"/>
    <xf numFmtId="0" fontId="5432" fillId="0" borderId="0" xfId="0" applyFill="true" applyBorder="true" applyNumberFormat="true" applyFont="true"/>
    <xf numFmtId="0" fontId="5433" fillId="0" borderId="0" xfId="0" applyFill="true" applyBorder="true" applyNumberFormat="true" applyFont="true"/>
    <xf numFmtId="0" fontId="5434" fillId="0" borderId="0" xfId="0" applyFill="true" applyBorder="true" applyNumberFormat="true" applyFont="true"/>
    <xf numFmtId="0" fontId="5435" fillId="0" borderId="0" xfId="0" applyFill="true" applyBorder="true" applyNumberFormat="true" applyFont="true"/>
    <xf numFmtId="0" fontId="5436" fillId="0" borderId="0" xfId="0" applyFill="true" applyBorder="true" applyNumberFormat="true" applyFont="true"/>
    <xf numFmtId="0" fontId="5437" fillId="0" borderId="0" xfId="0" applyFill="true" applyBorder="true" applyNumberFormat="true" applyFont="true"/>
    <xf numFmtId="0" fontId="5438" fillId="0" borderId="0" xfId="0" applyFill="true" applyBorder="true" applyNumberFormat="true" applyFont="true"/>
    <xf numFmtId="0" fontId="5439" fillId="0" borderId="0" xfId="0" applyFill="true" applyBorder="true" applyNumberFormat="true" applyFont="true"/>
    <xf numFmtId="0" fontId="5440" fillId="0" borderId="0" xfId="0" applyFill="true" applyBorder="true" applyNumberFormat="true" applyFont="true"/>
    <xf numFmtId="0" fontId="5441" fillId="0" borderId="0" xfId="0" applyFill="true" applyBorder="true" applyNumberFormat="true" applyFont="true"/>
    <xf numFmtId="0" fontId="5442" fillId="0" borderId="0" xfId="0" applyFill="true" applyBorder="true" applyNumberFormat="true" applyFont="true"/>
    <xf numFmtId="0" fontId="5443" fillId="0" borderId="0" xfId="0" applyFill="true" applyBorder="true" applyNumberFormat="true" applyFont="true"/>
    <xf numFmtId="0" fontId="5444" fillId="0" borderId="0" xfId="0" applyFill="true" applyBorder="true" applyNumberFormat="true" applyFont="true"/>
    <xf numFmtId="0" fontId="5445" fillId="0" borderId="0" xfId="0" applyFill="true" applyBorder="true" applyNumberFormat="true" applyFont="true"/>
    <xf numFmtId="0" fontId="5446" fillId="0" borderId="0" xfId="0" applyFill="true" applyBorder="true" applyNumberFormat="true" applyFont="true"/>
    <xf numFmtId="0" fontId="5447" fillId="0" borderId="0" xfId="0" applyFill="true" applyBorder="true" applyNumberFormat="true" applyFont="true"/>
    <xf numFmtId="0" fontId="5448" fillId="0" borderId="0" xfId="0" applyFill="true" applyBorder="true" applyNumberFormat="true" applyFont="true"/>
    <xf numFmtId="0" fontId="5449" fillId="0" borderId="0" xfId="0" applyFill="true" applyBorder="true" applyNumberFormat="true" applyFont="true"/>
    <xf numFmtId="0" fontId="5450" fillId="0" borderId="0" xfId="0" applyFill="true" applyBorder="true" applyNumberFormat="true" applyFont="true"/>
    <xf numFmtId="0" fontId="5451" fillId="0" borderId="0" xfId="0" applyFill="true" applyBorder="true" applyNumberFormat="true" applyFont="true"/>
    <xf numFmtId="0" fontId="5452" fillId="0" borderId="0" xfId="0" applyFill="true" applyBorder="true" applyNumberFormat="true" applyFont="true"/>
    <xf numFmtId="0" fontId="5453" fillId="0" borderId="0" xfId="0" applyFill="true" applyBorder="true" applyNumberFormat="true" applyFont="true"/>
    <xf numFmtId="0" fontId="5454" fillId="0" borderId="0" xfId="0" applyFill="true" applyBorder="true" applyNumberFormat="true" applyFont="true"/>
    <xf numFmtId="0" fontId="5455" fillId="0" borderId="0" xfId="0" applyFill="true" applyBorder="true" applyNumberFormat="true" applyFont="true"/>
    <xf numFmtId="0" fontId="5456" fillId="0" borderId="0" xfId="0" applyFill="true" applyBorder="true" applyNumberFormat="true" applyFont="true"/>
    <xf numFmtId="0" fontId="5457" fillId="0" borderId="0" xfId="0" applyFill="true" applyBorder="true" applyNumberFormat="true" applyFont="true"/>
    <xf numFmtId="0" fontId="5458" fillId="0" borderId="0" xfId="0" applyFill="true" applyBorder="true" applyNumberFormat="true" applyFont="true"/>
    <xf numFmtId="0" fontId="5459" fillId="0" borderId="0" xfId="0" applyFill="true" applyBorder="true" applyNumberFormat="true" applyFont="true"/>
    <xf numFmtId="0" fontId="5460" fillId="0" borderId="0" xfId="0" applyFill="true" applyBorder="true" applyNumberFormat="true" applyFont="true"/>
    <xf numFmtId="0" fontId="5461" fillId="0" borderId="0" xfId="0" applyFill="true" applyBorder="true" applyNumberFormat="true" applyFont="true"/>
    <xf numFmtId="0" fontId="5462" fillId="0" borderId="0" xfId="0" applyFill="true" applyBorder="true" applyNumberFormat="true" applyFont="true"/>
    <xf numFmtId="0" fontId="5463" fillId="0" borderId="0" xfId="0" applyFill="true" applyBorder="true" applyNumberFormat="true" applyFont="true"/>
    <xf numFmtId="0" fontId="5464" fillId="0" borderId="0" xfId="0" applyFill="true" applyBorder="true" applyNumberFormat="true" applyFont="true"/>
    <xf numFmtId="0" fontId="5465" fillId="0" borderId="0" xfId="0" applyFill="true" applyBorder="true" applyNumberFormat="true" applyFont="true"/>
    <xf numFmtId="0" fontId="5466" fillId="0" borderId="0" xfId="0" applyFill="true" applyBorder="true" applyNumberFormat="true" applyFont="true"/>
    <xf numFmtId="0" fontId="5467" fillId="0" borderId="0" xfId="0" applyFill="true" applyBorder="true" applyNumberFormat="true" applyFont="true"/>
    <xf numFmtId="0" fontId="5468" fillId="0" borderId="0" xfId="0" applyFill="true" applyBorder="true" applyNumberFormat="true" applyFont="true"/>
    <xf numFmtId="0" fontId="5469" fillId="0" borderId="0" xfId="0" applyFill="true" applyBorder="true" applyNumberFormat="true" applyFont="true"/>
    <xf numFmtId="0" fontId="5470" fillId="0" borderId="0" xfId="0" applyFill="true" applyBorder="true" applyNumberFormat="true" applyFont="true"/>
    <xf numFmtId="0" fontId="5471" fillId="0" borderId="0" xfId="0" applyFill="true" applyBorder="true" applyNumberFormat="true" applyFont="true"/>
    <xf numFmtId="0" fontId="5472" fillId="0" borderId="0" xfId="0" applyFill="true" applyBorder="true" applyNumberFormat="true" applyFont="true"/>
    <xf numFmtId="0" fontId="5473" fillId="0" borderId="0" xfId="0" applyFill="true" applyBorder="true" applyNumberFormat="true" applyFont="true"/>
    <xf numFmtId="0" fontId="5474" fillId="0" borderId="0" xfId="0" applyFill="true" applyBorder="true" applyNumberFormat="true" applyFont="true"/>
    <xf numFmtId="0" fontId="5475" fillId="0" borderId="0" xfId="0" applyFill="true" applyBorder="true" applyNumberFormat="true" applyFont="true"/>
    <xf numFmtId="0" fontId="5476" fillId="0" borderId="0" xfId="0" applyFill="true" applyBorder="true" applyNumberFormat="true" applyFont="true"/>
    <xf numFmtId="0" fontId="5477" fillId="0" borderId="0" xfId="0" applyFill="true" applyBorder="true" applyNumberFormat="true" applyFont="true"/>
    <xf numFmtId="0" fontId="5478" fillId="0" borderId="0" xfId="0" applyFill="true" applyBorder="true" applyNumberFormat="true" applyFont="true"/>
    <xf numFmtId="0" fontId="5479" fillId="0" borderId="0" xfId="0" applyFill="true" applyBorder="true" applyNumberFormat="true" applyFont="true"/>
    <xf numFmtId="0" fontId="5480" fillId="0" borderId="0" xfId="0" applyFill="true" applyBorder="true" applyNumberFormat="true" applyFont="true"/>
    <xf numFmtId="0" fontId="5481" fillId="0" borderId="0" xfId="0" applyFill="true" applyBorder="true" applyNumberFormat="true" applyFont="true"/>
    <xf numFmtId="0" fontId="5482" fillId="0" borderId="0" xfId="0" applyFill="true" applyBorder="true" applyNumberFormat="true" applyFont="true"/>
    <xf numFmtId="0" fontId="5483" fillId="0" borderId="0" xfId="0" applyFill="true" applyBorder="true" applyNumberFormat="true" applyFont="true"/>
    <xf numFmtId="0" fontId="5484" fillId="0" borderId="0" xfId="0" applyFill="true" applyBorder="true" applyNumberFormat="true" applyFont="true"/>
    <xf numFmtId="0" fontId="5485" fillId="0" borderId="0" xfId="0" applyFill="true" applyBorder="true" applyNumberFormat="true" applyFont="true"/>
    <xf numFmtId="0" fontId="5486" fillId="0" borderId="0" xfId="0" applyFill="true" applyBorder="true" applyNumberFormat="true" applyFont="true"/>
    <xf numFmtId="0" fontId="5487" fillId="0" borderId="0" xfId="0" applyFill="true" applyBorder="true" applyNumberFormat="true" applyFont="true"/>
    <xf numFmtId="0" fontId="5488" fillId="0" borderId="0" xfId="0" applyFill="true" applyBorder="true" applyNumberFormat="true" applyFont="true"/>
    <xf numFmtId="0" fontId="5489" fillId="0" borderId="0" xfId="0" applyFill="true" applyBorder="true" applyNumberFormat="true" applyFont="true"/>
    <xf numFmtId="0" fontId="5490" fillId="0" borderId="0" xfId="0" applyFill="true" applyBorder="true" applyNumberFormat="true" applyFont="true"/>
    <xf numFmtId="0" fontId="5491" fillId="0" borderId="0" xfId="0" applyFill="true" applyBorder="true" applyNumberFormat="true" applyFont="true"/>
    <xf numFmtId="0" fontId="5492" fillId="0" borderId="0" xfId="0" applyFill="true" applyBorder="true" applyNumberFormat="true" applyFont="true"/>
    <xf numFmtId="0" fontId="5493" fillId="0" borderId="0" xfId="0" applyFill="true" applyBorder="true" applyNumberFormat="true" applyFont="true"/>
    <xf numFmtId="0" fontId="5494" fillId="0" borderId="0" xfId="0" applyFill="true" applyBorder="true" applyNumberFormat="true" applyFont="true"/>
    <xf numFmtId="0" fontId="5495" fillId="0" borderId="0" xfId="0" applyFill="true" applyBorder="true" applyNumberFormat="true" applyFont="true"/>
    <xf numFmtId="0" fontId="5496" fillId="0" borderId="0" xfId="0" applyFill="true" applyBorder="true" applyNumberFormat="true" applyFont="true"/>
    <xf numFmtId="0" fontId="5497" fillId="0" borderId="0" xfId="0" applyFill="true" applyBorder="true" applyNumberFormat="true" applyFont="true"/>
    <xf numFmtId="0" fontId="5498" fillId="0" borderId="0" xfId="0" applyFill="true" applyBorder="true" applyNumberFormat="true" applyFont="true"/>
    <xf numFmtId="0" fontId="5499" fillId="0" borderId="0" xfId="0" applyFill="true" applyBorder="true" applyNumberFormat="true" applyFont="true"/>
    <xf numFmtId="0" fontId="5500" fillId="0" borderId="0" xfId="0" applyFill="true" applyBorder="true" applyNumberFormat="true" applyFont="true"/>
    <xf numFmtId="0" fontId="5501" fillId="0" borderId="0" xfId="0" applyFill="true" applyBorder="true" applyNumberFormat="true" applyFont="true"/>
    <xf numFmtId="0" fontId="5502" fillId="0" borderId="0" xfId="0" applyFill="true" applyBorder="true" applyNumberFormat="true" applyFont="true"/>
    <xf numFmtId="0" fontId="5503" fillId="0" borderId="0" xfId="0" applyFill="true" applyBorder="true" applyNumberFormat="true" applyFont="true"/>
    <xf numFmtId="0" fontId="5504" fillId="0" borderId="0" xfId="0" applyFill="true" applyBorder="true" applyNumberFormat="true" applyFont="true"/>
    <xf numFmtId="0" fontId="5505" fillId="0" borderId="0" xfId="0" applyFill="true" applyBorder="true" applyNumberFormat="true" applyFont="true"/>
    <xf numFmtId="0" fontId="5506" fillId="0" borderId="0" xfId="0" applyFill="true" applyBorder="true" applyNumberFormat="true" applyFont="true"/>
    <xf numFmtId="0" fontId="5507" fillId="0" borderId="0" xfId="0" applyFill="true" applyBorder="true" applyNumberFormat="true" applyFont="true"/>
    <xf numFmtId="0" fontId="5508" fillId="0" borderId="0" xfId="0" applyFill="true" applyBorder="true" applyNumberFormat="true" applyFont="true"/>
    <xf numFmtId="0" fontId="5509" fillId="0" borderId="0" xfId="0" applyFill="true" applyBorder="true" applyNumberFormat="true" applyFont="true"/>
    <xf numFmtId="0" fontId="5510" fillId="0" borderId="0" xfId="0" applyFill="true" applyBorder="true" applyNumberFormat="true" applyFont="true"/>
    <xf numFmtId="0" fontId="5511" fillId="0" borderId="0" xfId="0" applyFill="true" applyBorder="true" applyNumberFormat="true" applyFont="true"/>
    <xf numFmtId="0" fontId="5512" fillId="0" borderId="0" xfId="0" applyFill="true" applyBorder="true" applyNumberFormat="true" applyFont="true"/>
    <xf numFmtId="0" fontId="5513" fillId="0" borderId="0" xfId="0" applyFill="true" applyBorder="true" applyNumberFormat="true" applyFont="true"/>
    <xf numFmtId="0" fontId="5514" fillId="0" borderId="0" xfId="0" applyFill="true" applyBorder="true" applyNumberFormat="true" applyFont="true"/>
    <xf numFmtId="0" fontId="5515" fillId="0" borderId="0" xfId="0" applyFill="true" applyBorder="true" applyNumberFormat="true" applyFont="true"/>
    <xf numFmtId="0" fontId="5516" fillId="0" borderId="0" xfId="0" applyFill="true" applyBorder="true" applyNumberFormat="true" applyFont="true"/>
    <xf numFmtId="0" fontId="5517" fillId="0" borderId="0" xfId="0" applyFill="true" applyBorder="true" applyNumberFormat="true" applyFont="true"/>
    <xf numFmtId="0" fontId="5518" fillId="0" borderId="0" xfId="0" applyFill="true" applyBorder="true" applyNumberFormat="true" applyFont="true"/>
    <xf numFmtId="0" fontId="5519" fillId="0" borderId="0" xfId="0" applyFill="true" applyBorder="true" applyNumberFormat="true" applyFont="true"/>
    <xf numFmtId="0" fontId="5520" fillId="0" borderId="0" xfId="0" applyFill="true" applyBorder="true" applyNumberFormat="true" applyFont="true"/>
    <xf numFmtId="0" fontId="5521" fillId="0" borderId="0" xfId="0" applyFill="true" applyBorder="true" applyNumberFormat="true" applyFont="true"/>
    <xf numFmtId="0" fontId="5522" fillId="0" borderId="0" xfId="0" applyFill="true" applyBorder="true" applyNumberFormat="true" applyFont="true"/>
    <xf numFmtId="0" fontId="5523" fillId="0" borderId="0" xfId="0" applyFill="true" applyBorder="true" applyNumberFormat="true" applyFont="true"/>
    <xf numFmtId="0" fontId="5524" fillId="0" borderId="0" xfId="0" applyFill="true" applyBorder="true" applyNumberFormat="true" applyFont="true"/>
    <xf numFmtId="0" fontId="5525" fillId="0" borderId="0" xfId="0" applyFill="true" applyBorder="true" applyNumberFormat="true" applyFont="true"/>
    <xf numFmtId="0" fontId="5526" fillId="0" borderId="0" xfId="0" applyFill="true" applyBorder="true" applyNumberFormat="true" applyFont="true"/>
    <xf numFmtId="0" fontId="5527" fillId="0" borderId="0" xfId="0" applyFill="true" applyBorder="true" applyNumberFormat="true" applyFont="true"/>
    <xf numFmtId="0" fontId="5528" fillId="0" borderId="0" xfId="0" applyFill="true" applyBorder="true" applyNumberFormat="true" applyFont="true"/>
    <xf numFmtId="0" fontId="5529" fillId="0" borderId="0" xfId="0" applyFill="true" applyBorder="true" applyNumberFormat="true" applyFont="true"/>
    <xf numFmtId="0" fontId="5530" fillId="0" borderId="0" xfId="0" applyFill="true" applyBorder="true" applyNumberFormat="true" applyFont="true"/>
    <xf numFmtId="0" fontId="5531" fillId="0" borderId="0" xfId="0" applyFill="true" applyBorder="true" applyNumberFormat="true" applyFont="true"/>
    <xf numFmtId="0" fontId="5532" fillId="0" borderId="0" xfId="0" applyFill="true" applyBorder="true" applyNumberFormat="true" applyFont="true"/>
    <xf numFmtId="0" fontId="5533" fillId="0" borderId="0" xfId="0" applyFill="true" applyBorder="true" applyNumberFormat="true" applyFont="true"/>
    <xf numFmtId="0" fontId="5534" fillId="0" borderId="0" xfId="0" applyFill="true" applyBorder="true" applyNumberFormat="true" applyFont="true"/>
    <xf numFmtId="0" fontId="5535" fillId="0" borderId="0" xfId="0" applyFill="true" applyBorder="true" applyNumberFormat="true" applyFont="true"/>
    <xf numFmtId="0" fontId="5536" fillId="0" borderId="0" xfId="0" applyFill="true" applyBorder="true" applyNumberFormat="true" applyFont="true"/>
    <xf numFmtId="0" fontId="5537" fillId="0" borderId="0" xfId="0" applyFill="true" applyBorder="true" applyNumberFormat="true" applyFont="true"/>
    <xf numFmtId="0" fontId="5538" fillId="0" borderId="0" xfId="0" applyFill="true" applyBorder="true" applyNumberFormat="true" applyFont="true"/>
    <xf numFmtId="0" fontId="5539" fillId="0" borderId="0" xfId="0" applyFill="true" applyBorder="true" applyNumberFormat="true" applyFont="true"/>
    <xf numFmtId="0" fontId="5540" fillId="0" borderId="0" xfId="0" applyFill="true" applyBorder="true" applyNumberFormat="true" applyFont="true"/>
    <xf numFmtId="0" fontId="5541" fillId="0" borderId="0" xfId="0" applyFill="true" applyBorder="true" applyNumberFormat="true" applyFont="true"/>
    <xf numFmtId="0" fontId="5542" fillId="0" borderId="0" xfId="0" applyFill="true" applyBorder="true" applyNumberFormat="true" applyFont="true"/>
    <xf numFmtId="0" fontId="5543" fillId="0" borderId="0" xfId="0" applyFill="true" applyBorder="true" applyNumberFormat="true" applyFont="true"/>
    <xf numFmtId="0" fontId="5544" fillId="0" borderId="0" xfId="0" applyFill="true" applyBorder="true" applyNumberFormat="true" applyFont="true"/>
    <xf numFmtId="0" fontId="5545" fillId="0" borderId="0" xfId="0" applyFill="true" applyBorder="true" applyNumberFormat="true" applyFont="true"/>
    <xf numFmtId="0" fontId="5546" fillId="0" borderId="0" xfId="0" applyFill="true" applyBorder="true" applyNumberFormat="true" applyFont="true"/>
    <xf numFmtId="0" fontId="5547" fillId="0" borderId="0" xfId="0" applyFill="true" applyBorder="true" applyNumberFormat="true" applyFont="true"/>
    <xf numFmtId="0" fontId="5548" fillId="0" borderId="0" xfId="0" applyFill="true" applyBorder="true" applyNumberFormat="true" applyFont="true"/>
    <xf numFmtId="0" fontId="5549" fillId="0" borderId="0" xfId="0" applyFill="true" applyBorder="true" applyNumberFormat="true" applyFont="true"/>
    <xf numFmtId="0" fontId="5550" fillId="0" borderId="0" xfId="0" applyFill="true" applyBorder="true" applyNumberFormat="true" applyFont="true"/>
    <xf numFmtId="0" fontId="5551" fillId="0" borderId="0" xfId="0" applyFill="true" applyBorder="true" applyNumberFormat="true" applyFont="true"/>
    <xf numFmtId="0" fontId="5552" fillId="0" borderId="0" xfId="0" applyFill="true" applyBorder="true" applyNumberFormat="true" applyFont="true"/>
    <xf numFmtId="0" fontId="5553" fillId="0" borderId="0" xfId="0" applyFill="true" applyBorder="true" applyNumberFormat="true" applyFont="true"/>
    <xf numFmtId="0" fontId="5554" fillId="0" borderId="0" xfId="0" applyFill="true" applyBorder="true" applyNumberFormat="true" applyFont="true"/>
    <xf numFmtId="0" fontId="5555" fillId="0" borderId="0" xfId="0" applyFill="true" applyBorder="true" applyNumberFormat="true" applyFont="true"/>
    <xf numFmtId="0" fontId="5556" fillId="0" borderId="0" xfId="0" applyFill="true" applyBorder="true" applyNumberFormat="true" applyFont="true"/>
    <xf numFmtId="0" fontId="5557" fillId="0" borderId="0" xfId="0" applyFill="true" applyBorder="true" applyNumberFormat="true" applyFont="true"/>
    <xf numFmtId="0" fontId="5558" fillId="0" borderId="0" xfId="0" applyFill="true" applyBorder="true" applyNumberFormat="true" applyFont="true"/>
    <xf numFmtId="0" fontId="5559" fillId="0" borderId="0" xfId="0" applyFill="true" applyBorder="true" applyNumberFormat="true" applyFont="true"/>
    <xf numFmtId="0" fontId="5560" fillId="0" borderId="0" xfId="0" applyFill="true" applyBorder="true" applyNumberFormat="true" applyFont="true"/>
    <xf numFmtId="0" fontId="5561" fillId="0" borderId="0" xfId="0" applyFill="true" applyBorder="true" applyNumberFormat="true" applyFont="true"/>
    <xf numFmtId="0" fontId="5562" fillId="0" borderId="0" xfId="0" applyFill="true" applyBorder="true" applyNumberFormat="true" applyFont="true"/>
    <xf numFmtId="0" fontId="5563" fillId="0" borderId="0" xfId="0" applyFill="true" applyBorder="true" applyNumberFormat="true" applyFont="true"/>
    <xf numFmtId="0" fontId="5564" fillId="0" borderId="0" xfId="0" applyFill="true" applyBorder="true" applyNumberFormat="true" applyFont="true"/>
    <xf numFmtId="0" fontId="5565" fillId="0" borderId="0" xfId="0" applyFill="true" applyBorder="true" applyNumberFormat="true" applyFont="true"/>
    <xf numFmtId="0" fontId="5566" fillId="0" borderId="0" xfId="0" applyFill="true" applyBorder="true" applyNumberFormat="true" applyFont="true"/>
    <xf numFmtId="0" fontId="5567" fillId="0" borderId="0" xfId="0" applyFill="true" applyBorder="true" applyNumberFormat="true" applyFont="true"/>
    <xf numFmtId="0" fontId="5568" fillId="0" borderId="0" xfId="0" applyFill="true" applyBorder="true" applyNumberFormat="true" applyFont="true"/>
    <xf numFmtId="0" fontId="5569" fillId="0" borderId="0" xfId="0" applyFill="true" applyBorder="true" applyNumberFormat="true" applyFont="true"/>
    <xf numFmtId="0" fontId="5570" fillId="0" borderId="0" xfId="0" applyFill="true" applyBorder="true" applyNumberFormat="true" applyFont="true"/>
    <xf numFmtId="0" fontId="5571" fillId="0" borderId="0" xfId="0" applyFill="true" applyBorder="true" applyNumberFormat="true" applyFont="true"/>
    <xf numFmtId="0" fontId="5572" fillId="0" borderId="0" xfId="0" applyFill="true" applyBorder="true" applyNumberFormat="true" applyFont="true"/>
    <xf numFmtId="0" fontId="5573" fillId="0" borderId="0" xfId="0" applyFill="true" applyBorder="true" applyNumberFormat="true" applyFont="true"/>
    <xf numFmtId="0" fontId="5574" fillId="0" borderId="0" xfId="0" applyFill="true" applyBorder="true" applyNumberFormat="true" applyFont="true"/>
    <xf numFmtId="0" fontId="5575" fillId="0" borderId="0" xfId="0" applyFill="true" applyBorder="true" applyNumberFormat="true" applyFont="true"/>
    <xf numFmtId="0" fontId="5576" fillId="0" borderId="0" xfId="0" applyFill="true" applyBorder="true" applyNumberFormat="true" applyFont="true"/>
    <xf numFmtId="0" fontId="5577" fillId="0" borderId="0" xfId="0" applyFill="true" applyBorder="true" applyNumberFormat="true" applyFont="true"/>
    <xf numFmtId="0" fontId="5578" fillId="0" borderId="0" xfId="0" applyFill="true" applyBorder="true" applyNumberFormat="true" applyFont="true"/>
    <xf numFmtId="0" fontId="5579" fillId="0" borderId="0" xfId="0" applyFill="true" applyBorder="true" applyNumberFormat="true" applyFont="true"/>
    <xf numFmtId="0" fontId="5580" fillId="0" borderId="0" xfId="0" applyFill="true" applyBorder="true" applyNumberFormat="true" applyFont="true"/>
    <xf numFmtId="0" fontId="5581" fillId="0" borderId="0" xfId="0" applyFill="true" applyBorder="true" applyNumberFormat="true" applyFont="true"/>
    <xf numFmtId="0" fontId="5582" fillId="0" borderId="0" xfId="0" applyFill="true" applyBorder="true" applyNumberFormat="true" applyFont="true"/>
    <xf numFmtId="0" fontId="5583" fillId="0" borderId="0" xfId="0" applyFill="true" applyBorder="true" applyNumberFormat="true" applyFont="true"/>
    <xf numFmtId="0" fontId="5584" fillId="0" borderId="0" xfId="0" applyFill="true" applyBorder="true" applyNumberFormat="true" applyFont="true"/>
    <xf numFmtId="0" fontId="5585" fillId="0" borderId="0" xfId="0" applyFill="true" applyBorder="true" applyNumberFormat="true" applyFont="true"/>
    <xf numFmtId="0" fontId="5586" fillId="0" borderId="0" xfId="0" applyFill="true" applyBorder="true" applyNumberFormat="true" applyFont="true"/>
    <xf numFmtId="0" fontId="5587" fillId="0" borderId="0" xfId="0" applyFill="true" applyBorder="true" applyNumberFormat="true" applyFont="true"/>
    <xf numFmtId="0" fontId="5588" fillId="0" borderId="0" xfId="0" applyFill="true" applyBorder="true" applyNumberFormat="true" applyFont="true"/>
    <xf numFmtId="0" fontId="5589" fillId="0" borderId="0" xfId="0" applyFill="true" applyBorder="true" applyNumberFormat="true" applyFont="true"/>
    <xf numFmtId="0" fontId="5590" fillId="0" borderId="0" xfId="0" applyFill="true" applyBorder="true" applyNumberFormat="true" applyFont="true"/>
    <xf numFmtId="0" fontId="5591" fillId="0" borderId="0" xfId="0" applyFill="true" applyBorder="true" applyNumberFormat="true" applyFont="true"/>
    <xf numFmtId="0" fontId="5592" fillId="0" borderId="0" xfId="0" applyFill="true" applyBorder="true" applyNumberFormat="true" applyFont="true"/>
    <xf numFmtId="0" fontId="5593" fillId="0" borderId="0" xfId="0" applyFill="true" applyBorder="true" applyNumberFormat="true" applyFont="true"/>
    <xf numFmtId="0" fontId="5594" fillId="0" borderId="0" xfId="0" applyFill="true" applyBorder="true" applyNumberFormat="true" applyFont="true"/>
    <xf numFmtId="0" fontId="5595" fillId="0" borderId="0" xfId="0" applyFill="true" applyBorder="true" applyNumberFormat="true" applyFont="true"/>
    <xf numFmtId="0" fontId="5596" fillId="0" borderId="0" xfId="0" applyFill="true" applyBorder="true" applyNumberFormat="true" applyFont="true"/>
    <xf numFmtId="0" fontId="5597" fillId="0" borderId="0" xfId="0" applyFill="true" applyBorder="true" applyNumberFormat="true" applyFont="true"/>
    <xf numFmtId="0" fontId="5598" fillId="0" borderId="0" xfId="0" applyFill="true" applyBorder="true" applyNumberFormat="true" applyFont="true"/>
    <xf numFmtId="0" fontId="5599" fillId="0" borderId="0" xfId="0" applyFill="true" applyBorder="true" applyNumberFormat="true" applyFont="true"/>
    <xf numFmtId="0" fontId="5600" fillId="0" borderId="0" xfId="0" applyFill="true" applyBorder="true" applyNumberFormat="true" applyFont="true"/>
    <xf numFmtId="0" fontId="5601" fillId="0" borderId="0" xfId="0" applyFill="true" applyBorder="true" applyNumberFormat="true" applyFont="true"/>
    <xf numFmtId="0" fontId="5602" fillId="0" borderId="0" xfId="0" applyFill="true" applyBorder="true" applyNumberFormat="true" applyFont="true"/>
    <xf numFmtId="0" fontId="5603" fillId="0" borderId="0" xfId="0" applyFill="true" applyBorder="true" applyNumberFormat="true" applyFont="true"/>
    <xf numFmtId="0" fontId="5604" fillId="0" borderId="0" xfId="0" applyFill="true" applyBorder="true" applyNumberFormat="true" applyFont="true"/>
    <xf numFmtId="0" fontId="5605" fillId="0" borderId="0" xfId="0" applyFill="true" applyBorder="true" applyNumberFormat="true" applyFont="true"/>
    <xf numFmtId="0" fontId="5606" fillId="0" borderId="0" xfId="0" applyFill="true" applyBorder="true" applyNumberFormat="true" applyFont="true"/>
    <xf numFmtId="0" fontId="5607" fillId="0" borderId="0" xfId="0" applyFill="true" applyBorder="true" applyNumberFormat="true" applyFont="true"/>
    <xf numFmtId="0" fontId="5608" fillId="0" borderId="0" xfId="0" applyFill="true" applyBorder="true" applyNumberFormat="true" applyFont="true"/>
    <xf numFmtId="0" fontId="5609" fillId="0" borderId="0" xfId="0" applyFill="true" applyBorder="true" applyNumberFormat="true" applyFont="true"/>
    <xf numFmtId="0" fontId="5610" fillId="0" borderId="0" xfId="0" applyFill="true" applyBorder="true" applyNumberFormat="true" applyFont="true"/>
    <xf numFmtId="0" fontId="5611" fillId="0" borderId="0" xfId="0" applyFill="true" applyBorder="true" applyNumberFormat="true" applyFont="true"/>
    <xf numFmtId="0" fontId="5612" fillId="0" borderId="0" xfId="0" applyFill="true" applyBorder="true" applyNumberFormat="true" applyFont="true"/>
    <xf numFmtId="0" fontId="5613" fillId="0" borderId="0" xfId="0" applyFill="true" applyBorder="true" applyNumberFormat="true" applyFont="true"/>
    <xf numFmtId="0" fontId="5614" fillId="0" borderId="0" xfId="0" applyFill="true" applyBorder="true" applyNumberFormat="true" applyFont="true"/>
    <xf numFmtId="0" fontId="5615" fillId="0" borderId="0" xfId="0" applyFill="true" applyBorder="true" applyNumberFormat="true" applyFont="true"/>
    <xf numFmtId="0" fontId="5616" fillId="0" borderId="0" xfId="0" applyFill="true" applyBorder="true" applyNumberFormat="true" applyFont="true"/>
    <xf numFmtId="0" fontId="5617" fillId="0" borderId="0" xfId="0" applyFill="true" applyBorder="true" applyNumberFormat="true" applyFont="true"/>
    <xf numFmtId="0" fontId="5618" fillId="0" borderId="0" xfId="0" applyFill="true" applyBorder="true" applyNumberFormat="true" applyFont="true"/>
    <xf numFmtId="0" fontId="5619" fillId="0" borderId="0" xfId="0" applyFill="true" applyBorder="true" applyNumberFormat="true" applyFont="true"/>
    <xf numFmtId="0" fontId="5620" fillId="0" borderId="0" xfId="0" applyFill="true" applyBorder="true" applyNumberFormat="true" applyFont="true"/>
    <xf numFmtId="0" fontId="5621" fillId="0" borderId="0" xfId="0" applyFill="true" applyBorder="true" applyNumberFormat="true" applyFont="true"/>
    <xf numFmtId="0" fontId="5622" fillId="0" borderId="0" xfId="0" applyFill="true" applyBorder="true" applyNumberFormat="true" applyFont="true"/>
    <xf numFmtId="0" fontId="5623" fillId="0" borderId="0" xfId="0" applyFill="true" applyBorder="true" applyNumberFormat="true" applyFont="true"/>
    <xf numFmtId="0" fontId="5624" fillId="0" borderId="0" xfId="0" applyFill="true" applyBorder="true" applyNumberFormat="true" applyFont="true"/>
    <xf numFmtId="0" fontId="5625" fillId="0" borderId="0" xfId="0" applyFill="true" applyBorder="true" applyNumberFormat="true" applyFont="true"/>
    <xf numFmtId="0" fontId="5626" fillId="0" borderId="0" xfId="0" applyFill="true" applyBorder="true" applyNumberFormat="true" applyFont="true"/>
    <xf numFmtId="0" fontId="5627" fillId="0" borderId="0" xfId="0" applyFill="true" applyBorder="true" applyNumberFormat="true" applyFont="true"/>
    <xf numFmtId="0" fontId="5628" fillId="0" borderId="0" xfId="0" applyFill="true" applyBorder="true" applyNumberFormat="true" applyFont="true"/>
    <xf numFmtId="0" fontId="5629" fillId="0" borderId="0" xfId="0" applyFill="true" applyBorder="true" applyNumberFormat="true" applyFont="true"/>
    <xf numFmtId="0" fontId="5630" fillId="0" borderId="0" xfId="0" applyFill="true" applyBorder="true" applyNumberFormat="true" applyFont="true"/>
    <xf numFmtId="0" fontId="5631" fillId="0" borderId="0" xfId="0" applyFill="true" applyBorder="true" applyNumberFormat="true" applyFont="true"/>
    <xf numFmtId="0" fontId="5632" fillId="0" borderId="0" xfId="0" applyFill="true" applyBorder="true" applyNumberFormat="true" applyFont="true"/>
    <xf numFmtId="0" fontId="5633" fillId="0" borderId="0" xfId="0" applyFill="true" applyBorder="true" applyNumberFormat="true" applyFont="true"/>
    <xf numFmtId="0" fontId="5634" fillId="0" borderId="0" xfId="0" applyFill="true" applyBorder="true" applyNumberFormat="true" applyFont="true"/>
    <xf numFmtId="0" fontId="5635" fillId="0" borderId="0" xfId="0" applyFill="true" applyBorder="true" applyNumberFormat="true" applyFont="true"/>
    <xf numFmtId="0" fontId="5636" fillId="0" borderId="0" xfId="0" applyFill="true" applyBorder="true" applyNumberFormat="true" applyFont="true"/>
    <xf numFmtId="0" fontId="5637" fillId="0" borderId="0" xfId="0" applyFill="true" applyBorder="true" applyNumberFormat="true" applyFont="true"/>
    <xf numFmtId="0" fontId="5638" fillId="0" borderId="0" xfId="0" applyFill="true" applyBorder="true" applyNumberFormat="true" applyFont="true"/>
    <xf numFmtId="0" fontId="5639" fillId="0" borderId="0" xfId="0" applyFill="true" applyBorder="true" applyNumberFormat="true" applyFont="true"/>
    <xf numFmtId="0" fontId="5640" fillId="0" borderId="0" xfId="0" applyFill="true" applyBorder="true" applyNumberFormat="true" applyFont="true"/>
    <xf numFmtId="0" fontId="5641" fillId="0" borderId="0" xfId="0" applyFill="true" applyBorder="true" applyNumberFormat="true" applyFont="true"/>
    <xf numFmtId="0" fontId="5642" fillId="0" borderId="0" xfId="0" applyFill="true" applyBorder="true" applyNumberFormat="true" applyFont="true"/>
    <xf numFmtId="0" fontId="5643" fillId="0" borderId="0" xfId="0" applyFill="true" applyBorder="true" applyNumberFormat="true" applyFont="true"/>
    <xf numFmtId="0" fontId="5644" fillId="0" borderId="0" xfId="0" applyFill="true" applyBorder="true" applyNumberFormat="true" applyFont="true"/>
    <xf numFmtId="0" fontId="5645" fillId="0" borderId="0" xfId="0" applyFill="true" applyBorder="true" applyNumberFormat="true" applyFont="true"/>
    <xf numFmtId="0" fontId="5646" fillId="0" borderId="0" xfId="0" applyFill="true" applyBorder="true" applyNumberFormat="true" applyFont="true"/>
    <xf numFmtId="0" fontId="5647" fillId="0" borderId="0" xfId="0" applyFill="true" applyBorder="true" applyNumberFormat="true" applyFont="true"/>
    <xf numFmtId="0" fontId="5648" fillId="0" borderId="0" xfId="0" applyFill="true" applyBorder="true" applyNumberFormat="true" applyFont="true"/>
    <xf numFmtId="0" fontId="5649" fillId="0" borderId="0" xfId="0" applyFill="true" applyBorder="true" applyNumberFormat="true" applyFont="true"/>
    <xf numFmtId="0" fontId="5650" fillId="0" borderId="0" xfId="0" applyFill="true" applyBorder="true" applyNumberFormat="true" applyFont="true"/>
    <xf numFmtId="0" fontId="5651" fillId="0" borderId="0" xfId="0" applyFill="true" applyBorder="true" applyNumberFormat="true" applyFont="true"/>
    <xf numFmtId="0" fontId="5652" fillId="0" borderId="0" xfId="0" applyFill="true" applyBorder="true" applyNumberFormat="true" applyFont="true"/>
    <xf numFmtId="0" fontId="5653" fillId="0" borderId="0" xfId="0" applyFill="true" applyBorder="true" applyNumberFormat="true" applyFont="true"/>
    <xf numFmtId="0" fontId="5654" fillId="0" borderId="0" xfId="0" applyFill="true" applyBorder="true" applyNumberFormat="true" applyFont="true"/>
    <xf numFmtId="0" fontId="5655" fillId="0" borderId="0" xfId="0" applyFill="true" applyBorder="true" applyNumberFormat="true" applyFont="true"/>
    <xf numFmtId="0" fontId="5656" fillId="0" borderId="0" xfId="0" applyFill="true" applyBorder="true" applyNumberFormat="true" applyFont="true"/>
    <xf numFmtId="0" fontId="5657" fillId="0" borderId="0" xfId="0" applyFill="true" applyBorder="true" applyNumberFormat="true" applyFont="true"/>
    <xf numFmtId="0" fontId="5658" fillId="0" borderId="0" xfId="0" applyFill="true" applyBorder="true" applyNumberFormat="true" applyFont="true"/>
    <xf numFmtId="0" fontId="5659" fillId="0" borderId="0" xfId="0" applyFill="true" applyBorder="true" applyNumberFormat="true" applyFont="true"/>
    <xf numFmtId="0" fontId="5660" fillId="0" borderId="0" xfId="0" applyFill="true" applyBorder="true" applyNumberFormat="true" applyFont="true"/>
    <xf numFmtId="0" fontId="5661" fillId="0" borderId="0" xfId="0" applyFill="true" applyBorder="true" applyNumberFormat="true" applyFont="true"/>
    <xf numFmtId="0" fontId="5662" fillId="0" borderId="0" xfId="0" applyFill="true" applyBorder="true" applyNumberFormat="true" applyFont="true"/>
    <xf numFmtId="0" fontId="5663" fillId="0" borderId="0" xfId="0" applyFill="true" applyBorder="true" applyNumberFormat="true" applyFont="true"/>
    <xf numFmtId="0" fontId="5664" fillId="0" borderId="0" xfId="0" applyFill="true" applyBorder="true" applyNumberFormat="true" applyFont="true"/>
    <xf numFmtId="0" fontId="5665" fillId="0" borderId="0" xfId="0" applyFill="true" applyBorder="true" applyNumberFormat="true" applyFont="true"/>
    <xf numFmtId="0" fontId="5666" fillId="0" borderId="0" xfId="0" applyFill="true" applyBorder="true" applyNumberFormat="true" applyFont="true"/>
    <xf numFmtId="0" fontId="5667" fillId="0" borderId="0" xfId="0" applyFill="true" applyBorder="true" applyNumberFormat="true" applyFont="true"/>
    <xf numFmtId="0" fontId="5668" fillId="0" borderId="0" xfId="0" applyFill="true" applyBorder="true" applyNumberFormat="true" applyFont="true"/>
    <xf numFmtId="0" fontId="5669" fillId="0" borderId="0" xfId="0" applyFill="true" applyBorder="true" applyNumberFormat="true" applyFont="true"/>
    <xf numFmtId="0" fontId="5670" fillId="0" borderId="0" xfId="0" applyFill="true" applyBorder="true" applyNumberFormat="true" applyFont="true"/>
    <xf numFmtId="0" fontId="5671" fillId="0" borderId="0" xfId="0" applyFill="true" applyBorder="true" applyNumberFormat="true" applyFont="true"/>
    <xf numFmtId="0" fontId="5672" fillId="0" borderId="0" xfId="0" applyFill="true" applyBorder="true" applyNumberFormat="true" applyFont="true"/>
    <xf numFmtId="0" fontId="5673" fillId="0" borderId="0" xfId="0" applyFill="true" applyBorder="true" applyNumberFormat="true" applyFont="true"/>
    <xf numFmtId="0" fontId="5674" fillId="0" borderId="0" xfId="0" applyFill="true" applyBorder="true" applyNumberFormat="true" applyFont="true"/>
    <xf numFmtId="0" fontId="5675" fillId="0" borderId="0" xfId="0" applyFill="true" applyBorder="true" applyNumberFormat="true" applyFont="true"/>
    <xf numFmtId="0" fontId="5676" fillId="0" borderId="0" xfId="0" applyFill="true" applyBorder="true" applyNumberFormat="true" applyFont="true"/>
    <xf numFmtId="0" fontId="5677" fillId="0" borderId="0" xfId="0" applyFill="true" applyBorder="true" applyNumberFormat="true" applyFont="true"/>
    <xf numFmtId="0" fontId="5678" fillId="0" borderId="0" xfId="0" applyFill="true" applyBorder="true" applyNumberFormat="true" applyFont="true"/>
    <xf numFmtId="0" fontId="5679" fillId="0" borderId="0" xfId="0" applyFill="true" applyBorder="true" applyNumberFormat="true" applyFont="true"/>
    <xf numFmtId="0" fontId="5680" fillId="0" borderId="0" xfId="0" applyFill="true" applyBorder="true" applyNumberFormat="true" applyFont="true"/>
    <xf numFmtId="0" fontId="5681" fillId="0" borderId="0" xfId="0" applyFill="true" applyBorder="true" applyNumberFormat="true" applyFont="true"/>
    <xf numFmtId="0" fontId="5682" fillId="0" borderId="0" xfId="0" applyFill="true" applyBorder="true" applyNumberFormat="true" applyFont="true"/>
    <xf numFmtId="0" fontId="5683" fillId="0" borderId="0" xfId="0" applyFill="true" applyBorder="true" applyNumberFormat="true" applyFont="true"/>
    <xf numFmtId="0" fontId="5684" fillId="0" borderId="0" xfId="0" applyFill="true" applyBorder="true" applyNumberFormat="true" applyFont="true"/>
    <xf numFmtId="0" fontId="5685" fillId="0" borderId="0" xfId="0" applyFill="true" applyBorder="true" applyNumberFormat="true" applyFont="true"/>
    <xf numFmtId="0" fontId="5686" fillId="0" borderId="0" xfId="0" applyFill="true" applyBorder="true" applyNumberFormat="true" applyFont="true"/>
    <xf numFmtId="0" fontId="5687" fillId="0" borderId="0" xfId="0" applyFill="true" applyBorder="true" applyNumberFormat="true" applyFont="true"/>
    <xf numFmtId="0" fontId="5688" fillId="0" borderId="0" xfId="0" applyFill="true" applyBorder="true" applyNumberFormat="true" applyFont="true"/>
    <xf numFmtId="0" fontId="5689" fillId="0" borderId="0" xfId="0" applyFill="true" applyBorder="true" applyNumberFormat="true" applyFont="true"/>
    <xf numFmtId="0" fontId="5690" fillId="0" borderId="0" xfId="0" applyFill="true" applyBorder="true" applyNumberFormat="true" applyFont="true"/>
    <xf numFmtId="0" fontId="5691" fillId="0" borderId="0" xfId="0" applyFill="true" applyBorder="true" applyNumberFormat="true" applyFont="true"/>
    <xf numFmtId="0" fontId="5692" fillId="0" borderId="0" xfId="0" applyFill="true" applyBorder="true" applyNumberFormat="true" applyFont="true"/>
    <xf numFmtId="0" fontId="5693" fillId="0" borderId="0" xfId="0" applyFill="true" applyBorder="true" applyNumberFormat="true" applyFont="true"/>
    <xf numFmtId="0" fontId="5694" fillId="0" borderId="0" xfId="0" applyFill="true" applyBorder="true" applyNumberFormat="true" applyFont="true"/>
    <xf numFmtId="0" fontId="5695" fillId="0" borderId="0" xfId="0" applyFill="true" applyBorder="true" applyNumberFormat="true" applyFont="true"/>
    <xf numFmtId="0" fontId="5696" fillId="0" borderId="0" xfId="0" applyFill="true" applyBorder="true" applyNumberFormat="true" applyFont="true"/>
    <xf numFmtId="0" fontId="5697" fillId="0" borderId="0" xfId="0" applyFill="true" applyBorder="true" applyNumberFormat="true" applyFont="true"/>
    <xf numFmtId="0" fontId="5698" fillId="0" borderId="0" xfId="0" applyFill="true" applyBorder="true" applyNumberFormat="true" applyFont="true"/>
    <xf numFmtId="0" fontId="5699" fillId="0" borderId="0" xfId="0" applyFill="true" applyBorder="true" applyNumberFormat="true" applyFont="true"/>
    <xf numFmtId="0" fontId="5700" fillId="0" borderId="0" xfId="0" applyFill="true" applyBorder="true" applyNumberFormat="true" applyFont="true"/>
    <xf numFmtId="0" fontId="5701" fillId="0" borderId="0" xfId="0" applyFill="true" applyBorder="true" applyNumberFormat="true" applyFont="true"/>
    <xf numFmtId="0" fontId="5702" fillId="0" borderId="0" xfId="0" applyFill="true" applyBorder="true" applyNumberFormat="true" applyFont="true"/>
    <xf numFmtId="0" fontId="5703" fillId="0" borderId="0" xfId="0" applyFill="true" applyBorder="true" applyNumberFormat="true" applyFont="true"/>
    <xf numFmtId="0" fontId="5704" fillId="0" borderId="0" xfId="0" applyFill="true" applyBorder="true" applyNumberFormat="true" applyFont="true"/>
    <xf numFmtId="0" fontId="5705" fillId="0" borderId="0" xfId="0" applyFill="true" applyBorder="true" applyNumberFormat="true" applyFont="true"/>
    <xf numFmtId="0" fontId="5706" fillId="0" borderId="0" xfId="0" applyFill="true" applyBorder="true" applyNumberFormat="true" applyFont="true"/>
    <xf numFmtId="0" fontId="5707" fillId="0" borderId="0" xfId="0" applyFill="true" applyBorder="true" applyNumberFormat="true" applyFont="true"/>
    <xf numFmtId="0" fontId="5708" fillId="0" borderId="0" xfId="0" applyFill="true" applyBorder="true" applyNumberFormat="true" applyFont="true"/>
    <xf numFmtId="0" fontId="5709" fillId="0" borderId="0" xfId="0" applyFill="true" applyBorder="true" applyNumberFormat="true" applyFont="true"/>
    <xf numFmtId="0" fontId="5710" fillId="0" borderId="0" xfId="0" applyFill="true" applyBorder="true" applyNumberFormat="true" applyFont="true"/>
    <xf numFmtId="0" fontId="5711" fillId="0" borderId="0" xfId="0" applyFill="true" applyBorder="true" applyNumberFormat="true" applyFont="true"/>
    <xf numFmtId="0" fontId="5712" fillId="0" borderId="0" xfId="0" applyFill="true" applyBorder="true" applyNumberFormat="true" applyFont="true"/>
    <xf numFmtId="0" fontId="5713" fillId="0" borderId="0" xfId="0" applyFill="true" applyBorder="true" applyNumberFormat="true" applyFont="true"/>
    <xf numFmtId="0" fontId="5714" fillId="0" borderId="0" xfId="0" applyFill="true" applyBorder="true" applyNumberFormat="true" applyFont="true"/>
    <xf numFmtId="0" fontId="5715" fillId="0" borderId="0" xfId="0" applyFill="true" applyBorder="true" applyNumberFormat="true" applyFont="true"/>
    <xf numFmtId="0" fontId="5716" fillId="0" borderId="0" xfId="0" applyFill="true" applyBorder="true" applyNumberFormat="true" applyFont="true"/>
    <xf numFmtId="0" fontId="5717" fillId="0" borderId="0" xfId="0" applyFill="true" applyBorder="true" applyNumberFormat="true" applyFont="true"/>
    <xf numFmtId="0" fontId="5718" fillId="0" borderId="0" xfId="0" applyFill="true" applyBorder="true" applyNumberFormat="true" applyFont="true"/>
    <xf numFmtId="0" fontId="5719" fillId="0" borderId="0" xfId="0" applyFill="true" applyBorder="true" applyNumberFormat="true" applyFont="true"/>
    <xf numFmtId="0" fontId="5720" fillId="0" borderId="0" xfId="0" applyFill="true" applyBorder="true" applyNumberFormat="true" applyFont="true"/>
    <xf numFmtId="0" fontId="5721" fillId="0" borderId="0" xfId="0" applyFill="true" applyBorder="true" applyNumberFormat="true" applyFont="true"/>
    <xf numFmtId="0" fontId="5722" fillId="0" borderId="0" xfId="0" applyFill="true" applyBorder="true" applyNumberFormat="true" applyFont="true"/>
    <xf numFmtId="0" fontId="5723" fillId="0" borderId="0" xfId="0" applyFill="true" applyBorder="true" applyNumberFormat="true" applyFont="true"/>
    <xf numFmtId="0" fontId="5724" fillId="0" borderId="0" xfId="0" applyFill="true" applyBorder="true" applyNumberFormat="true" applyFont="true"/>
    <xf numFmtId="0" fontId="5725" fillId="0" borderId="0" xfId="0" applyFill="true" applyBorder="true" applyNumberFormat="true" applyFont="true"/>
    <xf numFmtId="0" fontId="5726" fillId="0" borderId="0" xfId="0" applyFill="true" applyBorder="true" applyNumberFormat="true" applyFont="true"/>
    <xf numFmtId="0" fontId="5727" fillId="0" borderId="0" xfId="0" applyFill="true" applyBorder="true" applyNumberFormat="true" applyFont="true"/>
    <xf numFmtId="0" fontId="5728" fillId="0" borderId="0" xfId="0" applyFill="true" applyBorder="true" applyNumberFormat="true" applyFont="true"/>
    <xf numFmtId="0" fontId="5729" fillId="0" borderId="0" xfId="0" applyFill="true" applyBorder="true" applyNumberFormat="true" applyFont="true"/>
    <xf numFmtId="0" fontId="5730" fillId="0" borderId="0" xfId="0" applyFill="true" applyBorder="true" applyNumberFormat="true" applyFont="true"/>
    <xf numFmtId="0" fontId="5731" fillId="0" borderId="0" xfId="0" applyFill="true" applyBorder="true" applyNumberFormat="true" applyFont="true"/>
    <xf numFmtId="0" fontId="5732" fillId="0" borderId="0" xfId="0" applyFill="true" applyBorder="true" applyNumberFormat="true" applyFont="true"/>
    <xf numFmtId="0" fontId="5733" fillId="0" borderId="0" xfId="0" applyFill="true" applyBorder="true" applyNumberFormat="true" applyFont="true"/>
    <xf numFmtId="0" fontId="5734" fillId="0" borderId="0" xfId="0" applyFill="true" applyBorder="true" applyNumberFormat="true" applyFont="true"/>
    <xf numFmtId="0" fontId="5735" fillId="0" borderId="0" xfId="0" applyFill="true" applyBorder="true" applyNumberFormat="true" applyFont="true"/>
    <xf numFmtId="0" fontId="5736" fillId="0" borderId="0" xfId="0" applyFill="true" applyBorder="true" applyNumberFormat="true" applyFont="true"/>
    <xf numFmtId="0" fontId="5737" fillId="0" borderId="0" xfId="0" applyFill="true" applyBorder="true" applyNumberFormat="true" applyFont="true"/>
    <xf numFmtId="0" fontId="5738" fillId="0" borderId="0" xfId="0" applyFill="true" applyBorder="true" applyNumberFormat="true" applyFont="true"/>
    <xf numFmtId="0" fontId="5739" fillId="0" borderId="0" xfId="0" applyFill="true" applyBorder="true" applyNumberFormat="true" applyFont="true"/>
    <xf numFmtId="0" fontId="5740" fillId="0" borderId="0" xfId="0" applyFill="true" applyBorder="true" applyNumberFormat="true" applyFont="true"/>
    <xf numFmtId="0" fontId="5741" fillId="0" borderId="0" xfId="0" applyFill="true" applyBorder="true" applyNumberFormat="true" applyFont="true"/>
    <xf numFmtId="0" fontId="5742" fillId="0" borderId="0" xfId="0" applyFill="true" applyBorder="true" applyNumberFormat="true" applyFont="true"/>
    <xf numFmtId="0" fontId="5743" fillId="0" borderId="0" xfId="0" applyFill="true" applyBorder="true" applyNumberFormat="true" applyFont="true"/>
    <xf numFmtId="0" fontId="5744" fillId="0" borderId="0" xfId="0" applyFill="true" applyBorder="true" applyNumberFormat="true" applyFont="true"/>
    <xf numFmtId="0" fontId="5745" fillId="0" borderId="0" xfId="0" applyFill="true" applyBorder="true" applyNumberFormat="true" applyFont="true"/>
    <xf numFmtId="0" fontId="5746" fillId="0" borderId="0" xfId="0" applyFill="true" applyBorder="true" applyNumberFormat="true" applyFont="true"/>
    <xf numFmtId="0" fontId="5747" fillId="0" borderId="0" xfId="0" applyFill="true" applyBorder="true" applyNumberFormat="true" applyFont="true"/>
    <xf numFmtId="0" fontId="5748" fillId="0" borderId="0" xfId="0" applyFill="true" applyBorder="true" applyNumberFormat="true" applyFont="true"/>
    <xf numFmtId="0" fontId="5749" fillId="0" borderId="0" xfId="0" applyFill="true" applyBorder="true" applyNumberFormat="true" applyFont="true"/>
    <xf numFmtId="0" fontId="5750" fillId="0" borderId="0" xfId="0" applyFill="true" applyBorder="true" applyNumberFormat="true" applyFont="true"/>
    <xf numFmtId="0" fontId="5751" fillId="0" borderId="0" xfId="0" applyFill="true" applyBorder="true" applyNumberFormat="true" applyFont="true"/>
    <xf numFmtId="0" fontId="5752" fillId="0" borderId="0" xfId="0" applyFill="true" applyBorder="true" applyNumberFormat="true" applyFont="true"/>
    <xf numFmtId="0" fontId="5753" fillId="0" borderId="0" xfId="0" applyFill="true" applyBorder="true" applyNumberFormat="true" applyFont="true"/>
    <xf numFmtId="0" fontId="5754" fillId="0" borderId="0" xfId="0" applyFill="true" applyBorder="true" applyNumberFormat="true" applyFont="true"/>
    <xf numFmtId="0" fontId="5755" fillId="0" borderId="0" xfId="0" applyFill="true" applyBorder="true" applyNumberFormat="true" applyFont="true"/>
    <xf numFmtId="0" fontId="5756" fillId="0" borderId="0" xfId="0" applyFill="true" applyBorder="true" applyNumberFormat="true" applyFont="true"/>
    <xf numFmtId="0" fontId="5757" fillId="0" borderId="0" xfId="0" applyFill="true" applyBorder="true" applyNumberFormat="true" applyFont="true"/>
    <xf numFmtId="0" fontId="5758" fillId="0" borderId="0" xfId="0" applyFill="true" applyBorder="true" applyNumberFormat="true" applyFont="true"/>
    <xf numFmtId="0" fontId="5759" fillId="0" borderId="0" xfId="0" applyFill="true" applyBorder="true" applyNumberFormat="true" applyFont="true"/>
    <xf numFmtId="0" fontId="5760" fillId="0" borderId="0" xfId="0" applyFill="true" applyBorder="true" applyNumberFormat="true" applyFont="true"/>
    <xf numFmtId="0" fontId="5761" fillId="0" borderId="0" xfId="0" applyFill="true" applyBorder="true" applyNumberFormat="true" applyFont="true"/>
    <xf numFmtId="0" fontId="5762" fillId="0" borderId="0" xfId="0" applyFill="true" applyBorder="true" applyNumberFormat="true" applyFont="true"/>
    <xf numFmtId="0" fontId="5763" fillId="0" borderId="0" xfId="0" applyFill="true" applyBorder="true" applyNumberFormat="true" applyFont="true"/>
    <xf numFmtId="0" fontId="5764" fillId="0" borderId="0" xfId="0" applyFill="true" applyBorder="true" applyNumberFormat="true" applyFont="true"/>
    <xf numFmtId="0" fontId="5765" fillId="0" borderId="0" xfId="0" applyFill="true" applyBorder="true" applyNumberFormat="true" applyFont="true"/>
    <xf numFmtId="0" fontId="5766" fillId="0" borderId="0" xfId="0" applyFill="true" applyBorder="true" applyNumberFormat="true" applyFont="true"/>
    <xf numFmtId="0" fontId="5767" fillId="0" borderId="0" xfId="0" applyFill="true" applyBorder="true" applyNumberFormat="true" applyFont="true"/>
    <xf numFmtId="0" fontId="5768" fillId="0" borderId="0" xfId="0" applyFill="true" applyBorder="true" applyNumberFormat="true" applyFont="true"/>
    <xf numFmtId="0" fontId="5769" fillId="0" borderId="0" xfId="0" applyFill="true" applyBorder="true" applyNumberFormat="true" applyFont="true"/>
    <xf numFmtId="0" fontId="5770" fillId="0" borderId="0" xfId="0" applyFill="true" applyBorder="true" applyNumberFormat="true" applyFont="true"/>
    <xf numFmtId="0" fontId="5771" fillId="0" borderId="0" xfId="0" applyFill="true" applyBorder="true" applyNumberFormat="true" applyFont="true"/>
    <xf numFmtId="0" fontId="5772" fillId="0" borderId="0" xfId="0" applyFill="true" applyBorder="true" applyNumberFormat="true" applyFont="true"/>
    <xf numFmtId="0" fontId="5773" fillId="0" borderId="0" xfId="0" applyFill="true" applyBorder="true" applyNumberFormat="true" applyFont="true"/>
    <xf numFmtId="0" fontId="5774" fillId="0" borderId="0" xfId="0" applyFill="true" applyBorder="true" applyNumberFormat="true" applyFont="true"/>
    <xf numFmtId="0" fontId="5775" fillId="0" borderId="0" xfId="0" applyFill="true" applyBorder="true" applyNumberFormat="true" applyFont="true"/>
    <xf numFmtId="0" fontId="5776" fillId="0" borderId="0" xfId="0" applyFill="true" applyBorder="true" applyNumberFormat="true" applyFont="true"/>
    <xf numFmtId="0" fontId="5777" fillId="0" borderId="0" xfId="0" applyFill="true" applyBorder="true" applyNumberFormat="true" applyFont="true"/>
    <xf numFmtId="0" fontId="5778" fillId="0" borderId="0" xfId="0" applyFill="true" applyBorder="true" applyNumberFormat="true" applyFont="true"/>
    <xf numFmtId="0" fontId="5779" fillId="0" borderId="0" xfId="0" applyFill="true" applyBorder="true" applyNumberFormat="true" applyFont="true"/>
    <xf numFmtId="0" fontId="5780" fillId="0" borderId="0" xfId="0" applyFill="true" applyBorder="true" applyNumberFormat="true" applyFont="true"/>
    <xf numFmtId="0" fontId="5781" fillId="0" borderId="0" xfId="0" applyFill="true" applyBorder="true" applyNumberFormat="true" applyFont="true"/>
    <xf numFmtId="0" fontId="5782" fillId="0" borderId="0" xfId="0" applyFill="true" applyBorder="true" applyNumberFormat="true" applyFont="true"/>
    <xf numFmtId="0" fontId="5783" fillId="0" borderId="0" xfId="0" applyFill="true" applyBorder="true" applyNumberFormat="true" applyFont="true"/>
    <xf numFmtId="0" fontId="5784" fillId="0" borderId="0" xfId="0" applyFill="true" applyBorder="true" applyNumberFormat="true" applyFont="true"/>
    <xf numFmtId="0" fontId="5785" fillId="0" borderId="0" xfId="0" applyFill="true" applyBorder="true" applyNumberFormat="true" applyFont="true"/>
    <xf numFmtId="0" fontId="5786" fillId="0" borderId="0" xfId="0" applyFill="true" applyBorder="true" applyNumberFormat="true" applyFont="true"/>
    <xf numFmtId="0" fontId="5787" fillId="0" borderId="0" xfId="0" applyFill="true" applyBorder="true" applyNumberFormat="true" applyFont="true"/>
    <xf numFmtId="0" fontId="5788" fillId="0" borderId="0" xfId="0" applyFill="true" applyBorder="true" applyNumberFormat="true" applyFont="true"/>
    <xf numFmtId="0" fontId="5789" fillId="0" borderId="0" xfId="0" applyFill="true" applyBorder="true" applyNumberFormat="true" applyFont="true"/>
    <xf numFmtId="0" fontId="5790" fillId="0" borderId="0" xfId="0" applyFill="true" applyBorder="true" applyNumberFormat="true" applyFont="true"/>
    <xf numFmtId="0" fontId="5791" fillId="0" borderId="0" xfId="0" applyFill="true" applyBorder="true" applyNumberFormat="true" applyFont="true"/>
    <xf numFmtId="0" fontId="5792" fillId="0" borderId="0" xfId="0" applyFill="true" applyBorder="true" applyNumberFormat="true" applyFont="true"/>
    <xf numFmtId="0" fontId="5793" fillId="0" borderId="0" xfId="0" applyFill="true" applyBorder="true" applyNumberFormat="true" applyFont="true"/>
    <xf numFmtId="0" fontId="5794" fillId="0" borderId="0" xfId="0" applyFill="true" applyBorder="true" applyNumberFormat="true" applyFont="true"/>
    <xf numFmtId="0" fontId="5795" fillId="0" borderId="0" xfId="0" applyFill="true" applyBorder="true" applyNumberFormat="true" applyFont="true"/>
    <xf numFmtId="0" fontId="5796" fillId="0" borderId="0" xfId="0" applyFill="true" applyBorder="true" applyNumberFormat="true" applyFont="true"/>
    <xf numFmtId="0" fontId="5797" fillId="0" borderId="0" xfId="0" applyFill="true" applyBorder="true" applyNumberFormat="true" applyFont="true"/>
    <xf numFmtId="0" fontId="5798" fillId="0" borderId="0" xfId="0" applyFill="true" applyBorder="true" applyNumberFormat="true" applyFont="true"/>
    <xf numFmtId="0" fontId="5799" fillId="0" borderId="0" xfId="0" applyFill="true" applyBorder="true" applyNumberFormat="true" applyFont="true"/>
    <xf numFmtId="0" fontId="5800" fillId="0" borderId="0" xfId="0" applyFill="true" applyBorder="true" applyNumberFormat="true" applyFont="true"/>
    <xf numFmtId="0" fontId="5801" fillId="0" borderId="0" xfId="0" applyFill="true" applyBorder="true" applyNumberFormat="true" applyFont="true"/>
    <xf numFmtId="0" fontId="5802" fillId="0" borderId="0" xfId="0" applyFill="true" applyBorder="true" applyNumberFormat="true" applyFont="true"/>
    <xf numFmtId="0" fontId="5803" fillId="0" borderId="0" xfId="0" applyFill="true" applyBorder="true" applyNumberFormat="true" applyFont="true"/>
    <xf numFmtId="0" fontId="5804" fillId="0" borderId="0" xfId="0" applyFill="true" applyBorder="true" applyNumberFormat="true" applyFont="true"/>
    <xf numFmtId="0" fontId="5805" fillId="0" borderId="0" xfId="0" applyFill="true" applyBorder="true" applyNumberFormat="true" applyFont="true"/>
    <xf numFmtId="0" fontId="5806" fillId="0" borderId="0" xfId="0" applyFill="true" applyBorder="true" applyNumberFormat="true" applyFont="true"/>
    <xf numFmtId="0" fontId="5807" fillId="0" borderId="0" xfId="0" applyFill="true" applyBorder="true" applyNumberFormat="true" applyFont="true"/>
    <xf numFmtId="0" fontId="5808" fillId="0" borderId="0" xfId="0" applyFill="true" applyBorder="true" applyNumberFormat="true" applyFont="true"/>
    <xf numFmtId="0" fontId="5809" fillId="0" borderId="0" xfId="0" applyFill="true" applyBorder="true" applyNumberFormat="true" applyFont="true"/>
    <xf numFmtId="0" fontId="5810" fillId="0" borderId="0" xfId="0" applyFill="true" applyBorder="true" applyNumberFormat="true" applyFont="true"/>
    <xf numFmtId="0" fontId="5811" fillId="0" borderId="0" xfId="0" applyFill="true" applyBorder="true" applyNumberFormat="true" applyFont="true"/>
    <xf numFmtId="0" fontId="5812" fillId="0" borderId="0" xfId="0" applyFill="true" applyBorder="true" applyNumberFormat="true" applyFont="true"/>
    <xf numFmtId="0" fontId="5813" fillId="0" borderId="0" xfId="0" applyFill="true" applyBorder="true" applyNumberFormat="true" applyFont="true"/>
    <xf numFmtId="0" fontId="5814" fillId="0" borderId="0" xfId="0" applyFill="true" applyBorder="true" applyNumberFormat="true" applyFont="true"/>
    <xf numFmtId="0" fontId="5815" fillId="0" borderId="0" xfId="0" applyFill="true" applyBorder="true" applyNumberFormat="true" applyFont="true"/>
    <xf numFmtId="0" fontId="5816" fillId="0" borderId="0" xfId="0" applyFill="true" applyBorder="true" applyNumberFormat="true" applyFont="true"/>
    <xf numFmtId="0" fontId="5817" fillId="0" borderId="0" xfId="0" applyFill="true" applyBorder="true" applyNumberFormat="true" applyFont="true"/>
    <xf numFmtId="0" fontId="5818" fillId="0" borderId="0" xfId="0" applyFill="true" applyBorder="true" applyNumberFormat="true" applyFont="true"/>
    <xf numFmtId="0" fontId="5819" fillId="0" borderId="0" xfId="0" applyFill="true" applyBorder="true" applyNumberFormat="true" applyFont="true"/>
    <xf numFmtId="0" fontId="5820" fillId="0" borderId="0" xfId="0" applyFill="true" applyBorder="true" applyNumberFormat="true" applyFont="true"/>
    <xf numFmtId="0" fontId="5821" fillId="0" borderId="0" xfId="0" applyFill="true" applyBorder="true" applyNumberFormat="true" applyFont="true"/>
    <xf numFmtId="0" fontId="5822" fillId="0" borderId="0" xfId="0" applyFill="true" applyBorder="true" applyNumberFormat="true" applyFont="true"/>
    <xf numFmtId="0" fontId="5823" fillId="0" borderId="0" xfId="0" applyFill="true" applyBorder="true" applyNumberFormat="true" applyFont="true"/>
    <xf numFmtId="0" fontId="5824" fillId="0" borderId="0" xfId="0" applyFill="true" applyBorder="true" applyNumberFormat="true" applyFont="true"/>
    <xf numFmtId="0" fontId="5825" fillId="0" borderId="0" xfId="0" applyFill="true" applyBorder="true" applyNumberFormat="true" applyFont="true"/>
    <xf numFmtId="0" fontId="5826" fillId="0" borderId="0" xfId="0" applyFill="true" applyBorder="true" applyNumberFormat="true" applyFont="true"/>
    <xf numFmtId="0" fontId="5827" fillId="0" borderId="0" xfId="0" applyFill="true" applyBorder="true" applyNumberFormat="true" applyFont="true"/>
    <xf numFmtId="0" fontId="5828" fillId="0" borderId="0" xfId="0" applyFill="true" applyBorder="true" applyNumberFormat="true" applyFont="true"/>
    <xf numFmtId="0" fontId="5829" fillId="0" borderId="0" xfId="0" applyFill="true" applyBorder="true" applyNumberFormat="true" applyFont="true"/>
    <xf numFmtId="0" fontId="5830" fillId="0" borderId="0" xfId="0" applyFill="true" applyBorder="true" applyNumberFormat="true" applyFont="true"/>
    <xf numFmtId="0" fontId="5831" fillId="0" borderId="0" xfId="0" applyFill="true" applyBorder="true" applyNumberFormat="true" applyFont="true"/>
    <xf numFmtId="0" fontId="5832" fillId="0" borderId="0" xfId="0" applyFill="true" applyBorder="true" applyNumberFormat="true" applyFont="true"/>
    <xf numFmtId="0" fontId="5833" fillId="0" borderId="0" xfId="0" applyFill="true" applyBorder="true" applyNumberFormat="true" applyFont="true"/>
    <xf numFmtId="0" fontId="5834" fillId="0" borderId="0" xfId="0" applyFill="true" applyBorder="true" applyNumberFormat="true" applyFont="true"/>
    <xf numFmtId="0" fontId="5835" fillId="0" borderId="0" xfId="0" applyFill="true" applyBorder="true" applyNumberFormat="true" applyFont="true"/>
    <xf numFmtId="0" fontId="5836" fillId="0" borderId="0" xfId="0" applyFill="true" applyBorder="true" applyNumberFormat="true" applyFont="true"/>
    <xf numFmtId="0" fontId="5837" fillId="0" borderId="0" xfId="0" applyFill="true" applyBorder="true" applyNumberFormat="true" applyFont="true"/>
    <xf numFmtId="0" fontId="5838" fillId="0" borderId="0" xfId="0" applyFill="true" applyBorder="true" applyNumberFormat="true" applyFont="true"/>
    <xf numFmtId="0" fontId="5839" fillId="0" borderId="0" xfId="0" applyFill="true" applyBorder="true" applyNumberFormat="true" applyFont="true"/>
    <xf numFmtId="0" fontId="5840" fillId="0" borderId="0" xfId="0" applyFill="true" applyBorder="true" applyNumberFormat="true" applyFont="true"/>
    <xf numFmtId="0" fontId="5841" fillId="0" borderId="0" xfId="0" applyFill="true" applyBorder="true" applyNumberFormat="true" applyFont="true"/>
    <xf numFmtId="0" fontId="5842" fillId="0" borderId="0" xfId="0" applyFill="true" applyBorder="true" applyNumberFormat="true" applyFont="true"/>
    <xf numFmtId="0" fontId="5843" fillId="0" borderId="0" xfId="0" applyFill="true" applyBorder="true" applyNumberFormat="true" applyFont="true"/>
    <xf numFmtId="0" fontId="5844" fillId="0" borderId="0" xfId="0" applyFill="true" applyBorder="true" applyNumberFormat="true" applyFont="true"/>
    <xf numFmtId="0" fontId="5845" fillId="0" borderId="0" xfId="0" applyFill="true" applyBorder="true" applyNumberFormat="true" applyFont="true"/>
    <xf numFmtId="0" fontId="5846" fillId="0" borderId="0" xfId="0" applyFill="true" applyBorder="true" applyNumberFormat="true" applyFont="true"/>
    <xf numFmtId="0" fontId="5847" fillId="0" borderId="0" xfId="0" applyFill="true" applyBorder="true" applyNumberFormat="true" applyFont="true"/>
    <xf numFmtId="0" fontId="5848" fillId="0" borderId="0" xfId="0" applyFill="true" applyBorder="true" applyNumberFormat="true" applyFont="true"/>
    <xf numFmtId="0" fontId="5849" fillId="0" borderId="0" xfId="0" applyFill="true" applyBorder="true" applyNumberFormat="true" applyFont="true"/>
    <xf numFmtId="0" fontId="5850" fillId="0" borderId="0" xfId="0" applyFill="true" applyBorder="true" applyNumberFormat="true" applyFont="true"/>
    <xf numFmtId="0" fontId="5851" fillId="0" borderId="0" xfId="0" applyFill="true" applyBorder="true" applyNumberFormat="true" applyFont="true"/>
    <xf numFmtId="0" fontId="5852" fillId="0" borderId="0" xfId="0" applyFill="true" applyBorder="true" applyNumberFormat="true" applyFont="true"/>
    <xf numFmtId="0" fontId="5853" fillId="0" borderId="0" xfId="0" applyFill="true" applyBorder="true" applyNumberFormat="true" applyFont="true"/>
    <xf numFmtId="0" fontId="5854" fillId="0" borderId="0" xfId="0" applyFill="true" applyBorder="true" applyNumberFormat="true" applyFont="true"/>
    <xf numFmtId="0" fontId="5855" fillId="0" borderId="0" xfId="0" applyFill="true" applyBorder="true" applyNumberFormat="true" applyFont="true"/>
    <xf numFmtId="0" fontId="5856" fillId="0" borderId="0" xfId="0" applyFill="true" applyBorder="true" applyNumberFormat="true" applyFont="true"/>
    <xf numFmtId="0" fontId="5857" fillId="0" borderId="0" xfId="0" applyFill="true" applyBorder="true" applyNumberFormat="true" applyFont="true"/>
    <xf numFmtId="0" fontId="5858" fillId="0" borderId="0" xfId="0" applyFill="true" applyBorder="true" applyNumberFormat="true" applyFont="true"/>
    <xf numFmtId="0" fontId="5859" fillId="0" borderId="0" xfId="0" applyFill="true" applyBorder="true" applyNumberFormat="true" applyFont="true"/>
    <xf numFmtId="0" fontId="5860" fillId="0" borderId="0" xfId="0" applyFill="true" applyBorder="true" applyNumberFormat="true" applyFont="true"/>
    <xf numFmtId="0" fontId="5861" fillId="0" borderId="0" xfId="0" applyFill="true" applyBorder="true" applyNumberFormat="true" applyFont="true"/>
    <xf numFmtId="0" fontId="5862" fillId="0" borderId="0" xfId="0" applyFill="true" applyBorder="true" applyNumberFormat="true" applyFont="true"/>
    <xf numFmtId="0" fontId="5863" fillId="0" borderId="0" xfId="0" applyFill="true" applyBorder="true" applyNumberFormat="true" applyFont="true"/>
    <xf numFmtId="0" fontId="5864" fillId="0" borderId="0" xfId="0" applyFill="true" applyBorder="true" applyNumberFormat="true" applyFont="true"/>
    <xf numFmtId="0" fontId="5865" fillId="0" borderId="0" xfId="0" applyFill="true" applyBorder="true" applyNumberFormat="true" applyFont="true"/>
    <xf numFmtId="0" fontId="5866" fillId="0" borderId="0" xfId="0" applyFill="true" applyBorder="true" applyNumberFormat="true" applyFont="true"/>
    <xf numFmtId="0" fontId="5867" fillId="0" borderId="0" xfId="0" applyFill="true" applyBorder="true" applyNumberFormat="true" applyFont="true"/>
    <xf numFmtId="0" fontId="5868" fillId="0" borderId="0" xfId="0" applyFill="true" applyBorder="true" applyNumberFormat="true" applyFont="true"/>
    <xf numFmtId="0" fontId="5869" fillId="0" borderId="0" xfId="0" applyFill="true" applyBorder="true" applyNumberFormat="true" applyFont="true"/>
    <xf numFmtId="0" fontId="5870" fillId="0" borderId="0" xfId="0" applyFill="true" applyBorder="true" applyNumberFormat="true" applyFont="true"/>
    <xf numFmtId="0" fontId="5871" fillId="0" borderId="0" xfId="0" applyFill="true" applyBorder="true" applyNumberFormat="true" applyFont="true"/>
    <xf numFmtId="0" fontId="5872" fillId="0" borderId="0" xfId="0" applyFill="true" applyBorder="true" applyNumberFormat="true" applyFont="true"/>
    <xf numFmtId="0" fontId="5873" fillId="0" borderId="0" xfId="0" applyFill="true" applyBorder="true" applyNumberFormat="true" applyFont="true"/>
    <xf numFmtId="0" fontId="5874" fillId="0" borderId="0" xfId="0" applyFill="true" applyBorder="true" applyNumberFormat="true" applyFont="true"/>
    <xf numFmtId="0" fontId="5875" fillId="0" borderId="0" xfId="0" applyFill="true" applyBorder="true" applyNumberFormat="true" applyFont="true"/>
    <xf numFmtId="0" fontId="5876" fillId="0" borderId="0" xfId="0" applyFill="true" applyBorder="true" applyNumberFormat="true" applyFont="true"/>
    <xf numFmtId="0" fontId="5877" fillId="0" borderId="0" xfId="0" applyFill="true" applyBorder="true" applyNumberFormat="true" applyFont="true"/>
    <xf numFmtId="0" fontId="5878" fillId="0" borderId="0" xfId="0" applyFill="true" applyBorder="true" applyNumberFormat="true" applyFont="true"/>
    <xf numFmtId="0" fontId="5879" fillId="0" borderId="0" xfId="0" applyFill="true" applyBorder="true" applyNumberFormat="true" applyFont="true"/>
    <xf numFmtId="0" fontId="5880" fillId="0" borderId="0" xfId="0" applyFill="true" applyBorder="true" applyNumberFormat="true" applyFont="true"/>
    <xf numFmtId="0" fontId="5881" fillId="0" borderId="0" xfId="0" applyFill="true" applyBorder="true" applyNumberFormat="true" applyFont="true"/>
    <xf numFmtId="0" fontId="5882" fillId="0" borderId="0" xfId="0" applyFill="true" applyBorder="true" applyNumberFormat="true" applyFont="true"/>
    <xf numFmtId="0" fontId="5883" fillId="0" borderId="0" xfId="0" applyFill="true" applyBorder="true" applyNumberFormat="true" applyFont="true"/>
    <xf numFmtId="0" fontId="5884" fillId="0" borderId="0" xfId="0" applyFill="true" applyBorder="true" applyNumberFormat="true" applyFont="true"/>
    <xf numFmtId="0" fontId="5885" fillId="0" borderId="0" xfId="0" applyFill="true" applyBorder="true" applyNumberFormat="true" applyFont="true"/>
    <xf numFmtId="0" fontId="5886" fillId="0" borderId="0" xfId="0" applyFill="true" applyBorder="true" applyNumberFormat="true" applyFont="true"/>
    <xf numFmtId="0" fontId="5887" fillId="0" borderId="0" xfId="0" applyFill="true" applyBorder="true" applyNumberFormat="true" applyFont="true"/>
    <xf numFmtId="0" fontId="5888" fillId="0" borderId="0" xfId="0" applyFill="true" applyBorder="true" applyNumberFormat="true" applyFont="true"/>
    <xf numFmtId="0" fontId="5889" fillId="0" borderId="0" xfId="0" applyFill="true" applyBorder="true" applyNumberFormat="true" applyFont="true"/>
    <xf numFmtId="0" fontId="5890" fillId="0" borderId="0" xfId="0" applyFill="true" applyBorder="true" applyNumberFormat="true" applyFont="true"/>
    <xf numFmtId="0" fontId="5891" fillId="0" borderId="0" xfId="0" applyFill="true" applyBorder="true" applyNumberFormat="true" applyFont="true"/>
    <xf numFmtId="0" fontId="5892" fillId="0" borderId="0" xfId="0" applyFill="true" applyBorder="true" applyNumberFormat="true" applyFont="true"/>
    <xf numFmtId="0" fontId="5893" fillId="0" borderId="0" xfId="0" applyFill="true" applyBorder="true" applyNumberFormat="true" applyFont="true"/>
    <xf numFmtId="0" fontId="5894" fillId="0" borderId="0" xfId="0" applyFill="true" applyBorder="true" applyNumberFormat="true" applyFont="true"/>
    <xf numFmtId="0" fontId="5895" fillId="0" borderId="0" xfId="0" applyFill="true" applyBorder="true" applyNumberFormat="true" applyFont="true"/>
    <xf numFmtId="0" fontId="5896" fillId="0" borderId="0" xfId="0" applyFill="true" applyBorder="true" applyNumberFormat="true" applyFont="true"/>
    <xf numFmtId="0" fontId="5897" fillId="0" borderId="0" xfId="0" applyFill="true" applyBorder="true" applyNumberFormat="true" applyFont="true"/>
    <xf numFmtId="0" fontId="5898" fillId="0" borderId="0" xfId="0" applyFill="true" applyBorder="true" applyNumberFormat="true" applyFont="true"/>
    <xf numFmtId="0" fontId="5899" fillId="0" borderId="0" xfId="0" applyFill="true" applyBorder="true" applyNumberFormat="true" applyFont="true"/>
    <xf numFmtId="0" fontId="5900" fillId="0" borderId="0" xfId="0" applyFill="true" applyBorder="true" applyNumberFormat="true" applyFont="true"/>
    <xf numFmtId="0" fontId="5901" fillId="0" borderId="0" xfId="0" applyFill="true" applyBorder="true" applyNumberFormat="true" applyFont="true"/>
    <xf numFmtId="0" fontId="5902" fillId="0" borderId="0" xfId="0" applyFill="true" applyBorder="true" applyNumberFormat="true" applyFont="true"/>
    <xf numFmtId="0" fontId="5903" fillId="0" borderId="0" xfId="0" applyFill="true" applyBorder="true" applyNumberFormat="true" applyFont="true"/>
    <xf numFmtId="0" fontId="5904" fillId="0" borderId="0" xfId="0" applyFill="true" applyBorder="true" applyNumberFormat="true" applyFont="true"/>
    <xf numFmtId="0" fontId="5905" fillId="0" borderId="0" xfId="0" applyFill="true" applyBorder="true" applyNumberFormat="true" applyFont="true"/>
    <xf numFmtId="0" fontId="5906" fillId="0" borderId="0" xfId="0" applyFill="true" applyBorder="true" applyNumberFormat="true" applyFont="true"/>
    <xf numFmtId="0" fontId="5907" fillId="0" borderId="0" xfId="0" applyFill="true" applyBorder="true" applyNumberFormat="true" applyFont="true"/>
    <xf numFmtId="0" fontId="5908" fillId="0" borderId="0" xfId="0" applyFill="true" applyBorder="true" applyNumberFormat="true" applyFont="true"/>
    <xf numFmtId="0" fontId="5909" fillId="0" borderId="0" xfId="0" applyFill="true" applyBorder="true" applyNumberFormat="true" applyFont="true"/>
    <xf numFmtId="0" fontId="5910" fillId="0" borderId="0" xfId="0" applyFill="true" applyBorder="true" applyNumberFormat="true" applyFont="true"/>
    <xf numFmtId="0" fontId="5911" fillId="0" borderId="0" xfId="0" applyFill="true" applyBorder="true" applyNumberFormat="true" applyFont="true"/>
    <xf numFmtId="0" fontId="5912" fillId="0" borderId="0" xfId="0" applyFill="true" applyBorder="true" applyNumberFormat="true" applyFont="true"/>
    <xf numFmtId="0" fontId="5913" fillId="0" borderId="0" xfId="0" applyFill="true" applyBorder="true" applyNumberFormat="true" applyFont="true"/>
    <xf numFmtId="0" fontId="5914" fillId="0" borderId="0" xfId="0" applyFill="true" applyBorder="true" applyNumberFormat="true" applyFont="true"/>
    <xf numFmtId="0" fontId="5915" fillId="0" borderId="0" xfId="0" applyFill="true" applyBorder="true" applyNumberFormat="true" applyFont="true"/>
    <xf numFmtId="0" fontId="5916" fillId="0" borderId="0" xfId="0" applyFill="true" applyBorder="true" applyNumberFormat="true" applyFont="true"/>
    <xf numFmtId="0" fontId="5917" fillId="0" borderId="0" xfId="0" applyFill="true" applyBorder="true" applyNumberFormat="true" applyFont="true"/>
    <xf numFmtId="0" fontId="5918" fillId="0" borderId="0" xfId="0" applyFill="true" applyBorder="true" applyNumberFormat="true" applyFont="true"/>
    <xf numFmtId="0" fontId="5919" fillId="0" borderId="0" xfId="0" applyFill="true" applyBorder="true" applyNumberFormat="true" applyFont="true"/>
    <xf numFmtId="0" fontId="5920" fillId="0" borderId="0" xfId="0" applyFill="true" applyBorder="true" applyNumberFormat="true" applyFont="true"/>
    <xf numFmtId="0" fontId="5921" fillId="0" borderId="0" xfId="0" applyFill="true" applyBorder="true" applyNumberFormat="true" applyFont="true"/>
    <xf numFmtId="0" fontId="5922" fillId="0" borderId="0" xfId="0" applyFill="true" applyBorder="true" applyNumberFormat="true" applyFont="true"/>
    <xf numFmtId="0" fontId="5923" fillId="0" borderId="0" xfId="0" applyFill="true" applyBorder="true" applyNumberFormat="true" applyFont="true"/>
    <xf numFmtId="0" fontId="5924" fillId="0" borderId="0" xfId="0" applyFill="true" applyBorder="true" applyNumberFormat="true" applyFont="true"/>
    <xf numFmtId="0" fontId="5925" fillId="0" borderId="0" xfId="0" applyFill="true" applyBorder="true" applyNumberFormat="true" applyFont="true"/>
    <xf numFmtId="0" fontId="5926" fillId="0" borderId="0" xfId="0" applyFill="true" applyBorder="true" applyNumberFormat="true" applyFont="true"/>
    <xf numFmtId="0" fontId="5927" fillId="0" borderId="0" xfId="0" applyFill="true" applyBorder="true" applyNumberFormat="true" applyFont="true"/>
    <xf numFmtId="0" fontId="5928" fillId="0" borderId="0" xfId="0" applyFill="true" applyBorder="true" applyNumberFormat="true" applyFont="true"/>
    <xf numFmtId="0" fontId="5929" fillId="0" borderId="0" xfId="0" applyFill="true" applyBorder="true" applyNumberFormat="true" applyFont="true"/>
    <xf numFmtId="0" fontId="5930" fillId="0" borderId="0" xfId="0" applyFill="true" applyBorder="true" applyNumberFormat="true" applyFont="true"/>
    <xf numFmtId="0" fontId="5931" fillId="0" borderId="0" xfId="0" applyFill="true" applyBorder="true" applyNumberFormat="true" applyFont="true"/>
    <xf numFmtId="0" fontId="5932" fillId="0" borderId="0" xfId="0" applyFill="true" applyBorder="true" applyNumberFormat="true" applyFont="true"/>
    <xf numFmtId="0" fontId="5933" fillId="0" borderId="0" xfId="0" applyFill="true" applyBorder="true" applyNumberFormat="true" applyFont="true"/>
    <xf numFmtId="0" fontId="5934" fillId="0" borderId="0" xfId="0" applyFill="true" applyBorder="true" applyNumberFormat="true" applyFont="true"/>
    <xf numFmtId="0" fontId="5935" fillId="0" borderId="0" xfId="0" applyFill="true" applyBorder="true" applyNumberFormat="true" applyFont="true"/>
    <xf numFmtId="0" fontId="5936" fillId="0" borderId="0" xfId="0" applyFill="true" applyBorder="true" applyNumberFormat="true" applyFont="true"/>
    <xf numFmtId="0" fontId="5937" fillId="0" borderId="0" xfId="0" applyFill="true" applyBorder="true" applyNumberFormat="true" applyFont="true"/>
    <xf numFmtId="0" fontId="5938" fillId="0" borderId="0" xfId="0" applyFill="true" applyBorder="true" applyNumberFormat="true" applyFont="true"/>
    <xf numFmtId="0" fontId="5939" fillId="0" borderId="0" xfId="0" applyFill="true" applyBorder="true" applyNumberFormat="true" applyFont="true"/>
    <xf numFmtId="0" fontId="5940" fillId="0" borderId="0" xfId="0" applyFill="true" applyBorder="true" applyNumberFormat="true" applyFont="true"/>
    <xf numFmtId="0" fontId="5941" fillId="0" borderId="0" xfId="0" applyFill="true" applyBorder="true" applyNumberFormat="true" applyFont="true"/>
    <xf numFmtId="0" fontId="5942" fillId="0" borderId="0" xfId="0" applyFill="true" applyBorder="true" applyNumberFormat="true" applyFont="true"/>
    <xf numFmtId="0" fontId="5943" fillId="0" borderId="0" xfId="0" applyFill="true" applyBorder="true" applyNumberFormat="true" applyFont="true"/>
    <xf numFmtId="0" fontId="5944" fillId="0" borderId="0" xfId="0" applyFill="true" applyBorder="true" applyNumberFormat="true" applyFont="true"/>
    <xf numFmtId="0" fontId="5945" fillId="0" borderId="0" xfId="0" applyFill="true" applyBorder="true" applyNumberFormat="true" applyFont="true"/>
    <xf numFmtId="0" fontId="5946" fillId="0" borderId="0" xfId="0" applyFill="true" applyBorder="true" applyNumberFormat="true" applyFont="true"/>
    <xf numFmtId="0" fontId="5947" fillId="0" borderId="0" xfId="0" applyFill="true" applyBorder="true" applyNumberFormat="true" applyFont="true"/>
    <xf numFmtId="0" fontId="5948" fillId="0" borderId="0" xfId="0" applyFill="true" applyBorder="true" applyNumberFormat="true" applyFont="true"/>
    <xf numFmtId="0" fontId="5949" fillId="0" borderId="0" xfId="0" applyFill="true" applyBorder="true" applyNumberFormat="true" applyFont="true"/>
    <xf numFmtId="0" fontId="5950" fillId="0" borderId="0" xfId="0" applyFill="true" applyBorder="true" applyNumberFormat="true" applyFont="true"/>
    <xf numFmtId="0" fontId="5951" fillId="0" borderId="0" xfId="0" applyFill="true" applyBorder="true" applyNumberFormat="true" applyFont="true"/>
    <xf numFmtId="0" fontId="5952" fillId="0" borderId="0" xfId="0" applyFill="true" applyBorder="true" applyNumberFormat="true" applyFont="true"/>
    <xf numFmtId="0" fontId="5953" fillId="0" borderId="0" xfId="0" applyFill="true" applyBorder="true" applyNumberFormat="true" applyFont="true"/>
    <xf numFmtId="0" fontId="5954" fillId="0" borderId="0" xfId="0" applyFill="true" applyBorder="true" applyNumberFormat="true" applyFont="true"/>
    <xf numFmtId="0" fontId="5955" fillId="0" borderId="0" xfId="0" applyFill="true" applyBorder="true" applyNumberFormat="true" applyFont="true"/>
    <xf numFmtId="0" fontId="5956" fillId="0" borderId="0" xfId="0" applyFill="true" applyBorder="true" applyNumberFormat="true" applyFont="true"/>
    <xf numFmtId="0" fontId="5957" fillId="0" borderId="0" xfId="0" applyFill="true" applyBorder="true" applyNumberFormat="true" applyFont="true"/>
    <xf numFmtId="0" fontId="5958" fillId="0" borderId="0" xfId="0" applyFill="true" applyBorder="true" applyNumberFormat="true" applyFont="true"/>
    <xf numFmtId="0" fontId="5959" fillId="0" borderId="0" xfId="0" applyFill="true" applyBorder="true" applyNumberFormat="true" applyFont="true"/>
    <xf numFmtId="0" fontId="5960" fillId="0" borderId="0" xfId="0" applyFill="true" applyBorder="true" applyNumberFormat="true" applyFont="true"/>
    <xf numFmtId="0" fontId="5961" fillId="0" borderId="0" xfId="0" applyFill="true" applyBorder="true" applyNumberFormat="true" applyFont="true"/>
    <xf numFmtId="0" fontId="5962" fillId="0" borderId="0" xfId="0" applyFill="true" applyBorder="true" applyNumberFormat="true" applyFont="true"/>
    <xf numFmtId="0" fontId="5963" fillId="0" borderId="0" xfId="0" applyFill="true" applyBorder="true" applyNumberFormat="true" applyFont="true"/>
    <xf numFmtId="0" fontId="5964" fillId="0" borderId="0" xfId="0" applyFill="true" applyBorder="true" applyNumberFormat="true" applyFont="true"/>
    <xf numFmtId="0" fontId="5965" fillId="0" borderId="0" xfId="0" applyFill="true" applyBorder="true" applyNumberFormat="true" applyFont="true"/>
    <xf numFmtId="0" fontId="5966" fillId="0" borderId="0" xfId="0" applyFill="true" applyBorder="true" applyNumberFormat="true" applyFont="true"/>
    <xf numFmtId="0" fontId="5967" fillId="0" borderId="0" xfId="0" applyFill="true" applyBorder="true" applyNumberFormat="true" applyFont="true"/>
    <xf numFmtId="0" fontId="5968" fillId="0" borderId="0" xfId="0" applyFill="true" applyBorder="true" applyNumberFormat="true" applyFont="true"/>
    <xf numFmtId="0" fontId="5969" fillId="0" borderId="0" xfId="0" applyFill="true" applyBorder="true" applyNumberFormat="true" applyFont="true"/>
    <xf numFmtId="0" fontId="5970" fillId="0" borderId="0" xfId="0" applyFill="true" applyBorder="true" applyNumberFormat="true" applyFont="true"/>
    <xf numFmtId="0" fontId="5971" fillId="0" borderId="0" xfId="0" applyFill="true" applyBorder="true" applyNumberFormat="true" applyFont="true"/>
    <xf numFmtId="0" fontId="5972" fillId="0" borderId="0" xfId="0" applyFill="true" applyBorder="true" applyNumberFormat="true" applyFont="true"/>
    <xf numFmtId="0" fontId="5973" fillId="0" borderId="0" xfId="0" applyFill="true" applyBorder="true" applyNumberFormat="true" applyFont="true"/>
    <xf numFmtId="0" fontId="5974" fillId="0" borderId="0" xfId="0" applyFill="true" applyBorder="true" applyNumberFormat="true" applyFont="true"/>
    <xf numFmtId="0" fontId="5975" fillId="0" borderId="0" xfId="0" applyFill="true" applyBorder="true" applyNumberFormat="true" applyFont="true"/>
    <xf numFmtId="0" fontId="5976" fillId="0" borderId="0" xfId="0" applyFill="true" applyBorder="true" applyNumberFormat="true" applyFont="true"/>
    <xf numFmtId="0" fontId="5977" fillId="0" borderId="0" xfId="0" applyFill="true" applyBorder="true" applyNumberFormat="true" applyFont="true"/>
    <xf numFmtId="0" fontId="5978" fillId="0" borderId="0" xfId="0" applyFill="true" applyBorder="true" applyNumberFormat="true" applyFont="true"/>
    <xf numFmtId="0" fontId="5979" fillId="0" borderId="0" xfId="0" applyFill="true" applyBorder="true" applyNumberFormat="true" applyFont="true"/>
    <xf numFmtId="0" fontId="5980" fillId="0" borderId="0" xfId="0" applyFill="true" applyBorder="true" applyNumberFormat="true" applyFont="true"/>
    <xf numFmtId="0" fontId="5981" fillId="0" borderId="0" xfId="0" applyFill="true" applyBorder="true" applyNumberFormat="true" applyFont="true"/>
    <xf numFmtId="0" fontId="5982" fillId="0" borderId="0" xfId="0" applyFill="true" applyBorder="true" applyNumberFormat="true" applyFont="true"/>
    <xf numFmtId="0" fontId="5983" fillId="0" borderId="0" xfId="0" applyFill="true" applyBorder="true" applyNumberFormat="true" applyFont="true"/>
    <xf numFmtId="0" fontId="5984" fillId="0" borderId="0" xfId="0" applyFill="true" applyBorder="true" applyNumberFormat="true" applyFont="true"/>
    <xf numFmtId="0" fontId="5985" fillId="0" borderId="0" xfId="0" applyFill="true" applyBorder="true" applyNumberFormat="true" applyFont="true"/>
    <xf numFmtId="0" fontId="5986" fillId="0" borderId="0" xfId="0" applyFill="true" applyBorder="true" applyNumberFormat="true" applyFont="true"/>
    <xf numFmtId="0" fontId="5987" fillId="0" borderId="0" xfId="0" applyFill="true" applyBorder="true" applyNumberFormat="true" applyFont="true"/>
    <xf numFmtId="0" fontId="5988" fillId="0" borderId="0" xfId="0" applyFill="true" applyBorder="true" applyNumberFormat="true" applyFont="true"/>
    <xf numFmtId="0" fontId="5989" fillId="0" borderId="0" xfId="0" applyFill="true" applyBorder="true" applyNumberFormat="true" applyFont="true"/>
    <xf numFmtId="0" fontId="5990" fillId="0" borderId="0" xfId="0" applyFill="true" applyBorder="true" applyNumberFormat="true" applyFont="true"/>
    <xf numFmtId="0" fontId="5991" fillId="0" borderId="0" xfId="0" applyFill="true" applyBorder="true" applyNumberFormat="true" applyFont="true"/>
    <xf numFmtId="0" fontId="5992" fillId="0" borderId="0" xfId="0" applyFill="true" applyBorder="true" applyNumberFormat="true" applyFont="true"/>
    <xf numFmtId="0" fontId="5993" fillId="0" borderId="0" xfId="0" applyFill="true" applyBorder="true" applyNumberFormat="true" applyFont="true"/>
    <xf numFmtId="0" fontId="5994" fillId="0" borderId="0" xfId="0" applyFill="true" applyBorder="true" applyNumberFormat="true" applyFont="true"/>
    <xf numFmtId="0" fontId="5995" fillId="0" borderId="0" xfId="0" applyFill="true" applyBorder="true" applyNumberFormat="true" applyFont="true"/>
    <xf numFmtId="0" fontId="5996" fillId="0" borderId="0" xfId="0" applyFill="true" applyBorder="true" applyNumberFormat="true" applyFont="true"/>
    <xf numFmtId="0" fontId="5997" fillId="0" borderId="0" xfId="0" applyFill="true" applyBorder="true" applyNumberFormat="true" applyFont="true"/>
    <xf numFmtId="0" fontId="5998" fillId="0" borderId="0" xfId="0" applyFill="true" applyBorder="true" applyNumberFormat="true" applyFont="true"/>
    <xf numFmtId="0" fontId="5999" fillId="0" borderId="0" xfId="0" applyFill="true" applyBorder="true" applyNumberFormat="true" applyFont="true"/>
    <xf numFmtId="0" fontId="6000" fillId="0" borderId="0" xfId="0" applyFill="true" applyBorder="true" applyNumberFormat="true" applyFont="true"/>
    <xf numFmtId="0" fontId="6001" fillId="0" borderId="0" xfId="0" applyFill="true" applyBorder="true" applyNumberFormat="true" applyFont="true"/>
    <xf numFmtId="0" fontId="6002" fillId="0" borderId="0" xfId="0" applyFill="true" applyBorder="true" applyNumberFormat="true" applyFont="true"/>
    <xf numFmtId="0" fontId="6003" fillId="0" borderId="0" xfId="0" applyFill="true" applyBorder="true" applyNumberFormat="true" applyFont="true"/>
    <xf numFmtId="0" fontId="6004" fillId="0" borderId="0" xfId="0" applyFill="true" applyBorder="true" applyNumberFormat="true" applyFont="true"/>
    <xf numFmtId="0" fontId="6005" fillId="0" borderId="0" xfId="0" applyFill="true" applyBorder="true" applyNumberFormat="true" applyFont="true"/>
    <xf numFmtId="0" fontId="6006" fillId="0" borderId="0" xfId="0" applyFill="true" applyBorder="true" applyNumberFormat="true" applyFont="true"/>
    <xf numFmtId="0" fontId="6007" fillId="0" borderId="0" xfId="0" applyFill="true" applyBorder="true" applyNumberFormat="true" applyFont="true"/>
    <xf numFmtId="0" fontId="6008" fillId="0" borderId="0" xfId="0" applyFill="true" applyBorder="true" applyNumberFormat="true" applyFont="true"/>
    <xf numFmtId="0" fontId="6009" fillId="0" borderId="0" xfId="0" applyFill="true" applyBorder="true" applyNumberFormat="true" applyFont="true"/>
    <xf numFmtId="0" fontId="6010" fillId="0" borderId="0" xfId="0" applyFill="true" applyBorder="true" applyNumberFormat="true" applyFont="true"/>
    <xf numFmtId="0" fontId="6011" fillId="0" borderId="0" xfId="0" applyFill="true" applyBorder="true" applyNumberFormat="true" applyFont="true"/>
    <xf numFmtId="0" fontId="6012" fillId="0" borderId="0" xfId="0" applyFill="true" applyBorder="true" applyNumberFormat="true" applyFont="true"/>
    <xf numFmtId="0" fontId="6013" fillId="0" borderId="0" xfId="0" applyFill="true" applyBorder="true" applyNumberFormat="true" applyFont="true"/>
    <xf numFmtId="0" fontId="6014" fillId="0" borderId="0" xfId="0" applyFill="true" applyBorder="true" applyNumberFormat="true" applyFont="true"/>
    <xf numFmtId="0" fontId="6015" fillId="0" borderId="0" xfId="0" applyFill="true" applyBorder="true" applyNumberFormat="true" applyFont="true"/>
    <xf numFmtId="0" fontId="6016" fillId="0" borderId="0" xfId="0" applyFill="true" applyBorder="true" applyNumberFormat="true" applyFont="true"/>
    <xf numFmtId="0" fontId="6017" fillId="0" borderId="0" xfId="0" applyFill="true" applyBorder="true" applyNumberFormat="true" applyFont="true"/>
    <xf numFmtId="0" fontId="6018" fillId="0" borderId="0" xfId="0" applyFill="true" applyBorder="true" applyNumberFormat="true" applyFont="true"/>
    <xf numFmtId="0" fontId="6019" fillId="0" borderId="0" xfId="0" applyFill="true" applyBorder="true" applyNumberFormat="true" applyFont="true"/>
    <xf numFmtId="0" fontId="6020" fillId="0" borderId="0" xfId="0" applyFill="true" applyBorder="true" applyNumberFormat="true" applyFont="true"/>
    <xf numFmtId="0" fontId="6021" fillId="0" borderId="0" xfId="0" applyFill="true" applyBorder="true" applyNumberFormat="true" applyFont="true"/>
    <xf numFmtId="0" fontId="6022" fillId="0" borderId="0" xfId="0" applyFill="true" applyBorder="true" applyNumberFormat="true" applyFont="true"/>
    <xf numFmtId="0" fontId="6023" fillId="0" borderId="0" xfId="0" applyFill="true" applyBorder="true" applyNumberFormat="true" applyFont="true"/>
    <xf numFmtId="0" fontId="6024" fillId="0" borderId="0" xfId="0" applyFill="true" applyBorder="true" applyNumberFormat="true" applyFont="true"/>
    <xf numFmtId="0" fontId="6025" fillId="0" borderId="0" xfId="0" applyFill="true" applyBorder="true" applyNumberFormat="true" applyFont="true"/>
    <xf numFmtId="0" fontId="6026" fillId="0" borderId="0" xfId="0" applyFill="true" applyBorder="true" applyNumberFormat="true" applyFont="true"/>
    <xf numFmtId="0" fontId="6027" fillId="0" borderId="0" xfId="0" applyFill="true" applyBorder="true" applyNumberFormat="true" applyFont="true"/>
    <xf numFmtId="0" fontId="6028" fillId="0" borderId="0" xfId="0" applyFill="true" applyBorder="true" applyNumberFormat="true" applyFont="true"/>
    <xf numFmtId="0" fontId="6029" fillId="0" borderId="0" xfId="0" applyFill="true" applyBorder="true" applyNumberFormat="true" applyFont="true"/>
    <xf numFmtId="0" fontId="6030" fillId="0" borderId="0" xfId="0" applyFill="true" applyBorder="true" applyNumberFormat="true" applyFont="true"/>
    <xf numFmtId="0" fontId="6031" fillId="0" borderId="0" xfId="0" applyFill="true" applyBorder="true" applyNumberFormat="true" applyFont="true"/>
    <xf numFmtId="0" fontId="6032" fillId="0" borderId="0" xfId="0" applyFill="true" applyBorder="true" applyNumberFormat="true" applyFont="true"/>
    <xf numFmtId="0" fontId="6033" fillId="0" borderId="0" xfId="0" applyFill="true" applyBorder="true" applyNumberFormat="true" applyFont="true"/>
    <xf numFmtId="0" fontId="6034" fillId="0" borderId="0" xfId="0" applyFill="true" applyBorder="true" applyNumberFormat="true" applyFont="true"/>
    <xf numFmtId="0" fontId="6035" fillId="0" borderId="0" xfId="0" applyFill="true" applyBorder="true" applyNumberFormat="true" applyFont="true"/>
    <xf numFmtId="0" fontId="6036" fillId="0" borderId="0" xfId="0" applyFill="true" applyBorder="true" applyNumberFormat="true" applyFont="true"/>
    <xf numFmtId="0" fontId="6037" fillId="0" borderId="0" xfId="0" applyFill="true" applyBorder="true" applyNumberFormat="true" applyFont="true"/>
    <xf numFmtId="0" fontId="6038" fillId="0" borderId="0" xfId="0" applyFill="true" applyBorder="true" applyNumberFormat="true" applyFont="true"/>
    <xf numFmtId="0" fontId="6039" fillId="0" borderId="0" xfId="0" applyFill="true" applyBorder="true" applyNumberFormat="true" applyFont="true"/>
    <xf numFmtId="0" fontId="6040" fillId="0" borderId="0" xfId="0" applyFill="true" applyBorder="true" applyNumberFormat="true" applyFont="true"/>
    <xf numFmtId="0" fontId="6041" fillId="0" borderId="0" xfId="0" applyFill="true" applyBorder="true" applyNumberFormat="true" applyFont="true"/>
    <xf numFmtId="0" fontId="6042" fillId="0" borderId="0" xfId="0" applyFill="true" applyBorder="true" applyNumberFormat="true" applyFont="true"/>
    <xf numFmtId="0" fontId="6043" fillId="0" borderId="0" xfId="0" applyFill="true" applyBorder="true" applyNumberFormat="true" applyFont="true"/>
    <xf numFmtId="0" fontId="6044" fillId="0" borderId="0" xfId="0" applyFill="true" applyBorder="true" applyNumberFormat="true" applyFont="true"/>
    <xf numFmtId="0" fontId="6045" fillId="0" borderId="0" xfId="0" applyFill="true" applyBorder="true" applyNumberFormat="true" applyFont="true"/>
    <xf numFmtId="0" fontId="6046" fillId="0" borderId="0" xfId="0" applyFill="true" applyBorder="true" applyNumberFormat="true" applyFont="true"/>
    <xf numFmtId="0" fontId="6047" fillId="0" borderId="0" xfId="0" applyFill="true" applyBorder="true" applyNumberFormat="true" applyFont="true"/>
    <xf numFmtId="0" fontId="6048" fillId="0" borderId="0" xfId="0" applyFill="true" applyBorder="true" applyNumberFormat="true" applyFont="true"/>
    <xf numFmtId="0" fontId="6049" fillId="0" borderId="0" xfId="0" applyFill="true" applyBorder="true" applyNumberFormat="true" applyFont="true"/>
    <xf numFmtId="0" fontId="6050" fillId="0" borderId="0" xfId="0" applyFill="true" applyBorder="true" applyNumberFormat="true" applyFont="true"/>
    <xf numFmtId="0" fontId="6051" fillId="0" borderId="0" xfId="0" applyFill="true" applyBorder="true" applyNumberFormat="true" applyFont="true"/>
    <xf numFmtId="0" fontId="6052" fillId="0" borderId="0" xfId="0" applyFill="true" applyBorder="true" applyNumberFormat="true" applyFont="true"/>
    <xf numFmtId="0" fontId="6053" fillId="0" borderId="0" xfId="0" applyFill="true" applyBorder="true" applyNumberFormat="true" applyFont="true"/>
    <xf numFmtId="0" fontId="6054" fillId="0" borderId="0" xfId="0" applyFill="true" applyBorder="true" applyNumberFormat="true" applyFont="true"/>
    <xf numFmtId="0" fontId="6055" fillId="0" borderId="0" xfId="0" applyFill="true" applyBorder="true" applyNumberFormat="true" applyFont="true"/>
    <xf numFmtId="0" fontId="6056" fillId="0" borderId="0" xfId="0" applyFill="true" applyBorder="true" applyNumberFormat="true" applyFont="true"/>
    <xf numFmtId="0" fontId="6057" fillId="0" borderId="0" xfId="0" applyFill="true" applyBorder="true" applyNumberFormat="true" applyFont="true"/>
    <xf numFmtId="0" fontId="6058" fillId="0" borderId="0" xfId="0" applyFill="true" applyBorder="true" applyNumberFormat="true" applyFont="true"/>
    <xf numFmtId="0" fontId="6059" fillId="0" borderId="0" xfId="0" applyFill="true" applyBorder="true" applyNumberFormat="true" applyFont="true"/>
    <xf numFmtId="0" fontId="6060" fillId="0" borderId="0" xfId="0" applyFill="true" applyBorder="true" applyNumberFormat="true" applyFont="true"/>
    <xf numFmtId="0" fontId="6061" fillId="0" borderId="0" xfId="0" applyFill="true" applyBorder="true" applyNumberFormat="true" applyFont="true"/>
    <xf numFmtId="0" fontId="6062" fillId="0" borderId="0" xfId="0" applyFill="true" applyBorder="true" applyNumberFormat="true" applyFont="true"/>
    <xf numFmtId="0" fontId="6063" fillId="0" borderId="0" xfId="0" applyFill="true" applyBorder="true" applyNumberFormat="true" applyFont="true"/>
    <xf numFmtId="0" fontId="6064" fillId="0" borderId="0" xfId="0" applyFill="true" applyBorder="true" applyNumberFormat="true" applyFont="true"/>
    <xf numFmtId="0" fontId="6065" fillId="0" borderId="0" xfId="0" applyFill="true" applyBorder="true" applyNumberFormat="true" applyFont="true"/>
    <xf numFmtId="0" fontId="6066" fillId="0" borderId="0" xfId="0" applyFill="true" applyBorder="true" applyNumberFormat="true" applyFont="true"/>
    <xf numFmtId="0" fontId="6067" fillId="0" borderId="0" xfId="0" applyFill="true" applyBorder="true" applyNumberFormat="true" applyFont="true"/>
    <xf numFmtId="0" fontId="6068" fillId="0" borderId="0" xfId="0" applyFill="true" applyBorder="true" applyNumberFormat="true" applyFont="true"/>
    <xf numFmtId="0" fontId="6069" fillId="0" borderId="0" xfId="0" applyFill="true" applyBorder="true" applyNumberFormat="true" applyFont="true"/>
    <xf numFmtId="0" fontId="6070" fillId="0" borderId="0" xfId="0" applyFill="true" applyBorder="true" applyNumberFormat="true" applyFont="true"/>
    <xf numFmtId="0" fontId="6071" fillId="0" borderId="0" xfId="0" applyFill="true" applyBorder="true" applyNumberFormat="true" applyFont="true"/>
    <xf numFmtId="0" fontId="6072" fillId="0" borderId="0" xfId="0" applyFill="true" applyBorder="true" applyNumberFormat="true" applyFont="true"/>
    <xf numFmtId="0" fontId="6073" fillId="0" borderId="0" xfId="0" applyFill="true" applyBorder="true" applyNumberFormat="true" applyFont="true"/>
    <xf numFmtId="0" fontId="6074" fillId="0" borderId="0" xfId="0" applyFill="true" applyBorder="true" applyNumberFormat="true" applyFont="true"/>
    <xf numFmtId="0" fontId="6075" fillId="0" borderId="0" xfId="0" applyFill="true" applyBorder="true" applyNumberFormat="true" applyFont="true"/>
    <xf numFmtId="0" fontId="6076" fillId="0" borderId="0" xfId="0" applyFill="true" applyBorder="true" applyNumberFormat="true" applyFont="true"/>
    <xf numFmtId="0" fontId="6077" fillId="0" borderId="0" xfId="0" applyFill="true" applyBorder="true" applyNumberFormat="true" applyFont="true"/>
    <xf numFmtId="0" fontId="6078" fillId="0" borderId="0" xfId="0" applyFill="true" applyBorder="true" applyNumberFormat="true" applyFont="true"/>
    <xf numFmtId="0" fontId="6079" fillId="0" borderId="0" xfId="0" applyFill="true" applyBorder="true" applyNumberFormat="true" applyFont="true"/>
    <xf numFmtId="0" fontId="6080" fillId="0" borderId="0" xfId="0" applyFill="true" applyBorder="true" applyNumberFormat="true" applyFont="true"/>
    <xf numFmtId="0" fontId="6081" fillId="0" borderId="0" xfId="0" applyFill="true" applyBorder="true" applyNumberFormat="true" applyFont="true"/>
    <xf numFmtId="0" fontId="6082" fillId="0" borderId="0" xfId="0" applyFill="true" applyBorder="true" applyNumberFormat="true" applyFont="true"/>
    <xf numFmtId="0" fontId="6083" fillId="0" borderId="0" xfId="0" applyFill="true" applyBorder="true" applyNumberFormat="true" applyFont="true"/>
    <xf numFmtId="0" fontId="6084" fillId="0" borderId="0" xfId="0" applyFill="true" applyBorder="true" applyNumberFormat="true" applyFont="true"/>
    <xf numFmtId="0" fontId="6085" fillId="0" borderId="0" xfId="0" applyFill="true" applyBorder="true" applyNumberFormat="true" applyFont="true"/>
    <xf numFmtId="0" fontId="6086" fillId="0" borderId="0" xfId="0" applyFill="true" applyBorder="true" applyNumberFormat="true" applyFont="true"/>
    <xf numFmtId="0" fontId="6087" fillId="0" borderId="0" xfId="0" applyFill="true" applyBorder="true" applyNumberFormat="true" applyFont="true"/>
    <xf numFmtId="0" fontId="6088" fillId="0" borderId="0" xfId="0" applyFill="true" applyBorder="true" applyNumberFormat="true" applyFont="true"/>
    <xf numFmtId="0" fontId="6089" fillId="0" borderId="0" xfId="0" applyFill="true" applyBorder="true" applyNumberFormat="true" applyFont="true"/>
    <xf numFmtId="0" fontId="6090" fillId="0" borderId="0" xfId="0" applyFill="true" applyBorder="true" applyNumberFormat="true" applyFont="true"/>
    <xf numFmtId="0" fontId="6091" fillId="0" borderId="0" xfId="0" applyFill="true" applyBorder="true" applyNumberFormat="true" applyFont="true"/>
    <xf numFmtId="0" fontId="6092" fillId="0" borderId="0" xfId="0" applyFill="true" applyBorder="true" applyNumberFormat="true" applyFont="true"/>
    <xf numFmtId="0" fontId="6093" fillId="0" borderId="0" xfId="0" applyFill="true" applyBorder="true" applyNumberFormat="true" applyFont="true"/>
    <xf numFmtId="0" fontId="6094" fillId="0" borderId="0" xfId="0" applyFill="true" applyBorder="true" applyNumberFormat="true" applyFont="true"/>
    <xf numFmtId="0" fontId="6095" fillId="0" borderId="0" xfId="0" applyFill="true" applyBorder="true" applyNumberFormat="true" applyFont="true"/>
    <xf numFmtId="0" fontId="6096" fillId="0" borderId="0" xfId="0" applyFill="true" applyBorder="true" applyNumberFormat="true" applyFont="true"/>
    <xf numFmtId="0" fontId="6097" fillId="0" borderId="0" xfId="0" applyFill="true" applyBorder="true" applyNumberFormat="true" applyFont="true"/>
    <xf numFmtId="0" fontId="6098" fillId="0" borderId="0" xfId="0" applyFill="true" applyBorder="true" applyNumberFormat="true" applyFont="true"/>
    <xf numFmtId="0" fontId="6099" fillId="0" borderId="0" xfId="0" applyFill="true" applyBorder="true" applyNumberFormat="true" applyFont="true"/>
    <xf numFmtId="0" fontId="6100" fillId="0" borderId="0" xfId="0" applyFill="true" applyBorder="true" applyNumberFormat="true" applyFont="true"/>
    <xf numFmtId="0" fontId="6101" fillId="0" borderId="0" xfId="0" applyFill="true" applyBorder="true" applyNumberFormat="true" applyFont="true"/>
    <xf numFmtId="0" fontId="6102" fillId="0" borderId="0" xfId="0" applyFill="true" applyBorder="true" applyNumberFormat="true" applyFont="true"/>
    <xf numFmtId="0" fontId="6103" fillId="0" borderId="0" xfId="0" applyFill="true" applyBorder="true" applyNumberFormat="true" applyFont="true"/>
    <xf numFmtId="0" fontId="6104" fillId="0" borderId="0" xfId="0" applyFill="true" applyBorder="true" applyNumberFormat="true" applyFont="true"/>
    <xf numFmtId="0" fontId="6105" fillId="0" borderId="0" xfId="0" applyFill="true" applyBorder="true" applyNumberFormat="true" applyFont="true"/>
    <xf numFmtId="0" fontId="6106" fillId="0" borderId="0" xfId="0" applyFill="true" applyBorder="true" applyNumberFormat="true" applyFont="true"/>
    <xf numFmtId="0" fontId="6107" fillId="0" borderId="0" xfId="0" applyFill="true" applyBorder="true" applyNumberFormat="true" applyFont="true"/>
    <xf numFmtId="0" fontId="6108" fillId="0" borderId="0" xfId="0" applyFill="true" applyBorder="true" applyNumberFormat="true" applyFont="true"/>
    <xf numFmtId="0" fontId="6109" fillId="0" borderId="0" xfId="0" applyFill="true" applyBorder="true" applyNumberFormat="true" applyFont="true"/>
    <xf numFmtId="0" fontId="6110" fillId="0" borderId="0" xfId="0" applyFill="true" applyBorder="true" applyNumberFormat="true" applyFont="true"/>
    <xf numFmtId="0" fontId="6111" fillId="0" borderId="0" xfId="0" applyFill="true" applyBorder="true" applyNumberFormat="true" applyFont="true"/>
    <xf numFmtId="0" fontId="6112" fillId="0" borderId="0" xfId="0" applyFill="true" applyBorder="true" applyNumberFormat="true" applyFont="true"/>
    <xf numFmtId="0" fontId="6113" fillId="0" borderId="0" xfId="0" applyFill="true" applyBorder="true" applyNumberFormat="true" applyFont="true"/>
    <xf numFmtId="0" fontId="6114" fillId="0" borderId="0" xfId="0" applyFill="true" applyBorder="true" applyNumberFormat="true" applyFont="true"/>
    <xf numFmtId="0" fontId="6115" fillId="0" borderId="0" xfId="0" applyFill="true" applyBorder="true" applyNumberFormat="true" applyFont="true"/>
    <xf numFmtId="0" fontId="6116" fillId="0" borderId="0" xfId="0" applyFill="true" applyBorder="true" applyNumberFormat="true" applyFont="true"/>
    <xf numFmtId="0" fontId="6117" fillId="0" borderId="0" xfId="0" applyFill="true" applyBorder="true" applyNumberFormat="true" applyFont="true"/>
    <xf numFmtId="0" fontId="6118" fillId="0" borderId="0" xfId="0" applyFill="true" applyBorder="true" applyNumberFormat="true" applyFont="true"/>
    <xf numFmtId="0" fontId="6119" fillId="0" borderId="0" xfId="0" applyFill="true" applyBorder="true" applyNumberFormat="true" applyFont="true"/>
    <xf numFmtId="0" fontId="6120" fillId="0" borderId="0" xfId="0" applyFill="true" applyBorder="true" applyNumberFormat="true" applyFont="true"/>
    <xf numFmtId="0" fontId="6121" fillId="0" borderId="0" xfId="0" applyFill="true" applyBorder="true" applyNumberFormat="true" applyFont="true"/>
    <xf numFmtId="0" fontId="6122" fillId="0" borderId="0" xfId="0" applyFill="true" applyBorder="true" applyNumberFormat="true" applyFont="true"/>
    <xf numFmtId="0" fontId="6123" fillId="0" borderId="0" xfId="0" applyFill="true" applyBorder="true" applyNumberFormat="true" applyFont="true"/>
    <xf numFmtId="0" fontId="6124" fillId="0" borderId="0" xfId="0" applyFill="true" applyBorder="true" applyNumberFormat="true" applyFont="true"/>
    <xf numFmtId="0" fontId="6125" fillId="0" borderId="0" xfId="0" applyFill="true" applyBorder="true" applyNumberFormat="true" applyFont="true"/>
    <xf numFmtId="0" fontId="6126" fillId="0" borderId="0" xfId="0" applyFill="true" applyBorder="true" applyNumberFormat="true" applyFont="true"/>
    <xf numFmtId="0" fontId="6127" fillId="0" borderId="0" xfId="0" applyFill="true" applyBorder="true" applyNumberFormat="true" applyFont="true"/>
    <xf numFmtId="0" fontId="6128" fillId="0" borderId="0" xfId="0" applyFill="true" applyBorder="true" applyNumberFormat="true" applyFont="true"/>
    <xf numFmtId="0" fontId="6129" fillId="0" borderId="0" xfId="0" applyFill="true" applyBorder="true" applyNumberFormat="true" applyFont="true"/>
    <xf numFmtId="0" fontId="6130" fillId="0" borderId="0" xfId="0" applyFill="true" applyBorder="true" applyNumberFormat="true" applyFont="true"/>
    <xf numFmtId="0" fontId="6131" fillId="0" borderId="0" xfId="0" applyFill="true" applyBorder="true" applyNumberFormat="true" applyFont="true"/>
    <xf numFmtId="0" fontId="6132" fillId="0" borderId="0" xfId="0" applyFill="true" applyBorder="true" applyNumberFormat="true" applyFont="true"/>
    <xf numFmtId="0" fontId="6133" fillId="0" borderId="0" xfId="0" applyFill="true" applyBorder="true" applyNumberFormat="true" applyFont="true"/>
    <xf numFmtId="0" fontId="6134" fillId="0" borderId="0" xfId="0" applyFill="true" applyBorder="true" applyNumberFormat="true" applyFont="true"/>
    <xf numFmtId="0" fontId="6135" fillId="0" borderId="0" xfId="0" applyFill="true" applyBorder="true" applyNumberFormat="true" applyFont="true"/>
    <xf numFmtId="0" fontId="6136" fillId="0" borderId="0" xfId="0" applyFill="true" applyBorder="true" applyNumberFormat="true" applyFont="true"/>
    <xf numFmtId="0" fontId="6137" fillId="0" borderId="0" xfId="0" applyFill="true" applyBorder="true" applyNumberFormat="true" applyFont="true"/>
    <xf numFmtId="0" fontId="6138" fillId="0" borderId="0" xfId="0" applyFill="true" applyBorder="true" applyNumberFormat="true" applyFont="true"/>
    <xf numFmtId="0" fontId="6139" fillId="0" borderId="0" xfId="0" applyFill="true" applyBorder="true" applyNumberFormat="true" applyFont="true"/>
    <xf numFmtId="0" fontId="6140" fillId="0" borderId="0" xfId="0" applyFill="true" applyBorder="true" applyNumberFormat="true" applyFont="true"/>
    <xf numFmtId="0" fontId="6141" fillId="0" borderId="0" xfId="0" applyFill="true" applyBorder="true" applyNumberFormat="true" applyFont="true"/>
    <xf numFmtId="0" fontId="6142" fillId="0" borderId="0" xfId="0" applyFill="true" applyBorder="true" applyNumberFormat="true" applyFont="true"/>
    <xf numFmtId="0" fontId="6143" fillId="0" borderId="0" xfId="0" applyFill="true" applyBorder="true" applyNumberFormat="true" applyFont="true"/>
    <xf numFmtId="0" fontId="6144" fillId="0" borderId="0" xfId="0" applyFill="true" applyBorder="true" applyNumberFormat="true" applyFont="true"/>
    <xf numFmtId="0" fontId="6145" fillId="0" borderId="0" xfId="0" applyFill="true" applyBorder="true" applyNumberFormat="true" applyFont="true"/>
    <xf numFmtId="0" fontId="6146" fillId="0" borderId="0" xfId="0" applyFill="true" applyBorder="true" applyNumberFormat="true" applyFont="true"/>
    <xf numFmtId="0" fontId="6147" fillId="0" borderId="0" xfId="0" applyFill="true" applyBorder="true" applyNumberFormat="true" applyFont="true"/>
    <xf numFmtId="0" fontId="6148" fillId="0" borderId="0" xfId="0" applyFill="true" applyBorder="true" applyNumberFormat="true" applyFont="true"/>
    <xf numFmtId="0" fontId="6149" fillId="0" borderId="0" xfId="0" applyFill="true" applyBorder="true" applyNumberFormat="true" applyFont="true"/>
    <xf numFmtId="0" fontId="6150" fillId="0" borderId="0" xfId="0" applyFill="true" applyBorder="true" applyNumberFormat="true" applyFont="true"/>
    <xf numFmtId="0" fontId="6151" fillId="0" borderId="0" xfId="0" applyFill="true" applyBorder="true" applyNumberFormat="true" applyFont="true"/>
    <xf numFmtId="0" fontId="6152" fillId="0" borderId="0" xfId="0" applyFill="true" applyBorder="true" applyNumberFormat="true" applyFont="true"/>
    <xf numFmtId="0" fontId="6153" fillId="0" borderId="0" xfId="0" applyFill="true" applyBorder="true" applyNumberFormat="true" applyFont="true"/>
    <xf numFmtId="0" fontId="6154" fillId="0" borderId="0" xfId="0" applyFill="true" applyBorder="true" applyNumberFormat="true" applyFont="true"/>
    <xf numFmtId="0" fontId="6155" fillId="0" borderId="0" xfId="0" applyFill="true" applyBorder="true" applyNumberFormat="true" applyFont="true"/>
    <xf numFmtId="0" fontId="6156" fillId="0" borderId="0" xfId="0" applyFill="true" applyBorder="true" applyNumberFormat="true" applyFont="true"/>
    <xf numFmtId="0" fontId="6157" fillId="0" borderId="0" xfId="0" applyFill="true" applyBorder="true" applyNumberFormat="true" applyFont="true"/>
    <xf numFmtId="0" fontId="6158" fillId="0" borderId="0" xfId="0" applyFill="true" applyBorder="true" applyNumberFormat="true" applyFont="true"/>
    <xf numFmtId="0" fontId="6159" fillId="0" borderId="0" xfId="0" applyFill="true" applyBorder="true" applyNumberFormat="true" applyFont="true"/>
    <xf numFmtId="0" fontId="6160" fillId="0" borderId="0" xfId="0" applyFill="true" applyBorder="true" applyNumberFormat="true" applyFont="true"/>
    <xf numFmtId="0" fontId="6161" fillId="0" borderId="0" xfId="0" applyFill="true" applyBorder="true" applyNumberFormat="true" applyFont="true"/>
    <xf numFmtId="0" fontId="6162" fillId="0" borderId="0" xfId="0" applyFill="true" applyBorder="true" applyNumberFormat="true" applyFont="true"/>
    <xf numFmtId="0" fontId="6163" fillId="0" borderId="0" xfId="0" applyFill="true" applyBorder="true" applyNumberFormat="true" applyFont="true"/>
    <xf numFmtId="0" fontId="6164" fillId="0" borderId="0" xfId="0" applyFill="true" applyBorder="true" applyNumberFormat="true" applyFont="true"/>
    <xf numFmtId="0" fontId="6165" fillId="0" borderId="0" xfId="0" applyFill="true" applyBorder="true" applyNumberFormat="true" applyFont="true"/>
    <xf numFmtId="0" fontId="6166" fillId="0" borderId="0" xfId="0" applyFill="true" applyBorder="true" applyNumberFormat="true" applyFont="true"/>
    <xf numFmtId="0" fontId="6167" fillId="0" borderId="0" xfId="0" applyFill="true" applyBorder="true" applyNumberFormat="true" applyFont="true"/>
    <xf numFmtId="0" fontId="6168" fillId="0" borderId="0" xfId="0" applyFill="true" applyBorder="true" applyNumberFormat="true" applyFont="true"/>
    <xf numFmtId="0" fontId="6169" fillId="0" borderId="0" xfId="0" applyFill="true" applyBorder="true" applyNumberFormat="true" applyFont="true"/>
    <xf numFmtId="0" fontId="6170" fillId="0" borderId="0" xfId="0" applyFill="true" applyBorder="true" applyNumberFormat="true" applyFont="true"/>
    <xf numFmtId="0" fontId="6171" fillId="0" borderId="0" xfId="0" applyFill="true" applyBorder="true" applyNumberFormat="true" applyFont="true"/>
    <xf numFmtId="0" fontId="6172" fillId="0" borderId="0" xfId="0" applyFill="true" applyBorder="true" applyNumberFormat="true" applyFont="true"/>
    <xf numFmtId="0" fontId="6173" fillId="0" borderId="0" xfId="0" applyFill="true" applyBorder="true" applyNumberFormat="true" applyFont="true"/>
    <xf numFmtId="0" fontId="6174" fillId="0" borderId="0" xfId="0" applyFill="true" applyBorder="true" applyNumberFormat="true" applyFont="true"/>
    <xf numFmtId="0" fontId="6175" fillId="0" borderId="0" xfId="0" applyFill="true" applyBorder="true" applyNumberFormat="true" applyFont="true"/>
    <xf numFmtId="0" fontId="6176" fillId="0" borderId="0" xfId="0" applyFill="true" applyBorder="true" applyNumberFormat="true" applyFont="true"/>
    <xf numFmtId="0" fontId="6177" fillId="0" borderId="0" xfId="0" applyFill="true" applyBorder="true" applyNumberFormat="true" applyFont="true"/>
    <xf numFmtId="0" fontId="6178" fillId="0" borderId="0" xfId="0" applyFill="true" applyBorder="true" applyNumberFormat="true" applyFont="true"/>
    <xf numFmtId="0" fontId="6179" fillId="0" borderId="0" xfId="0" applyFill="true" applyBorder="true" applyNumberFormat="true" applyFont="true"/>
    <xf numFmtId="0" fontId="6180" fillId="0" borderId="0" xfId="0" applyFill="true" applyBorder="true" applyNumberFormat="true" applyFont="true"/>
    <xf numFmtId="0" fontId="6181" fillId="0" borderId="0" xfId="0" applyFill="true" applyBorder="true" applyNumberFormat="true" applyFont="true"/>
    <xf numFmtId="0" fontId="6182" fillId="0" borderId="0" xfId="0" applyFill="true" applyBorder="true" applyNumberFormat="true" applyFont="true"/>
    <xf numFmtId="0" fontId="6183" fillId="0" borderId="0" xfId="0" applyFill="true" applyBorder="true" applyNumberFormat="true" applyFont="true"/>
    <xf numFmtId="0" fontId="6184" fillId="0" borderId="0" xfId="0" applyFill="true" applyBorder="true" applyNumberFormat="true" applyFont="true"/>
    <xf numFmtId="0" fontId="6185" fillId="0" borderId="0" xfId="0" applyFill="true" applyBorder="true" applyNumberFormat="true" applyFont="true"/>
    <xf numFmtId="0" fontId="6186" fillId="0" borderId="0" xfId="0" applyFill="true" applyBorder="true" applyNumberFormat="true" applyFont="true"/>
    <xf numFmtId="0" fontId="6187" fillId="0" borderId="0" xfId="0" applyFill="true" applyBorder="true" applyNumberFormat="true" applyFont="true"/>
    <xf numFmtId="0" fontId="6188" fillId="0" borderId="0" xfId="0" applyFill="true" applyBorder="true" applyNumberFormat="true" applyFont="true"/>
    <xf numFmtId="0" fontId="6189" fillId="0" borderId="0" xfId="0" applyFill="true" applyBorder="true" applyNumberFormat="true" applyFont="true"/>
    <xf numFmtId="0" fontId="6190" fillId="0" borderId="0" xfId="0" applyFill="true" applyBorder="true" applyNumberFormat="true" applyFont="true"/>
    <xf numFmtId="0" fontId="6191" fillId="0" borderId="0" xfId="0" applyFill="true" applyBorder="true" applyNumberFormat="true" applyFont="true"/>
    <xf numFmtId="0" fontId="6192" fillId="0" borderId="0" xfId="0" applyFill="true" applyBorder="true" applyNumberFormat="true" applyFont="true"/>
    <xf numFmtId="0" fontId="6193" fillId="0" borderId="0" xfId="0" applyFill="true" applyBorder="true" applyNumberFormat="true" applyFont="true"/>
    <xf numFmtId="0" fontId="6194" fillId="0" borderId="0" xfId="0" applyFill="true" applyBorder="true" applyNumberFormat="true" applyFont="true"/>
    <xf numFmtId="0" fontId="6195" fillId="0" borderId="0" xfId="0" applyFill="true" applyBorder="true" applyNumberFormat="true" applyFont="true"/>
    <xf numFmtId="0" fontId="6196" fillId="0" borderId="0" xfId="0" applyFill="true" applyBorder="true" applyNumberFormat="true" applyFont="true"/>
    <xf numFmtId="0" fontId="6197" fillId="0" borderId="0" xfId="0" applyFill="true" applyBorder="true" applyNumberFormat="true" applyFont="true"/>
    <xf numFmtId="0" fontId="6198" fillId="0" borderId="0" xfId="0" applyFill="true" applyBorder="true" applyNumberFormat="true" applyFont="true"/>
    <xf numFmtId="0" fontId="6199" fillId="0" borderId="0" xfId="0" applyFill="true" applyBorder="true" applyNumberFormat="true" applyFont="true"/>
    <xf numFmtId="0" fontId="6200" fillId="0" borderId="0" xfId="0" applyFill="true" applyBorder="true" applyNumberFormat="true" applyFont="true"/>
    <xf numFmtId="0" fontId="6201" fillId="0" borderId="0" xfId="0" applyFill="true" applyBorder="true" applyNumberFormat="true" applyFont="true"/>
    <xf numFmtId="0" fontId="6202" fillId="0" borderId="0" xfId="0" applyFill="true" applyBorder="true" applyNumberFormat="true" applyFont="true"/>
    <xf numFmtId="0" fontId="6203" fillId="0" borderId="0" xfId="0" applyFill="true" applyBorder="true" applyNumberFormat="true" applyFont="true"/>
    <xf numFmtId="0" fontId="6204" fillId="0" borderId="0" xfId="0" applyFill="true" applyBorder="true" applyNumberFormat="true" applyFont="true"/>
    <xf numFmtId="0" fontId="6205" fillId="0" borderId="0" xfId="0" applyFill="true" applyBorder="true" applyNumberFormat="true" applyFont="true"/>
    <xf numFmtId="0" fontId="6206" fillId="0" borderId="0" xfId="0" applyFill="true" applyBorder="true" applyNumberFormat="true" applyFont="true"/>
    <xf numFmtId="0" fontId="6207" fillId="0" borderId="0" xfId="0" applyFill="true" applyBorder="true" applyNumberFormat="true" applyFont="true"/>
    <xf numFmtId="0" fontId="6208" fillId="0" borderId="0" xfId="0" applyFill="true" applyBorder="true" applyNumberFormat="true" applyFont="true"/>
    <xf numFmtId="0" fontId="6209" fillId="0" borderId="0" xfId="0" applyFill="true" applyBorder="true" applyNumberFormat="true" applyFont="true"/>
    <xf numFmtId="0" fontId="6210" fillId="0" borderId="0" xfId="0" applyFill="true" applyBorder="true" applyNumberFormat="true" applyFont="true"/>
    <xf numFmtId="0" fontId="6211" fillId="0" borderId="0" xfId="0" applyFill="true" applyBorder="true" applyNumberFormat="true" applyFont="true"/>
    <xf numFmtId="0" fontId="6212" fillId="0" borderId="0" xfId="0" applyFill="true" applyBorder="true" applyNumberFormat="true" applyFont="true"/>
    <xf numFmtId="0" fontId="6213" fillId="0" borderId="0" xfId="0" applyFill="true" applyBorder="true" applyNumberFormat="true" applyFont="true"/>
    <xf numFmtId="0" fontId="6214" fillId="0" borderId="0" xfId="0" applyFill="true" applyBorder="true" applyNumberFormat="true" applyFont="true"/>
    <xf numFmtId="0" fontId="6215" fillId="0" borderId="0" xfId="0" applyFill="true" applyBorder="true" applyNumberFormat="true" applyFont="true"/>
    <xf numFmtId="0" fontId="6216" fillId="0" borderId="0" xfId="0" applyFill="true" applyBorder="true" applyNumberFormat="true" applyFont="true"/>
    <xf numFmtId="0" fontId="6217" fillId="0" borderId="0" xfId="0" applyFill="true" applyBorder="true" applyNumberFormat="true" applyFont="true"/>
    <xf numFmtId="0" fontId="6218" fillId="0" borderId="0" xfId="0" applyFill="true" applyBorder="true" applyNumberFormat="true" applyFont="true"/>
    <xf numFmtId="0" fontId="6219" fillId="0" borderId="0" xfId="0" applyFill="true" applyBorder="true" applyNumberFormat="true" applyFont="true"/>
    <xf numFmtId="0" fontId="6220" fillId="0" borderId="0" xfId="0" applyFill="true" applyBorder="true" applyNumberFormat="true" applyFont="true"/>
    <xf numFmtId="0" fontId="6221" fillId="0" borderId="0" xfId="0" applyFill="true" applyBorder="true" applyNumberFormat="true" applyFont="true"/>
    <xf numFmtId="0" fontId="6222" fillId="0" borderId="0" xfId="0" applyFill="true" applyBorder="true" applyNumberFormat="true" applyFont="true"/>
    <xf numFmtId="0" fontId="6223" fillId="0" borderId="0" xfId="0" applyFill="true" applyBorder="true" applyNumberFormat="true" applyFont="true"/>
    <xf numFmtId="0" fontId="6224" fillId="0" borderId="0" xfId="0" applyFill="true" applyBorder="true" applyNumberFormat="true" applyFont="true"/>
    <xf numFmtId="0" fontId="6225" fillId="0" borderId="0" xfId="0" applyFill="true" applyBorder="true" applyNumberFormat="true" applyFont="true"/>
    <xf numFmtId="0" fontId="6226" fillId="0" borderId="0" xfId="0" applyFill="true" applyBorder="true" applyNumberFormat="true" applyFont="true"/>
    <xf numFmtId="0" fontId="6227" fillId="0" borderId="0" xfId="0" applyFill="true" applyBorder="true" applyNumberFormat="true" applyFont="true"/>
    <xf numFmtId="0" fontId="6228" fillId="0" borderId="0" xfId="0" applyFill="true" applyBorder="true" applyNumberFormat="true" applyFont="true"/>
    <xf numFmtId="0" fontId="6229" fillId="0" borderId="0" xfId="0" applyFill="true" applyBorder="true" applyNumberFormat="true" applyFont="true"/>
    <xf numFmtId="0" fontId="6230" fillId="0" borderId="0" xfId="0" applyFill="true" applyBorder="true" applyNumberFormat="true" applyFont="true"/>
    <xf numFmtId="0" fontId="6231" fillId="0" borderId="0" xfId="0" applyFill="true" applyBorder="true" applyNumberFormat="true" applyFont="true"/>
    <xf numFmtId="0" fontId="6232" fillId="0" borderId="0" xfId="0" applyFill="true" applyBorder="true" applyNumberFormat="true" applyFont="true"/>
    <xf numFmtId="0" fontId="6233" fillId="0" borderId="0" xfId="0" applyFill="true" applyBorder="true" applyNumberFormat="true" applyFont="true"/>
    <xf numFmtId="0" fontId="6234" fillId="0" borderId="0" xfId="0" applyFill="true" applyBorder="true" applyNumberFormat="true" applyFont="true"/>
    <xf numFmtId="0" fontId="6235" fillId="0" borderId="0" xfId="0" applyFill="true" applyBorder="true" applyNumberFormat="true" applyFont="true"/>
    <xf numFmtId="0" fontId="6236" fillId="0" borderId="0" xfId="0" applyFill="true" applyBorder="true" applyNumberFormat="true" applyFont="true"/>
    <xf numFmtId="0" fontId="6237" fillId="0" borderId="0" xfId="0" applyFill="true" applyBorder="true" applyNumberFormat="true" applyFont="true"/>
    <xf numFmtId="0" fontId="6238" fillId="0" borderId="0" xfId="0" applyFill="true" applyBorder="true" applyNumberFormat="true" applyFont="true"/>
    <xf numFmtId="0" fontId="6239" fillId="0" borderId="0" xfId="0" applyFill="true" applyBorder="true" applyNumberFormat="true" applyFont="true"/>
    <xf numFmtId="0" fontId="6240" fillId="0" borderId="0" xfId="0" applyFill="true" applyBorder="true" applyNumberFormat="true" applyFont="true"/>
    <xf numFmtId="0" fontId="6241" fillId="0" borderId="0" xfId="0" applyFill="true" applyBorder="true" applyNumberFormat="true" applyFont="true"/>
    <xf numFmtId="0" fontId="6242" fillId="0" borderId="0" xfId="0" applyFill="true" applyBorder="true" applyNumberFormat="true" applyFont="true"/>
    <xf numFmtId="0" fontId="6243" fillId="0" borderId="0" xfId="0" applyFill="true" applyBorder="true" applyNumberFormat="true" applyFont="true"/>
    <xf numFmtId="0" fontId="6244" fillId="0" borderId="0" xfId="0" applyFill="true" applyBorder="true" applyNumberFormat="true" applyFont="true"/>
    <xf numFmtId="0" fontId="6245" fillId="0" borderId="0" xfId="0" applyFill="true" applyBorder="true" applyNumberFormat="true" applyFont="true"/>
    <xf numFmtId="0" fontId="6246" fillId="0" borderId="0" xfId="0" applyFill="true" applyBorder="true" applyNumberFormat="true" applyFont="true"/>
    <xf numFmtId="0" fontId="6247" fillId="0" borderId="0" xfId="0" applyFill="true" applyBorder="true" applyNumberFormat="true" applyFont="true"/>
    <xf numFmtId="0" fontId="6248" fillId="0" borderId="0" xfId="0" applyFill="true" applyBorder="true" applyNumberFormat="true" applyFont="true"/>
    <xf numFmtId="0" fontId="6249" fillId="0" borderId="0" xfId="0" applyFill="true" applyBorder="true" applyNumberFormat="true" applyFont="true"/>
    <xf numFmtId="0" fontId="6250" fillId="0" borderId="0" xfId="0" applyFill="true" applyBorder="true" applyNumberFormat="true" applyFont="true"/>
    <xf numFmtId="0" fontId="6251" fillId="0" borderId="0" xfId="0" applyFill="true" applyBorder="true" applyNumberFormat="true" applyFont="true"/>
    <xf numFmtId="0" fontId="6252" fillId="0" borderId="0" xfId="0" applyFill="true" applyBorder="true" applyNumberFormat="true" applyFont="true"/>
    <xf numFmtId="0" fontId="6253" fillId="0" borderId="0" xfId="0" applyFill="true" applyBorder="true" applyNumberFormat="true" applyFont="true"/>
    <xf numFmtId="0" fontId="6254" fillId="0" borderId="0" xfId="0" applyFill="true" applyBorder="true" applyNumberFormat="true" applyFont="true"/>
    <xf numFmtId="0" fontId="6255" fillId="0" borderId="0" xfId="0" applyFill="true" applyBorder="true" applyNumberFormat="true" applyFont="true"/>
    <xf numFmtId="0" fontId="6256" fillId="0" borderId="0" xfId="0" applyFill="true" applyBorder="true" applyNumberFormat="true" applyFont="true"/>
    <xf numFmtId="0" fontId="6257" fillId="0" borderId="0" xfId="0" applyFill="true" applyBorder="true" applyNumberFormat="true" applyFont="true"/>
    <xf numFmtId="0" fontId="6258" fillId="0" borderId="0" xfId="0" applyFill="true" applyBorder="true" applyNumberFormat="true" applyFont="true"/>
    <xf numFmtId="0" fontId="6259" fillId="0" borderId="0" xfId="0" applyFill="true" applyBorder="true" applyNumberFormat="true" applyFont="true"/>
    <xf numFmtId="0" fontId="6260" fillId="0" borderId="0" xfId="0" applyFill="true" applyBorder="true" applyNumberFormat="true" applyFont="true"/>
    <xf numFmtId="0" fontId="6261" fillId="0" borderId="0" xfId="0" applyFill="true" applyBorder="true" applyNumberFormat="true" applyFont="true"/>
    <xf numFmtId="0" fontId="6262" fillId="0" borderId="0" xfId="0" applyFill="true" applyBorder="true" applyNumberFormat="true" applyFont="true"/>
    <xf numFmtId="0" fontId="6263" fillId="0" borderId="0" xfId="0" applyFill="true" applyBorder="true" applyNumberFormat="true" applyFont="true"/>
    <xf numFmtId="0" fontId="6264" fillId="0" borderId="0" xfId="0" applyFill="true" applyBorder="true" applyNumberFormat="true" applyFont="true"/>
    <xf numFmtId="0" fontId="6265" fillId="0" borderId="0" xfId="0" applyFill="true" applyBorder="true" applyNumberFormat="true" applyFont="true"/>
    <xf numFmtId="0" fontId="6266" fillId="0" borderId="0" xfId="0" applyFill="true" applyBorder="true" applyNumberFormat="true" applyFont="true"/>
    <xf numFmtId="0" fontId="6267" fillId="0" borderId="0" xfId="0" applyFill="true" applyBorder="true" applyNumberFormat="true" applyFont="true"/>
    <xf numFmtId="0" fontId="6268" fillId="0" borderId="0" xfId="0" applyFill="true" applyBorder="true" applyNumberFormat="true" applyFont="true"/>
    <xf numFmtId="0" fontId="6269" fillId="0" borderId="0" xfId="0" applyFill="true" applyBorder="true" applyNumberFormat="true" applyFont="true"/>
    <xf numFmtId="0" fontId="6270" fillId="0" borderId="0" xfId="0" applyFill="true" applyBorder="true" applyNumberFormat="true" applyFont="true"/>
    <xf numFmtId="0" fontId="6271" fillId="0" borderId="0" xfId="0" applyFill="true" applyBorder="true" applyNumberFormat="true" applyFont="true"/>
    <xf numFmtId="0" fontId="6272" fillId="0" borderId="0" xfId="0" applyFill="true" applyBorder="true" applyNumberFormat="true" applyFont="true"/>
    <xf numFmtId="0" fontId="6273" fillId="0" borderId="0" xfId="0" applyFill="true" applyBorder="true" applyNumberFormat="true" applyFont="true"/>
    <xf numFmtId="0" fontId="6274" fillId="0" borderId="0" xfId="0" applyFill="true" applyBorder="true" applyNumberFormat="true" applyFont="true"/>
    <xf numFmtId="0" fontId="6275" fillId="0" borderId="0" xfId="0" applyFill="true" applyBorder="true" applyNumberFormat="true" applyFont="true"/>
    <xf numFmtId="0" fontId="6276" fillId="0" borderId="0" xfId="0" applyFill="true" applyBorder="true" applyNumberFormat="true" applyFont="true"/>
    <xf numFmtId="0" fontId="6277" fillId="0" borderId="0" xfId="0" applyFill="true" applyBorder="true" applyNumberFormat="true" applyFont="true"/>
    <xf numFmtId="0" fontId="6278" fillId="0" borderId="0" xfId="0" applyFill="true" applyBorder="true" applyNumberFormat="true" applyFont="true"/>
    <xf numFmtId="0" fontId="6279" fillId="0" borderId="0" xfId="0" applyFill="true" applyBorder="true" applyNumberFormat="true" applyFont="true"/>
    <xf numFmtId="0" fontId="6280" fillId="0" borderId="0" xfId="0" applyFill="true" applyBorder="true" applyNumberFormat="true" applyFont="true"/>
    <xf numFmtId="0" fontId="6281" fillId="0" borderId="0" xfId="0" applyFill="true" applyBorder="true" applyNumberFormat="true" applyFont="true"/>
    <xf numFmtId="0" fontId="6282" fillId="0" borderId="0" xfId="0" applyFill="true" applyBorder="true" applyNumberFormat="true" applyFont="true"/>
    <xf numFmtId="0" fontId="6283" fillId="0" borderId="0" xfId="0" applyFill="true" applyBorder="true" applyNumberFormat="true" applyFont="true"/>
    <xf numFmtId="0" fontId="6284" fillId="0" borderId="0" xfId="0" applyFill="true" applyBorder="true" applyNumberFormat="true" applyFont="true"/>
    <xf numFmtId="0" fontId="6285" fillId="0" borderId="0" xfId="0" applyFill="true" applyBorder="true" applyNumberFormat="true" applyFont="true"/>
    <xf numFmtId="0" fontId="6286" fillId="0" borderId="0" xfId="0" applyFill="true" applyBorder="true" applyNumberFormat="true" applyFont="true"/>
    <xf numFmtId="0" fontId="6287" fillId="0" borderId="0" xfId="0" applyFill="true" applyBorder="true" applyNumberFormat="true" applyFont="true"/>
    <xf numFmtId="0" fontId="6288" fillId="0" borderId="0" xfId="0" applyFill="true" applyBorder="true" applyNumberFormat="true" applyFont="true"/>
    <xf numFmtId="0" fontId="6289" fillId="0" borderId="0" xfId="0" applyFill="true" applyBorder="true" applyNumberFormat="true" applyFont="true"/>
    <xf numFmtId="0" fontId="6290" fillId="0" borderId="0" xfId="0" applyFill="true" applyBorder="true" applyNumberFormat="true" applyFont="true"/>
    <xf numFmtId="0" fontId="6291" fillId="0" borderId="0" xfId="0" applyFill="true" applyBorder="true" applyNumberFormat="true" applyFont="true"/>
    <xf numFmtId="0" fontId="6292" fillId="0" borderId="0" xfId="0" applyFill="true" applyBorder="true" applyNumberFormat="true" applyFont="true"/>
    <xf numFmtId="0" fontId="6293" fillId="0" borderId="0" xfId="0" applyFill="true" applyBorder="true" applyNumberFormat="true" applyFont="true"/>
    <xf numFmtId="0" fontId="6294" fillId="0" borderId="0" xfId="0" applyFill="true" applyBorder="true" applyNumberFormat="true" applyFont="true"/>
    <xf numFmtId="0" fontId="6295" fillId="0" borderId="0" xfId="0" applyFill="true" applyBorder="true" applyNumberFormat="true" applyFont="true"/>
    <xf numFmtId="0" fontId="6296" fillId="0" borderId="0" xfId="0" applyFill="true" applyBorder="true" applyNumberFormat="true" applyFont="true"/>
    <xf numFmtId="0" fontId="6297" fillId="0" borderId="0" xfId="0" applyFill="true" applyBorder="true" applyNumberFormat="true" applyFont="true"/>
    <xf numFmtId="0" fontId="6298" fillId="0" borderId="0" xfId="0" applyFill="true" applyBorder="true" applyNumberFormat="true" applyFont="true"/>
    <xf numFmtId="0" fontId="6299" fillId="0" borderId="0" xfId="0" applyFill="true" applyBorder="true" applyNumberFormat="true" applyFont="true"/>
    <xf numFmtId="0" fontId="6300" fillId="0" borderId="0" xfId="0" applyFill="true" applyBorder="true" applyNumberFormat="true" applyFont="true"/>
    <xf numFmtId="0" fontId="6301" fillId="0" borderId="0" xfId="0" applyFill="true" applyBorder="true" applyNumberFormat="true" applyFont="true"/>
    <xf numFmtId="0" fontId="6302" fillId="0" borderId="0" xfId="0" applyFill="true" applyBorder="true" applyNumberFormat="true" applyFont="true"/>
    <xf numFmtId="0" fontId="6303" fillId="0" borderId="0" xfId="0" applyFill="true" applyBorder="true" applyNumberFormat="true" applyFont="true"/>
    <xf numFmtId="0" fontId="6304" fillId="0" borderId="0" xfId="0" applyFill="true" applyBorder="true" applyNumberFormat="true" applyFont="true"/>
    <xf numFmtId="0" fontId="6305" fillId="0" borderId="0" xfId="0" applyFill="true" applyBorder="true" applyNumberFormat="true" applyFont="true"/>
    <xf numFmtId="0" fontId="6306" fillId="0" borderId="0" xfId="0" applyFill="true" applyBorder="true" applyNumberFormat="true" applyFont="true"/>
    <xf numFmtId="0" fontId="6307" fillId="0" borderId="0" xfId="0" applyFill="true" applyBorder="true" applyNumberFormat="true" applyFont="true"/>
    <xf numFmtId="0" fontId="6308" fillId="0" borderId="0" xfId="0" applyFill="true" applyBorder="true" applyNumberFormat="true" applyFont="true"/>
    <xf numFmtId="0" fontId="6309" fillId="0" borderId="0" xfId="0" applyFill="true" applyBorder="true" applyNumberFormat="true" applyFont="true"/>
    <xf numFmtId="0" fontId="6310" fillId="0" borderId="0" xfId="0" applyFill="true" applyBorder="true" applyNumberFormat="true" applyFont="true"/>
    <xf numFmtId="0" fontId="6311" fillId="0" borderId="0" xfId="0" applyFill="true" applyBorder="true" applyNumberFormat="true" applyFont="true"/>
    <xf numFmtId="0" fontId="6312" fillId="0" borderId="0" xfId="0" applyFill="true" applyBorder="true" applyNumberFormat="true" applyFont="true"/>
    <xf numFmtId="0" fontId="6313" fillId="0" borderId="0" xfId="0" applyFill="true" applyBorder="true" applyNumberFormat="true" applyFont="true"/>
    <xf numFmtId="0" fontId="6314" fillId="0" borderId="0" xfId="0" applyFill="true" applyBorder="true" applyNumberFormat="true" applyFont="true"/>
    <xf numFmtId="0" fontId="6315" fillId="0" borderId="0" xfId="0" applyFill="true" applyBorder="true" applyNumberFormat="true" applyFont="true"/>
    <xf numFmtId="0" fontId="6316" fillId="0" borderId="0" xfId="0" applyFill="true" applyBorder="true" applyNumberFormat="true" applyFont="true"/>
    <xf numFmtId="0" fontId="6317" fillId="0" borderId="0" xfId="0" applyFill="true" applyBorder="true" applyNumberFormat="true" applyFont="true"/>
    <xf numFmtId="0" fontId="6318" fillId="0" borderId="0" xfId="0" applyFill="true" applyBorder="true" applyNumberFormat="true" applyFont="true"/>
    <xf numFmtId="0" fontId="6319" fillId="0" borderId="0" xfId="0" applyFill="true" applyBorder="true" applyNumberFormat="true" applyFont="true"/>
    <xf numFmtId="0" fontId="6320" fillId="0" borderId="0" xfId="0" applyFill="true" applyBorder="true" applyNumberFormat="true" applyFont="true"/>
    <xf numFmtId="0" fontId="6321" fillId="0" borderId="0" xfId="0" applyFill="true" applyBorder="true" applyNumberFormat="true" applyFont="true"/>
    <xf numFmtId="0" fontId="6322" fillId="0" borderId="0" xfId="0" applyFill="true" applyBorder="true" applyNumberFormat="true" applyFont="true"/>
    <xf numFmtId="0" fontId="6323" fillId="0" borderId="0" xfId="0" applyFill="true" applyBorder="true" applyNumberFormat="true" applyFont="true"/>
    <xf numFmtId="0" fontId="6324" fillId="0" borderId="0" xfId="0" applyFill="true" applyBorder="true" applyNumberFormat="true" applyFont="true"/>
    <xf numFmtId="0" fontId="6325" fillId="0" borderId="0" xfId="0" applyFill="true" applyBorder="true" applyNumberFormat="true" applyFont="true"/>
    <xf numFmtId="0" fontId="6326" fillId="0" borderId="0" xfId="0" applyFill="true" applyBorder="true" applyNumberFormat="true" applyFont="true"/>
    <xf numFmtId="0" fontId="6327" fillId="0" borderId="0" xfId="0" applyFill="true" applyBorder="true" applyNumberFormat="true" applyFont="true"/>
    <xf numFmtId="0" fontId="6328" fillId="0" borderId="0" xfId="0" applyFill="true" applyBorder="true" applyNumberFormat="true" applyFont="true"/>
    <xf numFmtId="0" fontId="6329" fillId="0" borderId="0" xfId="0" applyFill="true" applyBorder="true" applyNumberFormat="true" applyFont="true"/>
    <xf numFmtId="0" fontId="6330" fillId="0" borderId="0" xfId="0" applyFill="true" applyBorder="true" applyNumberFormat="true" applyFont="true"/>
    <xf numFmtId="0" fontId="6331" fillId="0" borderId="0" xfId="0" applyFill="true" applyBorder="true" applyNumberFormat="true" applyFont="true"/>
    <xf numFmtId="0" fontId="6332" fillId="0" borderId="0" xfId="0" applyFill="true" applyBorder="true" applyNumberFormat="true" applyFont="true"/>
    <xf numFmtId="0" fontId="6333" fillId="0" borderId="0" xfId="0" applyFill="true" applyBorder="true" applyNumberFormat="true" applyFont="true"/>
    <xf numFmtId="0" fontId="6334" fillId="0" borderId="0" xfId="0" applyFill="true" applyBorder="true" applyNumberFormat="true" applyFont="true"/>
    <xf numFmtId="0" fontId="6335" fillId="0" borderId="0" xfId="0" applyFill="true" applyBorder="true" applyNumberFormat="true" applyFont="true"/>
    <xf numFmtId="0" fontId="6336" fillId="0" borderId="0" xfId="0" applyFill="true" applyBorder="true" applyNumberFormat="true" applyFont="true"/>
    <xf numFmtId="0" fontId="6337" fillId="0" borderId="0" xfId="0" applyFill="true" applyBorder="true" applyNumberFormat="true" applyFont="true"/>
    <xf numFmtId="0" fontId="6338" fillId="0" borderId="0" xfId="0" applyFill="true" applyBorder="true" applyNumberFormat="true" applyFont="true"/>
    <xf numFmtId="0" fontId="6339" fillId="0" borderId="0" xfId="0" applyFill="true" applyBorder="true" applyNumberFormat="true" applyFont="true"/>
    <xf numFmtId="0" fontId="6340" fillId="0" borderId="0" xfId="0" applyFill="true" applyBorder="true" applyNumberFormat="true" applyFont="true"/>
    <xf numFmtId="0" fontId="6341" fillId="0" borderId="0" xfId="0" applyFill="true" applyBorder="true" applyNumberFormat="true" applyFont="true"/>
    <xf numFmtId="0" fontId="6342" fillId="0" borderId="0" xfId="0" applyFill="true" applyBorder="true" applyNumberFormat="true" applyFont="true"/>
    <xf numFmtId="0" fontId="6343" fillId="0" borderId="0" xfId="0" applyFill="true" applyBorder="true" applyNumberFormat="true" applyFont="true"/>
    <xf numFmtId="0" fontId="6344" fillId="0" borderId="0" xfId="0" applyFill="true" applyBorder="true" applyNumberFormat="true" applyFont="true"/>
    <xf numFmtId="0" fontId="6345" fillId="0" borderId="0" xfId="0" applyFill="true" applyBorder="true" applyNumberFormat="true" applyFont="true"/>
    <xf numFmtId="0" fontId="6346" fillId="0" borderId="0" xfId="0" applyFill="true" applyBorder="true" applyNumberFormat="true" applyFont="true"/>
    <xf numFmtId="0" fontId="6347" fillId="0" borderId="0" xfId="0" applyFill="true" applyBorder="true" applyNumberFormat="true" applyFont="true"/>
    <xf numFmtId="0" fontId="6348" fillId="0" borderId="0" xfId="0" applyFill="true" applyBorder="true" applyNumberFormat="true" applyFont="true"/>
    <xf numFmtId="0" fontId="6349" fillId="0" borderId="0" xfId="0" applyFill="true" applyBorder="true" applyNumberFormat="true" applyFont="true"/>
    <xf numFmtId="0" fontId="6350" fillId="0" borderId="0" xfId="0" applyFill="true" applyBorder="true" applyNumberFormat="true" applyFont="true"/>
    <xf numFmtId="0" fontId="6351" fillId="0" borderId="0" xfId="0" applyFill="true" applyBorder="true" applyNumberFormat="true" applyFont="true"/>
    <xf numFmtId="0" fontId="6352" fillId="0" borderId="0" xfId="0" applyFill="true" applyBorder="true" applyNumberFormat="true" applyFont="true"/>
    <xf numFmtId="0" fontId="6353" fillId="0" borderId="0" xfId="0" applyFill="true" applyBorder="true" applyNumberFormat="true" applyFont="true"/>
    <xf numFmtId="0" fontId="6354" fillId="0" borderId="0" xfId="0" applyFill="true" applyBorder="true" applyNumberFormat="true" applyFont="true"/>
    <xf numFmtId="0" fontId="6355" fillId="0" borderId="0" xfId="0" applyFill="true" applyBorder="true" applyNumberFormat="true" applyFont="true"/>
    <xf numFmtId="0" fontId="6356" fillId="0" borderId="0" xfId="0" applyFill="true" applyBorder="true" applyNumberFormat="true" applyFont="true"/>
    <xf numFmtId="0" fontId="6357" fillId="0" borderId="0" xfId="0" applyFill="true" applyBorder="true" applyNumberFormat="true" applyFont="true"/>
    <xf numFmtId="0" fontId="6358" fillId="0" borderId="0" xfId="0" applyFill="true" applyBorder="true" applyNumberFormat="true" applyFont="true"/>
    <xf numFmtId="0" fontId="6359" fillId="0" borderId="0" xfId="0" applyFill="true" applyBorder="true" applyNumberFormat="true" applyFont="true"/>
    <xf numFmtId="0" fontId="6360" fillId="0" borderId="0" xfId="0" applyFill="true" applyBorder="true" applyNumberFormat="true" applyFont="true"/>
    <xf numFmtId="0" fontId="6361" fillId="0" borderId="0" xfId="0" applyFill="true" applyBorder="true" applyNumberFormat="true" applyFont="true"/>
    <xf numFmtId="0" fontId="6362" fillId="0" borderId="0" xfId="0" applyFill="true" applyBorder="true" applyNumberFormat="true" applyFont="true"/>
    <xf numFmtId="0" fontId="6363" fillId="0" borderId="0" xfId="0" applyFill="true" applyBorder="true" applyNumberFormat="true" applyFont="true"/>
    <xf numFmtId="0" fontId="6364" fillId="0" borderId="0" xfId="0" applyFill="true" applyBorder="true" applyNumberFormat="true" applyFont="true"/>
    <xf numFmtId="0" fontId="6365" fillId="0" borderId="0" xfId="0" applyFill="true" applyBorder="true" applyNumberFormat="true" applyFont="true"/>
    <xf numFmtId="0" fontId="6366" fillId="0" borderId="0" xfId="0" applyFill="true" applyBorder="true" applyNumberFormat="true" applyFont="true"/>
    <xf numFmtId="0" fontId="6367" fillId="0" borderId="0" xfId="0" applyFill="true" applyBorder="true" applyNumberFormat="true" applyFont="true"/>
    <xf numFmtId="0" fontId="6368" fillId="0" borderId="0" xfId="0" applyFill="true" applyBorder="true" applyNumberFormat="true" applyFont="true"/>
    <xf numFmtId="0" fontId="6369" fillId="0" borderId="0" xfId="0" applyFill="true" applyBorder="true" applyNumberFormat="true" applyFont="true"/>
    <xf numFmtId="0" fontId="6370" fillId="0" borderId="0" xfId="0" applyFill="true" applyBorder="true" applyNumberFormat="true" applyFont="true"/>
    <xf numFmtId="0" fontId="6371" fillId="0" borderId="0" xfId="0" applyFill="true" applyBorder="true" applyNumberFormat="true" applyFont="true"/>
    <xf numFmtId="0" fontId="6372" fillId="0" borderId="0" xfId="0" applyFill="true" applyBorder="true" applyNumberFormat="true" applyFont="true"/>
    <xf numFmtId="0" fontId="6373" fillId="0" borderId="0" xfId="0" applyFill="true" applyBorder="true" applyNumberFormat="true" applyFont="true"/>
    <xf numFmtId="0" fontId="6374" fillId="0" borderId="0" xfId="0" applyFill="true" applyBorder="true" applyNumberFormat="true" applyFont="true"/>
    <xf numFmtId="0" fontId="6375" fillId="0" borderId="0" xfId="0" applyFill="true" applyBorder="true" applyNumberFormat="true" applyFont="true"/>
    <xf numFmtId="0" fontId="6376" fillId="0" borderId="0" xfId="0" applyFill="true" applyBorder="true" applyNumberFormat="true" applyFont="true"/>
    <xf numFmtId="0" fontId="6377" fillId="0" borderId="0" xfId="0" applyFill="true" applyBorder="true" applyNumberFormat="true" applyFont="true"/>
    <xf numFmtId="0" fontId="6378" fillId="0" borderId="0" xfId="0" applyFill="true" applyBorder="true" applyNumberFormat="true" applyFont="true"/>
    <xf numFmtId="0" fontId="6379" fillId="0" borderId="0" xfId="0" applyFill="true" applyBorder="true" applyNumberFormat="true" applyFont="true"/>
    <xf numFmtId="0" fontId="6380" fillId="0" borderId="0" xfId="0" applyFill="true" applyBorder="true" applyNumberFormat="true" applyFont="true"/>
    <xf numFmtId="0" fontId="6381" fillId="0" borderId="0" xfId="0" applyFill="true" applyBorder="true" applyNumberFormat="true" applyFont="true"/>
    <xf numFmtId="0" fontId="6382" fillId="0" borderId="0" xfId="0" applyFill="true" applyBorder="true" applyNumberFormat="true" applyFont="true"/>
    <xf numFmtId="0" fontId="6383" fillId="0" borderId="0" xfId="0" applyFill="true" applyBorder="true" applyNumberFormat="true" applyFont="true"/>
    <xf numFmtId="0" fontId="6384" fillId="0" borderId="0" xfId="0" applyFill="true" applyBorder="true" applyNumberFormat="true" applyFont="true"/>
    <xf numFmtId="0" fontId="6385" fillId="0" borderId="0" xfId="0" applyFill="true" applyBorder="true" applyNumberFormat="true" applyFont="true"/>
    <xf numFmtId="0" fontId="6386" fillId="0" borderId="0" xfId="0" applyFill="true" applyBorder="true" applyNumberFormat="true" applyFont="true"/>
    <xf numFmtId="0" fontId="6387" fillId="0" borderId="0" xfId="0" applyFill="true" applyBorder="true" applyNumberFormat="true" applyFont="true"/>
    <xf numFmtId="0" fontId="6388" fillId="0" borderId="0" xfId="0" applyFill="true" applyBorder="true" applyNumberFormat="true" applyFont="true"/>
    <xf numFmtId="0" fontId="6389" fillId="0" borderId="0" xfId="0" applyFill="true" applyBorder="true" applyNumberFormat="true" applyFont="true"/>
    <xf numFmtId="0" fontId="6390" fillId="0" borderId="0" xfId="0" applyFill="true" applyBorder="true" applyNumberFormat="true" applyFont="true"/>
    <xf numFmtId="0" fontId="6391" fillId="0" borderId="0" xfId="0" applyFill="true" applyBorder="true" applyNumberFormat="true" applyFont="true"/>
    <xf numFmtId="0" fontId="6392" fillId="0" borderId="0" xfId="0" applyFill="true" applyBorder="true" applyNumberFormat="true" applyFont="true"/>
    <xf numFmtId="0" fontId="6393" fillId="0" borderId="0" xfId="0" applyFill="true" applyBorder="true" applyNumberFormat="true" applyFont="true"/>
    <xf numFmtId="0" fontId="6394" fillId="0" borderId="0" xfId="0" applyFill="true" applyBorder="true" applyNumberFormat="true" applyFont="true"/>
    <xf numFmtId="0" fontId="6395" fillId="0" borderId="0" xfId="0" applyFill="true" applyBorder="true" applyNumberFormat="true" applyFont="true"/>
    <xf numFmtId="0" fontId="6396" fillId="0" borderId="0" xfId="0" applyFill="true" applyBorder="true" applyNumberFormat="true" applyFont="true"/>
    <xf numFmtId="0" fontId="6397" fillId="0" borderId="0" xfId="0" applyFill="true" applyBorder="true" applyNumberFormat="true" applyFont="true"/>
    <xf numFmtId="0" fontId="6398" fillId="0" borderId="0" xfId="0" applyFill="true" applyBorder="true" applyNumberFormat="true" applyFont="true"/>
    <xf numFmtId="0" fontId="6399" fillId="0" borderId="0" xfId="0" applyFill="true" applyBorder="true" applyNumberFormat="true" applyFont="true"/>
    <xf numFmtId="0" fontId="6400" fillId="0" borderId="0" xfId="0" applyFill="true" applyBorder="true" applyNumberFormat="true" applyFont="true"/>
    <xf numFmtId="0" fontId="6401" fillId="0" borderId="0" xfId="0" applyFill="true" applyBorder="true" applyNumberFormat="true" applyFont="true"/>
    <xf numFmtId="0" fontId="6402" fillId="0" borderId="0" xfId="0" applyFill="true" applyBorder="true" applyNumberFormat="true" applyFont="true"/>
    <xf numFmtId="0" fontId="6403" fillId="0" borderId="0" xfId="0" applyFill="true" applyBorder="true" applyNumberFormat="true" applyFont="true"/>
    <xf numFmtId="0" fontId="6404" fillId="0" borderId="0" xfId="0" applyFill="true" applyBorder="true" applyNumberFormat="true" applyFont="true"/>
    <xf numFmtId="0" fontId="6405" fillId="0" borderId="0" xfId="0" applyFill="true" applyBorder="true" applyNumberFormat="true" applyFont="true"/>
    <xf numFmtId="0" fontId="6406" fillId="0" borderId="0" xfId="0" applyFill="true" applyBorder="true" applyNumberFormat="true" applyFont="true"/>
    <xf numFmtId="0" fontId="6407" fillId="0" borderId="0" xfId="0" applyFill="true" applyBorder="true" applyNumberFormat="true" applyFont="true"/>
    <xf numFmtId="0" fontId="6408" fillId="0" borderId="0" xfId="0" applyFill="true" applyBorder="true" applyNumberFormat="true" applyFont="true"/>
    <xf numFmtId="0" fontId="6409" fillId="0" borderId="0" xfId="0" applyFill="true" applyBorder="true" applyNumberFormat="true" applyFont="true"/>
    <xf numFmtId="0" fontId="6410" fillId="0" borderId="0" xfId="0" applyFill="true" applyBorder="true" applyNumberFormat="true" applyFont="true"/>
    <xf numFmtId="0" fontId="6411" fillId="0" borderId="0" xfId="0" applyFill="true" applyBorder="true" applyNumberFormat="true" applyFont="true"/>
    <xf numFmtId="0" fontId="6412" fillId="0" borderId="0" xfId="0" applyFill="true" applyBorder="true" applyNumberFormat="true" applyFont="true"/>
    <xf numFmtId="0" fontId="6413" fillId="0" borderId="0" xfId="0" applyFill="true" applyBorder="true" applyNumberFormat="true" applyFont="true"/>
    <xf numFmtId="0" fontId="6414" fillId="0" borderId="0" xfId="0" applyFill="true" applyBorder="true" applyNumberFormat="true" applyFont="true"/>
    <xf numFmtId="0" fontId="6415" fillId="0" borderId="0" xfId="0" applyFill="true" applyBorder="true" applyNumberFormat="true" applyFont="true"/>
    <xf numFmtId="0" fontId="6416" fillId="0" borderId="0" xfId="0" applyFill="true" applyBorder="true" applyNumberFormat="true" applyFont="true"/>
    <xf numFmtId="0" fontId="6417" fillId="0" borderId="0" xfId="0" applyFill="true" applyBorder="true" applyNumberFormat="true" applyFont="true"/>
    <xf numFmtId="0" fontId="6418" fillId="0" borderId="0" xfId="0" applyFill="true" applyBorder="true" applyNumberFormat="true" applyFont="true"/>
    <xf numFmtId="0" fontId="6419" fillId="0" borderId="0" xfId="0" applyFill="true" applyBorder="true" applyNumberFormat="true" applyFont="true"/>
    <xf numFmtId="0" fontId="6420" fillId="0" borderId="0" xfId="0" applyFill="true" applyBorder="true" applyNumberFormat="true" applyFont="true"/>
    <xf numFmtId="0" fontId="6421" fillId="0" borderId="0" xfId="0" applyFill="true" applyBorder="true" applyNumberFormat="true" applyFont="true"/>
    <xf numFmtId="0" fontId="6422" fillId="0" borderId="0" xfId="0" applyFill="true" applyBorder="true" applyNumberFormat="true" applyFont="true"/>
    <xf numFmtId="0" fontId="6423" fillId="0" borderId="0" xfId="0" applyFill="true" applyBorder="true" applyNumberFormat="true" applyFont="true"/>
    <xf numFmtId="0" fontId="6424" fillId="0" borderId="0" xfId="0" applyFill="true" applyBorder="true" applyNumberFormat="true" applyFont="true"/>
    <xf numFmtId="0" fontId="6425" fillId="0" borderId="0" xfId="0" applyFill="true" applyBorder="true" applyNumberFormat="true" applyFont="true"/>
    <xf numFmtId="0" fontId="6426" fillId="0" borderId="0" xfId="0" applyFill="true" applyBorder="true" applyNumberFormat="true" applyFont="true"/>
    <xf numFmtId="0" fontId="6427" fillId="0" borderId="0" xfId="0" applyFill="true" applyBorder="true" applyNumberFormat="true" applyFont="true"/>
    <xf numFmtId="0" fontId="6428" fillId="0" borderId="0" xfId="0" applyFill="true" applyBorder="true" applyNumberFormat="true" applyFont="true"/>
    <xf numFmtId="0" fontId="6429" fillId="0" borderId="0" xfId="0" applyFill="true" applyBorder="true" applyNumberFormat="true" applyFont="true"/>
    <xf numFmtId="0" fontId="6430" fillId="0" borderId="0" xfId="0" applyFill="true" applyBorder="true" applyNumberFormat="true" applyFont="true"/>
    <xf numFmtId="0" fontId="6431" fillId="0" borderId="0" xfId="0" applyFill="true" applyBorder="true" applyNumberFormat="true" applyFont="true"/>
    <xf numFmtId="0" fontId="6432" fillId="0" borderId="0" xfId="0" applyFill="true" applyBorder="true" applyNumberFormat="true" applyFont="true"/>
    <xf numFmtId="0" fontId="6433" fillId="0" borderId="0" xfId="0" applyFill="true" applyBorder="true" applyNumberFormat="true" applyFont="true"/>
    <xf numFmtId="0" fontId="6434" fillId="0" borderId="0" xfId="0" applyFill="true" applyBorder="true" applyNumberFormat="true" applyFont="true"/>
    <xf numFmtId="0" fontId="6435" fillId="0" borderId="0" xfId="0" applyFill="true" applyBorder="true" applyNumberFormat="true" applyFont="true"/>
    <xf numFmtId="0" fontId="6436" fillId="0" borderId="0" xfId="0" applyFill="true" applyBorder="true" applyNumberFormat="true" applyFont="true"/>
    <xf numFmtId="0" fontId="6437" fillId="0" borderId="0" xfId="0" applyFill="true" applyBorder="true" applyNumberFormat="true" applyFont="true"/>
    <xf numFmtId="0" fontId="6438" fillId="0" borderId="0" xfId="0" applyFill="true" applyBorder="true" applyNumberFormat="true" applyFont="true"/>
    <xf numFmtId="0" fontId="6439" fillId="0" borderId="0" xfId="0" applyFill="true" applyBorder="true" applyNumberFormat="true" applyFont="true"/>
    <xf numFmtId="0" fontId="6440" fillId="0" borderId="0" xfId="0" applyFill="true" applyBorder="true" applyNumberFormat="true" applyFont="true"/>
    <xf numFmtId="0" fontId="6441" fillId="0" borderId="0" xfId="0" applyFill="true" applyBorder="true" applyNumberFormat="true" applyFont="true"/>
    <xf numFmtId="0" fontId="6442" fillId="0" borderId="0" xfId="0" applyFill="true" applyBorder="true" applyNumberFormat="true" applyFont="true"/>
    <xf numFmtId="0" fontId="6443" fillId="0" borderId="0" xfId="0" applyFill="true" applyBorder="true" applyNumberFormat="true" applyFont="true"/>
    <xf numFmtId="0" fontId="6444" fillId="0" borderId="0" xfId="0" applyFill="true" applyBorder="true" applyNumberFormat="true" applyFont="true"/>
    <xf numFmtId="0" fontId="6445" fillId="0" borderId="0" xfId="0" applyFill="true" applyBorder="true" applyNumberFormat="true" applyFont="true"/>
    <xf numFmtId="0" fontId="6446" fillId="0" borderId="0" xfId="0" applyFill="true" applyBorder="true" applyNumberFormat="true" applyFont="true"/>
    <xf numFmtId="0" fontId="6447" fillId="0" borderId="0" xfId="0" applyFill="true" applyBorder="true" applyNumberFormat="true" applyFont="true"/>
    <xf numFmtId="0" fontId="6448" fillId="0" borderId="0" xfId="0" applyFill="true" applyBorder="true" applyNumberFormat="true" applyFont="true"/>
    <xf numFmtId="0" fontId="6449" fillId="0" borderId="0" xfId="0" applyFill="true" applyBorder="true" applyNumberFormat="true" applyFont="true"/>
    <xf numFmtId="0" fontId="6450" fillId="0" borderId="0" xfId="0" applyFill="true" applyBorder="true" applyNumberFormat="true" applyFont="true"/>
    <xf numFmtId="0" fontId="6451" fillId="0" borderId="0" xfId="0" applyFill="true" applyBorder="true" applyNumberFormat="true" applyFont="true"/>
    <xf numFmtId="0" fontId="6452" fillId="0" borderId="0" xfId="0" applyFill="true" applyBorder="true" applyNumberFormat="true" applyFont="true"/>
    <xf numFmtId="0" fontId="6453" fillId="0" borderId="0" xfId="0" applyFill="true" applyBorder="true" applyNumberFormat="true" applyFont="true"/>
    <xf numFmtId="0" fontId="6454" fillId="0" borderId="0" xfId="0" applyFill="true" applyBorder="true" applyNumberFormat="true" applyFont="true"/>
    <xf numFmtId="0" fontId="6455" fillId="0" borderId="0" xfId="0" applyFill="true" applyBorder="true" applyNumberFormat="true" applyFont="true"/>
    <xf numFmtId="0" fontId="6456" fillId="0" borderId="0" xfId="0" applyFill="true" applyBorder="true" applyNumberFormat="true" applyFont="true"/>
    <xf numFmtId="0" fontId="6457" fillId="0" borderId="0" xfId="0" applyFill="true" applyBorder="true" applyNumberFormat="true" applyFont="true"/>
    <xf numFmtId="0" fontId="6458" fillId="0" borderId="0" xfId="0" applyFill="true" applyBorder="true" applyNumberFormat="true" applyFont="true"/>
    <xf numFmtId="0" fontId="6459" fillId="0" borderId="0" xfId="0" applyFill="true" applyBorder="true" applyNumberFormat="true" applyFont="true"/>
    <xf numFmtId="0" fontId="6460" fillId="0" borderId="0" xfId="0" applyFill="true" applyBorder="true" applyNumberFormat="true" applyFont="true"/>
    <xf numFmtId="0" fontId="6461" fillId="0" borderId="0" xfId="0" applyFill="true" applyBorder="true" applyNumberFormat="true" applyFont="true"/>
    <xf numFmtId="0" fontId="6462" fillId="0" borderId="0" xfId="0" applyFill="true" applyBorder="true" applyNumberFormat="true" applyFont="true"/>
    <xf numFmtId="0" fontId="6463" fillId="0" borderId="0" xfId="0" applyFill="true" applyBorder="true" applyNumberFormat="true" applyFont="true"/>
    <xf numFmtId="0" fontId="6464" fillId="0" borderId="0" xfId="0" applyFill="true" applyBorder="true" applyNumberFormat="true" applyFont="true"/>
    <xf numFmtId="0" fontId="6465" fillId="0" borderId="0" xfId="0" applyFill="true" applyBorder="true" applyNumberFormat="true" applyFont="true"/>
    <xf numFmtId="0" fontId="6466" fillId="0" borderId="0" xfId="0" applyFill="true" applyBorder="true" applyNumberFormat="true" applyFont="true"/>
    <xf numFmtId="0" fontId="6467" fillId="0" borderId="0" xfId="0" applyFill="true" applyBorder="true" applyNumberFormat="true" applyFont="true"/>
    <xf numFmtId="0" fontId="6468" fillId="0" borderId="0" xfId="0" applyFill="true" applyBorder="true" applyNumberFormat="true" applyFont="true"/>
    <xf numFmtId="0" fontId="6469" fillId="0" borderId="0" xfId="0" applyFill="true" applyBorder="true" applyNumberFormat="true" applyFont="true"/>
    <xf numFmtId="0" fontId="6470" fillId="0" borderId="0" xfId="0" applyFill="true" applyBorder="true" applyNumberFormat="true" applyFont="true"/>
    <xf numFmtId="0" fontId="6471" fillId="0" borderId="0" xfId="0" applyFill="true" applyBorder="true" applyNumberFormat="true" applyFont="true"/>
    <xf numFmtId="0" fontId="6472" fillId="0" borderId="0" xfId="0" applyFill="true" applyBorder="true" applyNumberFormat="true" applyFont="true"/>
    <xf numFmtId="0" fontId="6473" fillId="0" borderId="0" xfId="0" applyFill="true" applyBorder="true" applyNumberFormat="true" applyFont="true"/>
    <xf numFmtId="0" fontId="6474" fillId="0" borderId="0" xfId="0" applyFill="true" applyBorder="true" applyNumberFormat="true" applyFont="true"/>
    <xf numFmtId="0" fontId="6475" fillId="0" borderId="0" xfId="0" applyFill="true" applyBorder="true" applyNumberFormat="true" applyFont="true"/>
    <xf numFmtId="0" fontId="6476" fillId="0" borderId="0" xfId="0" applyFill="true" applyBorder="true" applyNumberFormat="true" applyFont="true"/>
    <xf numFmtId="0" fontId="6477" fillId="0" borderId="0" xfId="0" applyFill="true" applyBorder="true" applyNumberFormat="true" applyFont="true"/>
    <xf numFmtId="0" fontId="6478" fillId="0" borderId="0" xfId="0" applyFill="true" applyBorder="true" applyNumberFormat="true" applyFont="true"/>
    <xf numFmtId="0" fontId="6479" fillId="0" borderId="0" xfId="0" applyFill="true" applyBorder="true" applyNumberFormat="true" applyFont="true"/>
    <xf numFmtId="0" fontId="6480" fillId="0" borderId="0" xfId="0" applyFill="true" applyBorder="true" applyNumberFormat="true" applyFont="true"/>
    <xf numFmtId="0" fontId="6481" fillId="0" borderId="0" xfId="0" applyFill="true" applyBorder="true" applyNumberFormat="true" applyFont="true"/>
    <xf numFmtId="0" fontId="6482" fillId="0" borderId="0" xfId="0" applyFill="true" applyBorder="true" applyNumberFormat="true" applyFont="true"/>
    <xf numFmtId="0" fontId="6483" fillId="0" borderId="0" xfId="0" applyFill="true" applyBorder="true" applyNumberFormat="true" applyFont="true"/>
    <xf numFmtId="0" fontId="6484" fillId="0" borderId="0" xfId="0" applyFill="true" applyBorder="true" applyNumberFormat="true" applyFont="true"/>
    <xf numFmtId="0" fontId="6485" fillId="0" borderId="0" xfId="0" applyFill="true" applyBorder="true" applyNumberFormat="true" applyFont="true"/>
    <xf numFmtId="0" fontId="6486" fillId="0" borderId="0" xfId="0" applyFill="true" applyBorder="true" applyNumberFormat="true" applyFont="true"/>
    <xf numFmtId="0" fontId="6487" fillId="0" borderId="0" xfId="0" applyFill="true" applyBorder="true" applyNumberFormat="true" applyFont="true"/>
    <xf numFmtId="0" fontId="6488" fillId="0" borderId="0" xfId="0" applyFill="true" applyBorder="true" applyNumberFormat="true" applyFont="true"/>
    <xf numFmtId="0" fontId="6489" fillId="0" borderId="0" xfId="0" applyFill="true" applyBorder="true" applyNumberFormat="true" applyFont="true"/>
    <xf numFmtId="0" fontId="6490" fillId="0" borderId="0" xfId="0" applyFill="true" applyBorder="true" applyNumberFormat="true" applyFont="true"/>
    <xf numFmtId="0" fontId="6491" fillId="0" borderId="0" xfId="0" applyFill="true" applyBorder="true" applyNumberFormat="true" applyFont="true"/>
    <xf numFmtId="0" fontId="6492" fillId="0" borderId="0" xfId="0" applyFill="true" applyBorder="true" applyNumberFormat="true" applyFont="true"/>
    <xf numFmtId="0" fontId="6493" fillId="0" borderId="0" xfId="0" applyFill="true" applyBorder="true" applyNumberFormat="true" applyFont="true"/>
    <xf numFmtId="0" fontId="6494" fillId="0" borderId="0" xfId="0" applyFill="true" applyBorder="true" applyNumberFormat="true" applyFont="true"/>
    <xf numFmtId="0" fontId="6495" fillId="0" borderId="0" xfId="0" applyFill="true" applyBorder="true" applyNumberFormat="true" applyFont="true"/>
    <xf numFmtId="0" fontId="6496" fillId="0" borderId="0" xfId="0" applyFill="true" applyBorder="true" applyNumberFormat="true" applyFont="true"/>
    <xf numFmtId="0" fontId="6497" fillId="0" borderId="0" xfId="0" applyFill="true" applyBorder="true" applyNumberFormat="true" applyFont="true"/>
    <xf numFmtId="0" fontId="6498" fillId="0" borderId="0" xfId="0" applyFill="true" applyBorder="true" applyNumberFormat="true" applyFont="true"/>
    <xf numFmtId="0" fontId="6499" fillId="0" borderId="0" xfId="0" applyFill="true" applyBorder="true" applyNumberFormat="true" applyFont="true"/>
    <xf numFmtId="0" fontId="6500" fillId="0" borderId="0" xfId="0" applyFill="true" applyBorder="true" applyNumberFormat="true" applyFont="true"/>
    <xf numFmtId="0" fontId="6501" fillId="0" borderId="0" xfId="0" applyFill="true" applyBorder="true" applyNumberFormat="true" applyFont="true"/>
    <xf numFmtId="0" fontId="6502" fillId="0" borderId="0" xfId="0" applyFill="true" applyBorder="true" applyNumberFormat="true" applyFont="true"/>
    <xf numFmtId="0" fontId="6503" fillId="0" borderId="0" xfId="0" applyFill="true" applyBorder="true" applyNumberFormat="true" applyFont="true"/>
    <xf numFmtId="0" fontId="6504" fillId="0" borderId="0" xfId="0" applyFill="true" applyBorder="true" applyNumberFormat="true" applyFont="true"/>
    <xf numFmtId="0" fontId="6505" fillId="0" borderId="0" xfId="0" applyFill="true" applyBorder="true" applyNumberFormat="true" applyFont="true"/>
    <xf numFmtId="0" fontId="6506" fillId="0" borderId="0" xfId="0" applyFill="true" applyBorder="true" applyNumberFormat="true" applyFont="true"/>
    <xf numFmtId="0" fontId="6507" fillId="0" borderId="0" xfId="0" applyFill="true" applyBorder="true" applyNumberFormat="true" applyFont="true"/>
    <xf numFmtId="0" fontId="6508" fillId="0" borderId="0" xfId="0" applyFill="true" applyBorder="true" applyNumberFormat="true" applyFont="true"/>
    <xf numFmtId="0" fontId="6509" fillId="0" borderId="0" xfId="0" applyFill="true" applyBorder="true" applyNumberFormat="true" applyFont="true"/>
    <xf numFmtId="0" fontId="6510" fillId="0" borderId="0" xfId="0" applyFill="true" applyBorder="true" applyNumberFormat="true" applyFont="true"/>
    <xf numFmtId="0" fontId="6511" fillId="0" borderId="0" xfId="0" applyFill="true" applyBorder="true" applyNumberFormat="true" applyFont="true"/>
    <xf numFmtId="0" fontId="6512" fillId="0" borderId="0" xfId="0" applyFill="true" applyBorder="true" applyNumberFormat="true" applyFont="true"/>
    <xf numFmtId="0" fontId="6513" fillId="0" borderId="0" xfId="0" applyFill="true" applyBorder="true" applyNumberFormat="true" applyFont="true"/>
    <xf numFmtId="0" fontId="6514" fillId="0" borderId="0" xfId="0" applyFill="true" applyBorder="true" applyNumberFormat="true" applyFont="true"/>
    <xf numFmtId="0" fontId="6515" fillId="0" borderId="0" xfId="0" applyFill="true" applyBorder="true" applyNumberFormat="true" applyFont="true"/>
    <xf numFmtId="0" fontId="6516" fillId="0" borderId="0" xfId="0" applyFill="true" applyBorder="true" applyNumberFormat="true" applyFont="true"/>
    <xf numFmtId="0" fontId="6517" fillId="0" borderId="0" xfId="0" applyFill="true" applyBorder="true" applyNumberFormat="true" applyFont="true"/>
    <xf numFmtId="0" fontId="6518" fillId="0" borderId="0" xfId="0" applyFill="true" applyBorder="true" applyNumberFormat="true" applyFont="true"/>
    <xf numFmtId="0" fontId="6519" fillId="0" borderId="0" xfId="0" applyFill="true" applyBorder="true" applyNumberFormat="true" applyFont="true"/>
    <xf numFmtId="0" fontId="6520" fillId="0" borderId="0" xfId="0" applyFill="true" applyBorder="true" applyNumberFormat="true" applyFont="true"/>
    <xf numFmtId="0" fontId="6521" fillId="0" borderId="0" xfId="0" applyFill="true" applyBorder="true" applyNumberFormat="true" applyFont="true"/>
    <xf numFmtId="0" fontId="6522" fillId="0" borderId="0" xfId="0" applyFill="true" applyBorder="true" applyNumberFormat="true" applyFont="true"/>
    <xf numFmtId="0" fontId="6523" fillId="0" borderId="0" xfId="0" applyFill="true" applyBorder="true" applyNumberFormat="true" applyFont="true"/>
    <xf numFmtId="0" fontId="6524" fillId="0" borderId="0" xfId="0" applyFill="true" applyBorder="true" applyNumberFormat="true" applyFont="true"/>
    <xf numFmtId="0" fontId="6525" fillId="0" borderId="0" xfId="0" applyFill="true" applyBorder="true" applyNumberFormat="true" applyFont="true"/>
    <xf numFmtId="0" fontId="6526" fillId="0" borderId="0" xfId="0" applyFill="true" applyBorder="true" applyNumberFormat="true" applyFont="true"/>
    <xf numFmtId="0" fontId="6527" fillId="0" borderId="0" xfId="0" applyFill="true" applyBorder="true" applyNumberFormat="true" applyFont="true"/>
    <xf numFmtId="0" fontId="6528" fillId="0" borderId="0" xfId="0" applyFill="true" applyBorder="true" applyNumberFormat="true" applyFont="true"/>
    <xf numFmtId="0" fontId="6529" fillId="0" borderId="0" xfId="0" applyFill="true" applyBorder="true" applyNumberFormat="true" applyFont="true"/>
    <xf numFmtId="0" fontId="6530" fillId="0" borderId="0" xfId="0" applyFill="true" applyBorder="true" applyNumberFormat="true" applyFont="true"/>
    <xf numFmtId="0" fontId="6531" fillId="0" borderId="0" xfId="0" applyFill="true" applyBorder="true" applyNumberFormat="true" applyFont="true"/>
    <xf numFmtId="0" fontId="6532" fillId="0" borderId="0" xfId="0" applyFill="true" applyBorder="true" applyNumberFormat="true" applyFont="true"/>
    <xf numFmtId="0" fontId="6533" fillId="0" borderId="0" xfId="0" applyFill="true" applyBorder="true" applyNumberFormat="true" applyFont="true"/>
    <xf numFmtId="0" fontId="6534" fillId="0" borderId="0" xfId="0" applyFill="true" applyBorder="true" applyNumberFormat="true" applyFont="true"/>
    <xf numFmtId="0" fontId="6535" fillId="0" borderId="0" xfId="0" applyFill="true" applyBorder="true" applyNumberFormat="true" applyFont="true"/>
    <xf numFmtId="0" fontId="6536" fillId="0" borderId="0" xfId="0" applyFill="true" applyBorder="true" applyNumberFormat="true" applyFont="true"/>
    <xf numFmtId="0" fontId="6537" fillId="0" borderId="0" xfId="0" applyFill="true" applyBorder="true" applyNumberFormat="true" applyFont="true"/>
    <xf numFmtId="0" fontId="6538" fillId="0" borderId="0" xfId="0" applyFill="true" applyBorder="true" applyNumberFormat="true" applyFont="true"/>
    <xf numFmtId="0" fontId="6539" fillId="0" borderId="0" xfId="0" applyFill="true" applyBorder="true" applyNumberFormat="true" applyFont="true"/>
    <xf numFmtId="0" fontId="6540" fillId="0" borderId="0" xfId="0" applyFill="true" applyBorder="true" applyNumberFormat="true" applyFont="true"/>
    <xf numFmtId="0" fontId="6541" fillId="0" borderId="0" xfId="0" applyFill="true" applyBorder="true" applyNumberFormat="true" applyFont="true"/>
    <xf numFmtId="0" fontId="6542" fillId="0" borderId="0" xfId="0" applyFill="true" applyBorder="true" applyNumberFormat="true" applyFont="true"/>
    <xf numFmtId="0" fontId="6543" fillId="0" borderId="0" xfId="0" applyFill="true" applyBorder="true" applyNumberFormat="true" applyFont="true"/>
    <xf numFmtId="0" fontId="6544" fillId="0" borderId="0" xfId="0" applyFill="true" applyBorder="true" applyNumberFormat="true" applyFont="true"/>
    <xf numFmtId="0" fontId="6545" fillId="0" borderId="0" xfId="0" applyFill="true" applyBorder="true" applyNumberFormat="true" applyFont="true"/>
    <xf numFmtId="0" fontId="6546" fillId="0" borderId="0" xfId="0" applyFill="true" applyBorder="true" applyNumberFormat="true" applyFont="true"/>
    <xf numFmtId="0" fontId="6547" fillId="0" borderId="0" xfId="0" applyFill="true" applyBorder="true" applyNumberFormat="true" applyFont="true"/>
    <xf numFmtId="0" fontId="6548" fillId="0" borderId="0" xfId="0" applyFill="true" applyBorder="true" applyNumberFormat="true" applyFont="true"/>
    <xf numFmtId="0" fontId="6549" fillId="0" borderId="0" xfId="0" applyFill="true" applyBorder="true" applyNumberFormat="true" applyFont="true"/>
    <xf numFmtId="0" fontId="6550" fillId="0" borderId="0" xfId="0" applyFill="true" applyBorder="true" applyNumberFormat="true" applyFont="true"/>
    <xf numFmtId="0" fontId="6551" fillId="0" borderId="0" xfId="0" applyFill="true" applyBorder="true" applyNumberFormat="true" applyFont="true"/>
    <xf numFmtId="0" fontId="6552" fillId="0" borderId="0" xfId="0" applyFill="true" applyBorder="true" applyNumberFormat="true" applyFont="true"/>
    <xf numFmtId="0" fontId="6553" fillId="0" borderId="0" xfId="0" applyFill="true" applyBorder="true" applyNumberFormat="true" applyFont="true"/>
    <xf numFmtId="0" fontId="6554" fillId="0" borderId="0" xfId="0" applyFill="true" applyBorder="true" applyNumberFormat="true" applyFont="true"/>
    <xf numFmtId="0" fontId="6555" fillId="0" borderId="0" xfId="0" applyFill="true" applyBorder="true" applyNumberFormat="true" applyFont="true"/>
    <xf numFmtId="0" fontId="6556" fillId="0" borderId="0" xfId="0" applyFill="true" applyBorder="true" applyNumberFormat="true" applyFont="true"/>
    <xf numFmtId="0" fontId="6557" fillId="0" borderId="0" xfId="0" applyFill="true" applyBorder="true" applyNumberFormat="true" applyFont="true"/>
    <xf numFmtId="0" fontId="6558" fillId="0" borderId="0" xfId="0" applyFill="true" applyBorder="true" applyNumberFormat="true" applyFont="true"/>
    <xf numFmtId="0" fontId="6559" fillId="0" borderId="0" xfId="0" applyFill="true" applyBorder="true" applyNumberFormat="true" applyFont="true"/>
    <xf numFmtId="0" fontId="6560" fillId="0" borderId="0" xfId="0" applyFill="true" applyBorder="true" applyNumberFormat="true" applyFont="true"/>
    <xf numFmtId="0" fontId="6561" fillId="0" borderId="0" xfId="0" applyFill="true" applyBorder="true" applyNumberFormat="true" applyFont="true"/>
    <xf numFmtId="0" fontId="6562" fillId="0" borderId="0" xfId="0" applyFill="true" applyBorder="true" applyNumberFormat="true" applyFont="true"/>
    <xf numFmtId="0" fontId="6563" fillId="0" borderId="0" xfId="0" applyFill="true" applyBorder="true" applyNumberFormat="true" applyFont="true"/>
    <xf numFmtId="0" fontId="6564" fillId="0" borderId="0" xfId="0" applyFill="true" applyBorder="true" applyNumberFormat="true" applyFont="true"/>
    <xf numFmtId="0" fontId="6565" fillId="0" borderId="0" xfId="0" applyFill="true" applyBorder="true" applyNumberFormat="true" applyFont="true"/>
    <xf numFmtId="0" fontId="6566" fillId="0" borderId="0" xfId="0" applyFill="true" applyBorder="true" applyNumberFormat="true" applyFont="true"/>
    <xf numFmtId="0" fontId="6567" fillId="0" borderId="0" xfId="0" applyFill="true" applyBorder="true" applyNumberFormat="true" applyFont="true"/>
    <xf numFmtId="0" fontId="6568" fillId="0" borderId="0" xfId="0" applyFill="true" applyBorder="true" applyNumberFormat="true" applyFont="true"/>
    <xf numFmtId="0" fontId="6569" fillId="0" borderId="0" xfId="0" applyFill="true" applyBorder="true" applyNumberFormat="true" applyFont="true"/>
    <xf numFmtId="0" fontId="6570" fillId="0" borderId="0" xfId="0" applyFill="true" applyBorder="true" applyNumberFormat="true" applyFont="true"/>
    <xf numFmtId="0" fontId="6571" fillId="0" borderId="0" xfId="0" applyFill="true" applyBorder="true" applyNumberFormat="true" applyFont="true"/>
    <xf numFmtId="0" fontId="6572" fillId="0" borderId="0" xfId="0" applyFill="true" applyBorder="true" applyNumberFormat="true" applyFont="true"/>
    <xf numFmtId="0" fontId="6573" fillId="0" borderId="0" xfId="0" applyFill="true" applyBorder="true" applyNumberFormat="true" applyFont="true"/>
    <xf numFmtId="0" fontId="6574" fillId="0" borderId="0" xfId="0" applyFill="true" applyBorder="true" applyNumberFormat="true" applyFont="true"/>
    <xf numFmtId="0" fontId="6575" fillId="0" borderId="0" xfId="0" applyFill="true" applyBorder="true" applyNumberFormat="true" applyFont="true"/>
    <xf numFmtId="0" fontId="6576" fillId="0" borderId="0" xfId="0" applyFill="true" applyBorder="true" applyNumberFormat="true" applyFont="true"/>
    <xf numFmtId="0" fontId="6577" fillId="0" borderId="0" xfId="0" applyFill="true" applyBorder="true" applyNumberFormat="true" applyFont="true"/>
    <xf numFmtId="0" fontId="6578" fillId="0" borderId="0" xfId="0" applyFill="true" applyBorder="true" applyNumberFormat="true" applyFont="true"/>
    <xf numFmtId="0" fontId="6579" fillId="0" borderId="0" xfId="0" applyFill="true" applyBorder="true" applyNumberFormat="true" applyFont="true"/>
    <xf numFmtId="0" fontId="6580" fillId="0" borderId="0" xfId="0" applyFill="true" applyBorder="true" applyNumberFormat="true" applyFont="true"/>
    <xf numFmtId="0" fontId="6581" fillId="0" borderId="0" xfId="0" applyFill="true" applyBorder="true" applyNumberFormat="true" applyFont="true"/>
    <xf numFmtId="0" fontId="6582" fillId="0" borderId="0" xfId="0" applyFill="true" applyBorder="true" applyNumberFormat="true" applyFont="true"/>
    <xf numFmtId="0" fontId="6583" fillId="0" borderId="0" xfId="0" applyFill="true" applyBorder="true" applyNumberFormat="true" applyFont="true"/>
    <xf numFmtId="0" fontId="6584" fillId="0" borderId="0" xfId="0" applyFill="true" applyBorder="true" applyNumberFormat="true" applyFont="true"/>
    <xf numFmtId="0" fontId="6585" fillId="0" borderId="0" xfId="0" applyFill="true" applyBorder="true" applyNumberFormat="true" applyFont="true"/>
    <xf numFmtId="0" fontId="6586" fillId="0" borderId="0" xfId="0" applyFill="true" applyBorder="true" applyNumberFormat="true" applyFont="true"/>
    <xf numFmtId="0" fontId="6587" fillId="0" borderId="0" xfId="0" applyFill="true" applyBorder="true" applyNumberFormat="true" applyFont="true"/>
    <xf numFmtId="0" fontId="6588" fillId="0" borderId="0" xfId="0" applyFill="true" applyBorder="true" applyNumberFormat="true" applyFont="true"/>
    <xf numFmtId="0" fontId="6589" fillId="0" borderId="0" xfId="0" applyFill="true" applyBorder="true" applyNumberFormat="true" applyFont="true"/>
    <xf numFmtId="0" fontId="6590" fillId="0" borderId="0" xfId="0" applyFill="true" applyBorder="true" applyNumberFormat="true" applyFont="true"/>
    <xf numFmtId="0" fontId="6591" fillId="0" borderId="0" xfId="0" applyFill="true" applyBorder="true" applyNumberFormat="true" applyFont="true"/>
    <xf numFmtId="0" fontId="6592" fillId="0" borderId="0" xfId="0" applyFill="true" applyBorder="true" applyNumberFormat="true" applyFont="true"/>
    <xf numFmtId="0" fontId="6593" fillId="0" borderId="0" xfId="0" applyFill="true" applyBorder="true" applyNumberFormat="true" applyFont="true"/>
    <xf numFmtId="0" fontId="6594" fillId="0" borderId="0" xfId="0" applyFill="true" applyBorder="true" applyNumberFormat="true" applyFont="true"/>
    <xf numFmtId="0" fontId="6595" fillId="0" borderId="0" xfId="0" applyFill="true" applyBorder="true" applyNumberFormat="true" applyFont="true"/>
    <xf numFmtId="0" fontId="6596" fillId="0" borderId="0" xfId="0" applyFill="true" applyBorder="true" applyNumberFormat="true" applyFont="true"/>
    <xf numFmtId="0" fontId="6597" fillId="0" borderId="0" xfId="0" applyFill="true" applyBorder="true" applyNumberFormat="true" applyFont="true"/>
    <xf numFmtId="0" fontId="6598" fillId="0" borderId="0" xfId="0" applyFill="true" applyBorder="true" applyNumberFormat="true" applyFont="true"/>
    <xf numFmtId="0" fontId="6599" fillId="0" borderId="0" xfId="0" applyFill="true" applyBorder="true" applyNumberFormat="true" applyFont="true"/>
    <xf numFmtId="0" fontId="6600" fillId="0" borderId="0" xfId="0" applyFill="true" applyBorder="true" applyNumberFormat="true" applyFont="true"/>
    <xf numFmtId="0" fontId="6601" fillId="0" borderId="0" xfId="0" applyFill="true" applyBorder="true" applyNumberFormat="true" applyFont="true"/>
    <xf numFmtId="0" fontId="6602" fillId="0" borderId="0" xfId="0" applyFill="true" applyBorder="true" applyNumberFormat="true" applyFont="true"/>
    <xf numFmtId="0" fontId="6603" fillId="0" borderId="0" xfId="0" applyFill="true" applyBorder="true" applyNumberFormat="true" applyFont="true"/>
    <xf numFmtId="0" fontId="6604" fillId="0" borderId="0" xfId="0" applyFill="true" applyBorder="true" applyNumberFormat="true" applyFont="true"/>
    <xf numFmtId="0" fontId="6605" fillId="0" borderId="0" xfId="0" applyFill="true" applyBorder="true" applyNumberFormat="true" applyFont="true"/>
    <xf numFmtId="0" fontId="6606" fillId="0" borderId="0" xfId="0" applyFill="true" applyBorder="true" applyNumberFormat="true" applyFont="true"/>
    <xf numFmtId="0" fontId="6607" fillId="0" borderId="0" xfId="0" applyFill="true" applyBorder="true" applyNumberFormat="true" applyFont="true"/>
    <xf numFmtId="0" fontId="6608" fillId="0" borderId="0" xfId="0" applyFill="true" applyBorder="true" applyNumberFormat="true" applyFont="true"/>
    <xf numFmtId="0" fontId="6609" fillId="0" borderId="0" xfId="0" applyFill="true" applyBorder="true" applyNumberFormat="true" applyFont="true"/>
    <xf numFmtId="0" fontId="6610" fillId="0" borderId="0" xfId="0" applyFill="true" applyBorder="true" applyNumberFormat="true" applyFont="true"/>
    <xf numFmtId="0" fontId="6611" fillId="0" borderId="0" xfId="0" applyFill="true" applyBorder="true" applyNumberFormat="true" applyFont="true"/>
    <xf numFmtId="0" fontId="6612" fillId="0" borderId="0" xfId="0" applyFill="true" applyBorder="true" applyNumberFormat="true" applyFont="true"/>
    <xf numFmtId="0" fontId="6613" fillId="0" borderId="0" xfId="0" applyFill="true" applyBorder="true" applyNumberFormat="true" applyFont="true"/>
    <xf numFmtId="0" fontId="6614" fillId="0" borderId="0" xfId="0" applyFill="true" applyBorder="true" applyNumberFormat="true" applyFont="true"/>
    <xf numFmtId="0" fontId="6615" fillId="0" borderId="0" xfId="0" applyFill="true" applyBorder="true" applyNumberFormat="true" applyFont="true"/>
    <xf numFmtId="0" fontId="6616" fillId="0" borderId="0" xfId="0" applyFill="true" applyBorder="true" applyNumberFormat="true" applyFont="true"/>
    <xf numFmtId="0" fontId="6617" fillId="0" borderId="0" xfId="0" applyFill="true" applyBorder="true" applyNumberFormat="true" applyFont="true"/>
    <xf numFmtId="0" fontId="6618" fillId="0" borderId="0" xfId="0" applyFill="true" applyBorder="true" applyNumberFormat="true" applyFont="true"/>
    <xf numFmtId="0" fontId="6619" fillId="0" borderId="0" xfId="0" applyFill="true" applyBorder="true" applyNumberFormat="true" applyFont="true"/>
    <xf numFmtId="0" fontId="6620" fillId="0" borderId="0" xfId="0" applyFill="true" applyBorder="true" applyNumberFormat="true" applyFont="true"/>
    <xf numFmtId="0" fontId="6621" fillId="0" borderId="0" xfId="0" applyFill="true" applyBorder="true" applyNumberFormat="true" applyFont="true"/>
    <xf numFmtId="0" fontId="6622" fillId="0" borderId="0" xfId="0" applyFill="true" applyBorder="true" applyNumberFormat="true" applyFont="true"/>
    <xf numFmtId="0" fontId="6623" fillId="0" borderId="0" xfId="0" applyFill="true" applyBorder="true" applyNumberFormat="true" applyFont="true"/>
    <xf numFmtId="0" fontId="6624" fillId="0" borderId="0" xfId="0" applyFill="true" applyBorder="true" applyNumberFormat="true" applyFont="true"/>
    <xf numFmtId="0" fontId="6625" fillId="0" borderId="0" xfId="0" applyFill="true" applyBorder="true" applyNumberFormat="true" applyFont="true"/>
    <xf numFmtId="0" fontId="6626" fillId="0" borderId="0" xfId="0" applyFill="true" applyBorder="true" applyNumberFormat="true" applyFont="true"/>
    <xf numFmtId="0" fontId="6627" fillId="0" borderId="0" xfId="0" applyFill="true" applyBorder="true" applyNumberFormat="true" applyFont="true"/>
    <xf numFmtId="0" fontId="6628" fillId="0" borderId="0" xfId="0" applyFill="true" applyBorder="true" applyNumberFormat="true" applyFont="true"/>
    <xf numFmtId="0" fontId="6629" fillId="0" borderId="0" xfId="0" applyFill="true" applyBorder="true" applyNumberFormat="true" applyFont="true"/>
    <xf numFmtId="0" fontId="6630" fillId="0" borderId="0" xfId="0" applyFill="true" applyBorder="true" applyNumberFormat="true" applyFont="true"/>
    <xf numFmtId="0" fontId="6631" fillId="0" borderId="0" xfId="0" applyFill="true" applyBorder="true" applyNumberFormat="true" applyFont="true"/>
    <xf numFmtId="0" fontId="6632" fillId="0" borderId="0" xfId="0" applyFill="true" applyBorder="true" applyNumberFormat="true" applyFont="true"/>
    <xf numFmtId="0" fontId="6633" fillId="0" borderId="0" xfId="0" applyFill="true" applyBorder="true" applyNumberFormat="true" applyFont="true"/>
    <xf numFmtId="0" fontId="6634" fillId="0" borderId="0" xfId="0" applyFill="true" applyBorder="true" applyNumberFormat="true" applyFont="true"/>
    <xf numFmtId="0" fontId="6635" fillId="0" borderId="0" xfId="0" applyFill="true" applyBorder="true" applyNumberFormat="true" applyFont="true"/>
    <xf numFmtId="0" fontId="6636" fillId="0" borderId="0" xfId="0" applyFill="true" applyBorder="true" applyNumberFormat="true" applyFont="true"/>
    <xf numFmtId="0" fontId="6637" fillId="0" borderId="0" xfId="0" applyFill="true" applyBorder="true" applyNumberFormat="true" applyFont="true"/>
    <xf numFmtId="0" fontId="6638" fillId="0" borderId="0" xfId="0" applyFill="true" applyBorder="true" applyNumberFormat="true" applyFont="true"/>
    <xf numFmtId="0" fontId="6639" fillId="0" borderId="0" xfId="0" applyFill="true" applyBorder="true" applyNumberFormat="true" applyFont="true"/>
    <xf numFmtId="0" fontId="6640" fillId="0" borderId="0" xfId="0" applyFill="true" applyBorder="true" applyNumberFormat="true" applyFont="true"/>
    <xf numFmtId="0" fontId="6641" fillId="0" borderId="0" xfId="0" applyFill="true" applyBorder="true" applyNumberFormat="true" applyFont="true"/>
    <xf numFmtId="0" fontId="6642" fillId="0" borderId="0" xfId="0" applyFill="true" applyBorder="true" applyNumberFormat="true" applyFont="true"/>
    <xf numFmtId="0" fontId="6643" fillId="0" borderId="0" xfId="0" applyFill="true" applyBorder="true" applyNumberFormat="true" applyFont="true"/>
    <xf numFmtId="0" fontId="6644" fillId="0" borderId="0" xfId="0" applyFill="true" applyBorder="true" applyNumberFormat="true" applyFont="true"/>
    <xf numFmtId="0" fontId="6645" fillId="0" borderId="0" xfId="0" applyFill="true" applyBorder="true" applyNumberFormat="true" applyFont="true"/>
    <xf numFmtId="0" fontId="6646" fillId="0" borderId="0" xfId="0" applyFill="true" applyBorder="true" applyNumberFormat="true" applyFont="true"/>
    <xf numFmtId="0" fontId="6647" fillId="0" borderId="0" xfId="0" applyFill="true" applyBorder="true" applyNumberFormat="true" applyFont="true"/>
    <xf numFmtId="0" fontId="6648" fillId="0" borderId="0" xfId="0" applyFill="true" applyBorder="true" applyNumberFormat="true" applyFont="true"/>
    <xf numFmtId="0" fontId="6649" fillId="0" borderId="0" xfId="0" applyFill="true" applyBorder="true" applyNumberFormat="true" applyFont="true"/>
    <xf numFmtId="0" fontId="6650" fillId="0" borderId="0" xfId="0" applyFill="true" applyBorder="true" applyNumberFormat="true" applyFont="true"/>
    <xf numFmtId="0" fontId="6651" fillId="0" borderId="0" xfId="0" applyFill="true" applyBorder="true" applyNumberFormat="true" applyFont="true"/>
    <xf numFmtId="0" fontId="6652" fillId="0" borderId="0" xfId="0" applyFill="true" applyBorder="true" applyNumberFormat="true" applyFont="true"/>
    <xf numFmtId="0" fontId="6653" fillId="0" borderId="0" xfId="0" applyFill="true" applyBorder="true" applyNumberFormat="true" applyFont="true"/>
    <xf numFmtId="0" fontId="6654" fillId="0" borderId="0" xfId="0" applyFill="true" applyBorder="true" applyNumberFormat="true" applyFont="true"/>
    <xf numFmtId="0" fontId="6655" fillId="0" borderId="0" xfId="0" applyFill="true" applyBorder="true" applyNumberFormat="true" applyFont="true"/>
    <xf numFmtId="0" fontId="6656" fillId="0" borderId="0" xfId="0" applyFill="true" applyBorder="true" applyNumberFormat="true" applyFont="true"/>
    <xf numFmtId="0" fontId="6657" fillId="0" borderId="0" xfId="0" applyFill="true" applyBorder="true" applyNumberFormat="true" applyFont="true"/>
    <xf numFmtId="0" fontId="6658" fillId="0" borderId="0" xfId="0" applyFill="true" applyBorder="true" applyNumberFormat="true" applyFont="true"/>
    <xf numFmtId="0" fontId="6659" fillId="0" borderId="0" xfId="0" applyFill="true" applyBorder="true" applyNumberFormat="true" applyFont="true"/>
    <xf numFmtId="0" fontId="6660" fillId="0" borderId="0" xfId="0" applyFill="true" applyBorder="true" applyNumberFormat="true" applyFont="true"/>
    <xf numFmtId="0" fontId="6661" fillId="0" borderId="0" xfId="0" applyFill="true" applyBorder="true" applyNumberFormat="true" applyFont="true"/>
    <xf numFmtId="0" fontId="6662" fillId="0" borderId="0" xfId="0" applyFill="true" applyBorder="true" applyNumberFormat="true" applyFont="true"/>
    <xf numFmtId="0" fontId="6663" fillId="0" borderId="0" xfId="0" applyFill="true" applyBorder="true" applyNumberFormat="true" applyFont="true"/>
    <xf numFmtId="0" fontId="6664" fillId="0" borderId="0" xfId="0" applyFill="true" applyBorder="true" applyNumberFormat="true" applyFont="true"/>
    <xf numFmtId="0" fontId="6665" fillId="0" borderId="0" xfId="0" applyFill="true" applyBorder="true" applyNumberFormat="true" applyFont="true"/>
    <xf numFmtId="0" fontId="6666" fillId="0" borderId="0" xfId="0" applyFill="true" applyBorder="true" applyNumberFormat="true" applyFont="true"/>
    <xf numFmtId="0" fontId="6667" fillId="0" borderId="0" xfId="0" applyFill="true" applyBorder="true" applyNumberFormat="true" applyFont="true"/>
    <xf numFmtId="0" fontId="6668" fillId="0" borderId="0" xfId="0" applyFill="true" applyBorder="true" applyNumberFormat="true" applyFont="true"/>
    <xf numFmtId="0" fontId="6669" fillId="0" borderId="0" xfId="0" applyFill="true" applyBorder="true" applyNumberFormat="true" applyFont="true"/>
    <xf numFmtId="0" fontId="6670" fillId="0" borderId="0" xfId="0" applyFill="true" applyBorder="true" applyNumberFormat="true" applyFont="true"/>
    <xf numFmtId="0" fontId="6671" fillId="0" borderId="0" xfId="0" applyFill="true" applyBorder="true" applyNumberFormat="true" applyFont="true"/>
    <xf numFmtId="0" fontId="6672" fillId="0" borderId="0" xfId="0" applyFill="true" applyBorder="true" applyNumberFormat="true" applyFont="true"/>
    <xf numFmtId="0" fontId="6673" fillId="0" borderId="0" xfId="0" applyFill="true" applyBorder="true" applyNumberFormat="true" applyFont="true"/>
    <xf numFmtId="0" fontId="6674" fillId="0" borderId="0" xfId="0" applyFill="true" applyBorder="true" applyNumberFormat="true" applyFont="true"/>
    <xf numFmtId="0" fontId="6675" fillId="0" borderId="0" xfId="0" applyFill="true" applyBorder="true" applyNumberFormat="true" applyFont="true"/>
    <xf numFmtId="0" fontId="6676" fillId="0" borderId="0" xfId="0" applyFill="true" applyBorder="true" applyNumberFormat="true" applyFont="true"/>
    <xf numFmtId="0" fontId="6677" fillId="0" borderId="0" xfId="0" applyFill="true" applyBorder="true" applyNumberFormat="true" applyFont="true"/>
    <xf numFmtId="0" fontId="6678" fillId="0" borderId="0" xfId="0" applyFill="true" applyBorder="true" applyNumberFormat="true" applyFont="true"/>
    <xf numFmtId="0" fontId="6679" fillId="0" borderId="0" xfId="0" applyFill="true" applyBorder="true" applyNumberFormat="true" applyFont="true"/>
    <xf numFmtId="0" fontId="6680" fillId="0" borderId="0" xfId="0" applyFill="true" applyBorder="true" applyNumberFormat="true" applyFont="true"/>
    <xf numFmtId="0" fontId="6681" fillId="0" borderId="0" xfId="0" applyFill="true" applyBorder="true" applyNumberFormat="true" applyFont="true"/>
    <xf numFmtId="0" fontId="6682" fillId="0" borderId="0" xfId="0" applyFill="true" applyBorder="true" applyNumberFormat="true" applyFont="true"/>
    <xf numFmtId="0" fontId="6683" fillId="0" borderId="0" xfId="0" applyFill="true" applyBorder="true" applyNumberFormat="true" applyFont="true"/>
    <xf numFmtId="0" fontId="6684" fillId="0" borderId="0" xfId="0" applyFill="true" applyBorder="true" applyNumberFormat="true" applyFont="true"/>
    <xf numFmtId="0" fontId="6685" fillId="0" borderId="0" xfId="0" applyFill="true" applyBorder="true" applyNumberFormat="true" applyFont="true"/>
    <xf numFmtId="0" fontId="6686" fillId="0" borderId="0" xfId="0" applyFill="true" applyBorder="true" applyNumberFormat="true" applyFont="true"/>
    <xf numFmtId="0" fontId="6687" fillId="0" borderId="0" xfId="0" applyFill="true" applyBorder="true" applyNumberFormat="true" applyFont="true"/>
    <xf numFmtId="0" fontId="6688" fillId="0" borderId="0" xfId="0" applyFill="true" applyBorder="true" applyNumberFormat="true" applyFont="true"/>
    <xf numFmtId="0" fontId="6689" fillId="0" borderId="0" xfId="0" applyFill="true" applyBorder="true" applyNumberFormat="true" applyFont="true"/>
    <xf numFmtId="0" fontId="6690" fillId="0" borderId="0" xfId="0" applyFill="true" applyBorder="true" applyNumberFormat="true" applyFont="true"/>
    <xf numFmtId="0" fontId="6691" fillId="0" borderId="0" xfId="0" applyFill="true" applyBorder="true" applyNumberFormat="true" applyFont="true"/>
    <xf numFmtId="0" fontId="6692" fillId="0" borderId="0" xfId="0" applyFill="true" applyBorder="true" applyNumberFormat="true" applyFont="true"/>
    <xf numFmtId="0" fontId="6693" fillId="0" borderId="0" xfId="0" applyFill="true" applyBorder="true" applyNumberFormat="true" applyFont="true"/>
    <xf numFmtId="0" fontId="6694" fillId="0" borderId="0" xfId="0" applyFill="true" applyBorder="true" applyNumberFormat="true" applyFont="true"/>
    <xf numFmtId="0" fontId="6695" fillId="0" borderId="0" xfId="0" applyFill="true" applyBorder="true" applyNumberFormat="true" applyFont="true"/>
    <xf numFmtId="0" fontId="6696" fillId="0" borderId="0" xfId="0" applyFill="true" applyBorder="true" applyNumberFormat="true" applyFont="true"/>
    <xf numFmtId="0" fontId="6697" fillId="0" borderId="0" xfId="0" applyFill="true" applyBorder="true" applyNumberFormat="true" applyFont="true"/>
    <xf numFmtId="0" fontId="6698" fillId="0" borderId="0" xfId="0" applyFill="true" applyBorder="true" applyNumberFormat="true" applyFont="true"/>
    <xf numFmtId="0" fontId="6699" fillId="0" borderId="0" xfId="0" applyFill="true" applyBorder="true" applyNumberFormat="true" applyFont="true"/>
    <xf numFmtId="0" fontId="6700" fillId="0" borderId="0" xfId="0" applyFill="true" applyBorder="true" applyNumberFormat="true" applyFont="true"/>
    <xf numFmtId="0" fontId="6701" fillId="0" borderId="0" xfId="0" applyFill="true" applyBorder="true" applyNumberFormat="true" applyFont="true"/>
    <xf numFmtId="0" fontId="6702" fillId="0" borderId="0" xfId="0" applyFill="true" applyBorder="true" applyNumberFormat="true" applyFont="true"/>
    <xf numFmtId="0" fontId="6703" fillId="0" borderId="0" xfId="0" applyFill="true" applyBorder="true" applyNumberFormat="true" applyFont="true"/>
    <xf numFmtId="0" fontId="6704" fillId="0" borderId="0" xfId="0" applyFill="true" applyBorder="true" applyNumberFormat="true" applyFont="true"/>
    <xf numFmtId="0" fontId="6705" fillId="0" borderId="0" xfId="0" applyFill="true" applyBorder="true" applyNumberFormat="true" applyFont="true"/>
    <xf numFmtId="0" fontId="6706" fillId="0" borderId="0" xfId="0" applyFill="true" applyBorder="true" applyNumberFormat="true" applyFont="true"/>
    <xf numFmtId="0" fontId="6707" fillId="0" borderId="0" xfId="0" applyFill="true" applyBorder="true" applyNumberFormat="true" applyFont="true"/>
    <xf numFmtId="0" fontId="6708" fillId="0" borderId="0" xfId="0" applyFill="true" applyBorder="true" applyNumberFormat="true" applyFont="true"/>
    <xf numFmtId="0" fontId="6709" fillId="0" borderId="0" xfId="0" applyFill="true" applyBorder="true" applyNumberFormat="true" applyFont="true"/>
    <xf numFmtId="0" fontId="6710" fillId="0" borderId="0" xfId="0" applyFill="true" applyBorder="true" applyNumberFormat="true" applyFont="true"/>
    <xf numFmtId="0" fontId="6711" fillId="0" borderId="0" xfId="0" applyFill="true" applyBorder="true" applyNumberFormat="true" applyFont="true"/>
    <xf numFmtId="0" fontId="6712" fillId="0" borderId="0" xfId="0" applyFill="true" applyBorder="true" applyNumberFormat="true" applyFont="true"/>
    <xf numFmtId="0" fontId="6713" fillId="0" borderId="0" xfId="0" applyFill="true" applyBorder="true" applyNumberFormat="true" applyFont="true"/>
    <xf numFmtId="0" fontId="6714" fillId="0" borderId="0" xfId="0" applyFill="true" applyBorder="true" applyNumberFormat="true" applyFont="true"/>
    <xf numFmtId="0" fontId="6715" fillId="0" borderId="0" xfId="0" applyFill="true" applyBorder="true" applyNumberFormat="true" applyFont="true"/>
    <xf numFmtId="0" fontId="6716" fillId="0" borderId="0" xfId="0" applyFill="true" applyBorder="true" applyNumberFormat="true" applyFont="true"/>
    <xf numFmtId="0" fontId="6717" fillId="0" borderId="0" xfId="0" applyFill="true" applyBorder="true" applyNumberFormat="true" applyFont="true"/>
    <xf numFmtId="0" fontId="6718" fillId="0" borderId="0" xfId="0" applyFill="true" applyBorder="true" applyNumberFormat="true" applyFont="true"/>
    <xf numFmtId="0" fontId="6719" fillId="0" borderId="0" xfId="0" applyFill="true" applyBorder="true" applyNumberFormat="true" applyFont="true"/>
    <xf numFmtId="0" fontId="6720" fillId="0" borderId="0" xfId="0" applyFill="true" applyBorder="true" applyNumberFormat="true" applyFont="true"/>
    <xf numFmtId="0" fontId="6721" fillId="0" borderId="0" xfId="0" applyFill="true" applyBorder="true" applyNumberFormat="true" applyFont="true"/>
    <xf numFmtId="0" fontId="6722" fillId="0" borderId="0" xfId="0" applyFill="true" applyBorder="true" applyNumberFormat="true" applyFont="true"/>
    <xf numFmtId="0" fontId="6723" fillId="0" borderId="0" xfId="0" applyFill="true" applyBorder="true" applyNumberFormat="true" applyFont="true"/>
    <xf numFmtId="0" fontId="6724" fillId="0" borderId="0" xfId="0" applyFill="true" applyBorder="true" applyNumberFormat="true" applyFont="true"/>
    <xf numFmtId="0" fontId="6725" fillId="0" borderId="0" xfId="0" applyFill="true" applyBorder="true" applyNumberFormat="true" applyFont="true"/>
    <xf numFmtId="0" fontId="6726" fillId="0" borderId="0" xfId="0" applyFill="true" applyBorder="true" applyNumberFormat="true" applyFont="true"/>
    <xf numFmtId="0" fontId="6727" fillId="0" borderId="0" xfId="0" applyFill="true" applyBorder="true" applyNumberFormat="true" applyFont="true"/>
    <xf numFmtId="0" fontId="6728" fillId="0" borderId="0" xfId="0" applyFill="true" applyBorder="true" applyNumberFormat="true" applyFont="true"/>
    <xf numFmtId="0" fontId="6729" fillId="0" borderId="0" xfId="0" applyFill="true" applyBorder="true" applyNumberFormat="true" applyFont="true"/>
    <xf numFmtId="0" fontId="6730" fillId="0" borderId="0" xfId="0" applyFill="true" applyBorder="true" applyNumberFormat="true" applyFont="true"/>
    <xf numFmtId="0" fontId="6731" fillId="0" borderId="0" xfId="0" applyFill="true" applyBorder="true" applyNumberFormat="true" applyFont="true"/>
    <xf numFmtId="0" fontId="6732" fillId="0" borderId="0" xfId="0" applyFill="true" applyBorder="true" applyNumberFormat="true" applyFont="true"/>
    <xf numFmtId="0" fontId="6733" fillId="0" borderId="0" xfId="0" applyFill="true" applyBorder="true" applyNumberFormat="true" applyFont="true"/>
    <xf numFmtId="0" fontId="6734" fillId="0" borderId="0" xfId="0" applyFill="true" applyBorder="true" applyNumberFormat="true" applyFont="true"/>
    <xf numFmtId="0" fontId="6735" fillId="0" borderId="0" xfId="0" applyFill="true" applyBorder="true" applyNumberFormat="true" applyFont="true"/>
    <xf numFmtId="0" fontId="6736" fillId="0" borderId="0" xfId="0" applyFill="true" applyBorder="true" applyNumberFormat="true" applyFont="true"/>
    <xf numFmtId="0" fontId="6737" fillId="0" borderId="0" xfId="0" applyFill="true" applyBorder="true" applyNumberFormat="true" applyFont="true"/>
    <xf numFmtId="0" fontId="6738" fillId="0" borderId="0" xfId="0" applyFill="true" applyBorder="true" applyNumberFormat="true" applyFont="true"/>
    <xf numFmtId="0" fontId="6739" fillId="0" borderId="0" xfId="0" applyFill="true" applyBorder="true" applyNumberFormat="true" applyFont="true"/>
    <xf numFmtId="0" fontId="6740" fillId="0" borderId="0" xfId="0" applyFill="true" applyBorder="true" applyNumberFormat="true" applyFont="true"/>
    <xf numFmtId="0" fontId="6741" fillId="0" borderId="0" xfId="0" applyFill="true" applyBorder="true" applyNumberFormat="true" applyFont="true"/>
    <xf numFmtId="0" fontId="6742" fillId="0" borderId="0" xfId="0" applyFill="true" applyBorder="true" applyNumberFormat="true" applyFont="true"/>
    <xf numFmtId="0" fontId="6743" fillId="0" borderId="0" xfId="0" applyFill="true" applyBorder="true" applyNumberFormat="true" applyFont="true"/>
    <xf numFmtId="0" fontId="6744" fillId="0" borderId="0" xfId="0" applyFill="true" applyBorder="true" applyNumberFormat="true" applyFont="true"/>
    <xf numFmtId="0" fontId="6745" fillId="0" borderId="0" xfId="0" applyFill="true" applyBorder="true" applyNumberFormat="true" applyFont="true"/>
    <xf numFmtId="0" fontId="6746" fillId="0" borderId="0" xfId="0" applyFill="true" applyBorder="true" applyNumberFormat="true" applyFont="true"/>
    <xf numFmtId="0" fontId="6747" fillId="0" borderId="0" xfId="0" applyFill="true" applyBorder="true" applyNumberFormat="true" applyFont="true"/>
    <xf numFmtId="0" fontId="6748" fillId="0" borderId="0" xfId="0" applyFill="true" applyBorder="true" applyNumberFormat="true" applyFont="true"/>
    <xf numFmtId="0" fontId="6749" fillId="0" borderId="0" xfId="0" applyFill="true" applyBorder="true" applyNumberFormat="true" applyFont="true"/>
    <xf numFmtId="0" fontId="6750" fillId="0" borderId="0" xfId="0" applyFill="true" applyBorder="true" applyNumberFormat="true" applyFont="true"/>
    <xf numFmtId="0" fontId="6751" fillId="0" borderId="0" xfId="0" applyFill="true" applyBorder="true" applyNumberFormat="true" applyFont="true"/>
    <xf numFmtId="0" fontId="6752" fillId="0" borderId="0" xfId="0" applyFill="true" applyBorder="true" applyNumberFormat="true" applyFont="true"/>
    <xf numFmtId="0" fontId="6753" fillId="0" borderId="0" xfId="0" applyFill="true" applyBorder="true" applyNumberFormat="true" applyFont="true"/>
    <xf numFmtId="0" fontId="6754" fillId="0" borderId="0" xfId="0" applyFill="true" applyBorder="true" applyNumberFormat="true" applyFont="true"/>
    <xf numFmtId="0" fontId="6755" fillId="0" borderId="0" xfId="0" applyFill="true" applyBorder="true" applyNumberFormat="true" applyFont="true"/>
    <xf numFmtId="0" fontId="6756" fillId="0" borderId="0" xfId="0" applyFill="true" applyBorder="true" applyNumberFormat="true" applyFont="true"/>
    <xf numFmtId="0" fontId="6757" fillId="0" borderId="0" xfId="0" applyFill="true" applyBorder="true" applyNumberFormat="true" applyFont="true"/>
    <xf numFmtId="0" fontId="6758" fillId="0" borderId="0" xfId="0" applyFill="true" applyBorder="true" applyNumberFormat="true" applyFont="true"/>
    <xf numFmtId="0" fontId="6759" fillId="0" borderId="0" xfId="0" applyFill="true" applyBorder="true" applyNumberFormat="true" applyFont="true"/>
    <xf numFmtId="0" fontId="6760" fillId="0" borderId="0" xfId="0" applyFill="true" applyBorder="true" applyNumberFormat="true" applyFont="true"/>
    <xf numFmtId="0" fontId="6761" fillId="0" borderId="0" xfId="0" applyFill="true" applyBorder="true" applyNumberFormat="true" applyFont="true"/>
    <xf numFmtId="0" fontId="6762" fillId="0" borderId="0" xfId="0" applyFill="true" applyBorder="true" applyNumberFormat="true" applyFont="true"/>
    <xf numFmtId="0" fontId="6763" fillId="0" borderId="0" xfId="0" applyFill="true" applyBorder="true" applyNumberFormat="true" applyFont="true"/>
    <xf numFmtId="0" fontId="6764" fillId="0" borderId="0" xfId="0" applyFill="true" applyBorder="true" applyNumberFormat="true" applyFont="true"/>
    <xf numFmtId="0" fontId="6765" fillId="0" borderId="0" xfId="0" applyFill="true" applyBorder="true" applyNumberFormat="true" applyFont="true"/>
    <xf numFmtId="0" fontId="6766" fillId="0" borderId="0" xfId="0" applyFill="true" applyBorder="true" applyNumberFormat="true" applyFont="true"/>
    <xf numFmtId="0" fontId="6767" fillId="0" borderId="0" xfId="0" applyFill="true" applyBorder="true" applyNumberFormat="true" applyFont="true"/>
    <xf numFmtId="0" fontId="6768" fillId="0" borderId="0" xfId="0" applyFill="true" applyBorder="true" applyNumberFormat="true" applyFont="true"/>
    <xf numFmtId="0" fontId="6769" fillId="0" borderId="0" xfId="0" applyFill="true" applyBorder="true" applyNumberFormat="true" applyFont="true"/>
    <xf numFmtId="0" fontId="6770" fillId="0" borderId="0" xfId="0" applyFill="true" applyBorder="true" applyNumberFormat="true" applyFont="true"/>
    <xf numFmtId="0" fontId="6771" fillId="0" borderId="0" xfId="0" applyFill="true" applyBorder="true" applyNumberFormat="true" applyFont="true"/>
    <xf numFmtId="0" fontId="6772" fillId="0" borderId="0" xfId="0" applyFill="true" applyBorder="true" applyNumberFormat="true" applyFont="true"/>
    <xf numFmtId="0" fontId="6773" fillId="0" borderId="0" xfId="0" applyFill="true" applyBorder="true" applyNumberFormat="true" applyFont="true"/>
    <xf numFmtId="0" fontId="6774" fillId="0" borderId="0" xfId="0" applyFill="true" applyBorder="true" applyNumberFormat="true" applyFont="true"/>
    <xf numFmtId="0" fontId="6775" fillId="0" borderId="0" xfId="0" applyFill="true" applyBorder="true" applyNumberFormat="true" applyFont="true"/>
    <xf numFmtId="0" fontId="6776" fillId="0" borderId="0" xfId="0" applyFill="true" applyBorder="true" applyNumberFormat="true" applyFont="true"/>
    <xf numFmtId="0" fontId="6777" fillId="0" borderId="0" xfId="0" applyFill="true" applyBorder="true" applyNumberFormat="true" applyFont="true"/>
    <xf numFmtId="0" fontId="6778" fillId="0" borderId="0" xfId="0" applyFill="true" applyBorder="true" applyNumberFormat="true" applyFont="true"/>
    <xf numFmtId="0" fontId="6779" fillId="0" borderId="0" xfId="0" applyFill="true" applyBorder="true" applyNumberFormat="true" applyFont="true"/>
    <xf numFmtId="0" fontId="6780" fillId="0" borderId="0" xfId="0" applyFill="true" applyBorder="true" applyNumberFormat="true" applyFont="true"/>
    <xf numFmtId="0" fontId="6781" fillId="0" borderId="0" xfId="0" applyFill="true" applyBorder="true" applyNumberFormat="true" applyFont="true"/>
    <xf numFmtId="0" fontId="6782" fillId="0" borderId="0" xfId="0" applyFill="true" applyBorder="true" applyNumberFormat="true" applyFont="true"/>
    <xf numFmtId="0" fontId="6783" fillId="0" borderId="0" xfId="0" applyFill="true" applyBorder="true" applyNumberFormat="true" applyFont="true"/>
    <xf numFmtId="0" fontId="6784" fillId="0" borderId="0" xfId="0" applyFill="true" applyBorder="true" applyNumberFormat="true" applyFont="true"/>
    <xf numFmtId="0" fontId="6785" fillId="0" borderId="0" xfId="0" applyFill="true" applyBorder="true" applyNumberFormat="true" applyFont="true"/>
    <xf numFmtId="0" fontId="6786" fillId="0" borderId="0" xfId="0" applyFill="true" applyBorder="true" applyNumberFormat="true" applyFont="true"/>
    <xf numFmtId="0" fontId="6787" fillId="0" borderId="0" xfId="0" applyFill="true" applyBorder="true" applyNumberFormat="true" applyFont="true"/>
    <xf numFmtId="0" fontId="6788" fillId="0" borderId="0" xfId="0" applyFill="true" applyBorder="true" applyNumberFormat="true" applyFont="true"/>
    <xf numFmtId="0" fontId="6789" fillId="0" borderId="0" xfId="0" applyFill="true" applyBorder="true" applyNumberFormat="true" applyFont="true"/>
    <xf numFmtId="0" fontId="6790" fillId="0" borderId="0" xfId="0" applyFill="true" applyBorder="true" applyNumberFormat="true" applyFont="true"/>
    <xf numFmtId="0" fontId="6791" fillId="0" borderId="0" xfId="0" applyFill="true" applyBorder="true" applyNumberFormat="true" applyFont="true"/>
    <xf numFmtId="0" fontId="6792" fillId="0" borderId="0" xfId="0" applyFill="true" applyBorder="true" applyNumberFormat="true" applyFont="true"/>
    <xf numFmtId="0" fontId="6793" fillId="0" borderId="0" xfId="0" applyFill="true" applyBorder="true" applyNumberFormat="true" applyFont="true"/>
    <xf numFmtId="0" fontId="6794" fillId="0" borderId="0" xfId="0" applyFill="true" applyBorder="true" applyNumberFormat="true" applyFont="true"/>
    <xf numFmtId="0" fontId="6795" fillId="0" borderId="0" xfId="0" applyFill="true" applyBorder="true" applyNumberFormat="true" applyFont="true"/>
    <xf numFmtId="0" fontId="6796" fillId="0" borderId="0" xfId="0" applyFill="true" applyBorder="true" applyNumberFormat="true" applyFont="true"/>
    <xf numFmtId="0" fontId="6797" fillId="0" borderId="0" xfId="0" applyFill="true" applyBorder="true" applyNumberFormat="true" applyFont="true"/>
    <xf numFmtId="0" fontId="6798" fillId="0" borderId="0" xfId="0" applyFill="true" applyBorder="true" applyNumberFormat="true" applyFont="true"/>
    <xf numFmtId="0" fontId="6799" fillId="0" borderId="0" xfId="0" applyFill="true" applyBorder="true" applyNumberFormat="true" applyFont="true"/>
    <xf numFmtId="0" fontId="6800" fillId="0" borderId="0" xfId="0" applyFill="true" applyBorder="true" applyNumberFormat="true" applyFont="true"/>
    <xf numFmtId="0" fontId="6801" fillId="0" borderId="0" xfId="0" applyFill="true" applyBorder="true" applyNumberFormat="true" applyFont="true"/>
    <xf numFmtId="0" fontId="6802" fillId="0" borderId="0" xfId="0" applyFill="true" applyBorder="true" applyNumberFormat="true" applyFont="true"/>
    <xf numFmtId="0" fontId="6803" fillId="0" borderId="0" xfId="0" applyFill="true" applyBorder="true" applyNumberFormat="true" applyFont="true"/>
    <xf numFmtId="0" fontId="6804" fillId="0" borderId="0" xfId="0" applyFill="true" applyBorder="true" applyNumberFormat="true" applyFont="true"/>
    <xf numFmtId="0" fontId="6805" fillId="0" borderId="0" xfId="0" applyFill="true" applyBorder="true" applyNumberFormat="true" applyFont="true"/>
    <xf numFmtId="0" fontId="6806" fillId="0" borderId="0" xfId="0" applyFill="true" applyBorder="true" applyNumberFormat="true" applyFont="true"/>
    <xf numFmtId="0" fontId="6807" fillId="0" borderId="0" xfId="0" applyFill="true" applyBorder="true" applyNumberFormat="true" applyFont="true"/>
    <xf numFmtId="0" fontId="6808" fillId="0" borderId="0" xfId="0" applyFill="true" applyBorder="true" applyNumberFormat="true" applyFont="true"/>
    <xf numFmtId="0" fontId="6809" fillId="0" borderId="0" xfId="0" applyFill="true" applyBorder="true" applyNumberFormat="true" applyFont="true"/>
    <xf numFmtId="0" fontId="6810" fillId="0" borderId="0" xfId="0" applyFill="true" applyBorder="true" applyNumberFormat="true" applyFont="true"/>
    <xf numFmtId="0" fontId="6811" fillId="0" borderId="0" xfId="0" applyFill="true" applyBorder="true" applyNumberFormat="true" applyFont="true"/>
    <xf numFmtId="0" fontId="6812" fillId="0" borderId="0" xfId="0" applyFill="true" applyBorder="true" applyNumberFormat="true" applyFont="true"/>
    <xf numFmtId="0" fontId="6813" fillId="0" borderId="0" xfId="0" applyFill="true" applyBorder="true" applyNumberFormat="true" applyFont="true"/>
    <xf numFmtId="0" fontId="6814" fillId="0" borderId="0" xfId="0" applyFill="true" applyBorder="true" applyNumberFormat="true" applyFont="true"/>
    <xf numFmtId="0" fontId="6815" fillId="0" borderId="0" xfId="0" applyFill="true" applyBorder="true" applyNumberFormat="true" applyFont="true"/>
    <xf numFmtId="0" fontId="6816" fillId="0" borderId="0" xfId="0" applyFill="true" applyBorder="true" applyNumberFormat="true" applyFont="true"/>
    <xf numFmtId="0" fontId="6817" fillId="0" borderId="0" xfId="0" applyFill="true" applyBorder="true" applyNumberFormat="true" applyFont="true"/>
    <xf numFmtId="0" fontId="6818" fillId="0" borderId="0" xfId="0" applyFill="true" applyBorder="true" applyNumberFormat="true" applyFont="true"/>
    <xf numFmtId="0" fontId="6819" fillId="0" borderId="0" xfId="0" applyFill="true" applyBorder="true" applyNumberFormat="true" applyFont="true"/>
    <xf numFmtId="0" fontId="6820" fillId="0" borderId="0" xfId="0" applyFill="true" applyBorder="true" applyNumberFormat="true" applyFont="true"/>
    <xf numFmtId="0" fontId="6821" fillId="0" borderId="0" xfId="0" applyFill="true" applyBorder="true" applyNumberFormat="true" applyFont="true"/>
    <xf numFmtId="0" fontId="6822" fillId="0" borderId="0" xfId="0" applyFill="true" applyBorder="true" applyNumberFormat="true" applyFont="true"/>
    <xf numFmtId="0" fontId="6823" fillId="0" borderId="0" xfId="0" applyFill="true" applyBorder="true" applyNumberFormat="true" applyFont="true"/>
    <xf numFmtId="0" fontId="6824" fillId="0" borderId="0" xfId="0" applyFill="true" applyBorder="true" applyNumberFormat="true" applyFont="true"/>
    <xf numFmtId="0" fontId="6825" fillId="0" borderId="0" xfId="0" applyFill="true" applyBorder="true" applyNumberFormat="true" applyFont="true"/>
    <xf numFmtId="0" fontId="6826" fillId="0" borderId="0" xfId="0" applyFill="true" applyBorder="true" applyNumberFormat="true" applyFont="true"/>
    <xf numFmtId="0" fontId="6827" fillId="0" borderId="0" xfId="0" applyFill="true" applyBorder="true" applyNumberFormat="true" applyFont="true"/>
    <xf numFmtId="0" fontId="6828" fillId="0" borderId="0" xfId="0" applyFill="true" applyBorder="true" applyNumberFormat="true" applyFont="true"/>
    <xf numFmtId="0" fontId="6829" fillId="0" borderId="0" xfId="0" applyFill="true" applyBorder="true" applyNumberFormat="true" applyFont="true"/>
    <xf numFmtId="0" fontId="6830" fillId="0" borderId="0" xfId="0" applyFill="true" applyBorder="true" applyNumberFormat="true" applyFont="true"/>
    <xf numFmtId="0" fontId="6831" fillId="0" borderId="0" xfId="0" applyFill="true" applyBorder="true" applyNumberFormat="true" applyFont="true"/>
    <xf numFmtId="0" fontId="6832" fillId="0" borderId="0" xfId="0" applyFill="true" applyBorder="true" applyNumberFormat="true" applyFont="true"/>
    <xf numFmtId="0" fontId="6833" fillId="0" borderId="0" xfId="0" applyFill="true" applyBorder="true" applyNumberFormat="true" applyFont="true"/>
    <xf numFmtId="0" fontId="6834" fillId="0" borderId="0" xfId="0" applyFill="true" applyBorder="true" applyNumberFormat="true" applyFont="true"/>
    <xf numFmtId="0" fontId="6835" fillId="0" borderId="0" xfId="0" applyFill="true" applyBorder="true" applyNumberFormat="true" applyFont="true"/>
    <xf numFmtId="0" fontId="6836" fillId="0" borderId="0" xfId="0" applyFill="true" applyBorder="true" applyNumberFormat="true" applyFont="true"/>
    <xf numFmtId="0" fontId="6837" fillId="0" borderId="0" xfId="0" applyFill="true" applyBorder="true" applyNumberFormat="true" applyFont="true"/>
    <xf numFmtId="0" fontId="6838" fillId="0" borderId="0" xfId="0" applyFill="true" applyBorder="true" applyNumberFormat="true" applyFont="true"/>
    <xf numFmtId="0" fontId="6839" fillId="0" borderId="0" xfId="0" applyFill="true" applyBorder="true" applyNumberFormat="true" applyFont="true"/>
    <xf numFmtId="0" fontId="6840" fillId="0" borderId="0" xfId="0" applyFill="true" applyBorder="true" applyNumberFormat="true" applyFont="true"/>
    <xf numFmtId="0" fontId="6841" fillId="0" borderId="0" xfId="0" applyFill="true" applyBorder="true" applyNumberFormat="true" applyFont="true"/>
    <xf numFmtId="0" fontId="6842" fillId="0" borderId="0" xfId="0" applyFill="true" applyBorder="true" applyNumberFormat="true" applyFont="true"/>
    <xf numFmtId="0" fontId="6843" fillId="0" borderId="0" xfId="0" applyFill="true" applyBorder="true" applyNumberFormat="true" applyFont="true"/>
    <xf numFmtId="0" fontId="6844" fillId="0" borderId="0" xfId="0" applyFill="true" applyBorder="true" applyNumberFormat="true" applyFont="true"/>
    <xf numFmtId="0" fontId="6845" fillId="0" borderId="0" xfId="0" applyFill="true" applyBorder="true" applyNumberFormat="true" applyFont="true"/>
    <xf numFmtId="0" fontId="6846" fillId="0" borderId="0" xfId="0" applyFill="true" applyBorder="true" applyNumberFormat="true" applyFont="true"/>
    <xf numFmtId="0" fontId="6847" fillId="0" borderId="0" xfId="0" applyFill="true" applyBorder="true" applyNumberFormat="true" applyFont="true"/>
    <xf numFmtId="0" fontId="6848" fillId="0" borderId="0" xfId="0" applyFill="true" applyBorder="true" applyNumberFormat="true" applyFont="true"/>
    <xf numFmtId="0" fontId="6849" fillId="0" borderId="0" xfId="0" applyFill="true" applyBorder="true" applyNumberFormat="true" applyFont="true"/>
    <xf numFmtId="0" fontId="6850" fillId="0" borderId="0" xfId="0" applyFill="true" applyBorder="true" applyNumberFormat="true" applyFont="true"/>
    <xf numFmtId="0" fontId="6851" fillId="0" borderId="0" xfId="0" applyFill="true" applyBorder="true" applyNumberFormat="true" applyFont="true"/>
    <xf numFmtId="0" fontId="6852" fillId="0" borderId="0" xfId="0" applyFill="true" applyBorder="true" applyNumberFormat="true" applyFont="true"/>
    <xf numFmtId="0" fontId="6853" fillId="0" borderId="0" xfId="0" applyFill="true" applyBorder="true" applyNumberFormat="true" applyFont="true"/>
    <xf numFmtId="0" fontId="6854" fillId="0" borderId="0" xfId="0" applyFill="true" applyBorder="true" applyNumberFormat="true" applyFont="true"/>
    <xf numFmtId="0" fontId="6855" fillId="0" borderId="0" xfId="0" applyFill="true" applyBorder="true" applyNumberFormat="true" applyFont="true"/>
    <xf numFmtId="0" fontId="6856" fillId="0" borderId="0" xfId="0" applyFill="true" applyBorder="true" applyNumberFormat="true" applyFont="true"/>
    <xf numFmtId="0" fontId="6857" fillId="0" borderId="0" xfId="0" applyFill="true" applyBorder="true" applyNumberFormat="true" applyFont="true"/>
    <xf numFmtId="0" fontId="6858" fillId="0" borderId="0" xfId="0" applyFill="true" applyBorder="true" applyNumberFormat="true" applyFont="true"/>
    <xf numFmtId="0" fontId="6859" fillId="0" borderId="0" xfId="0" applyFill="true" applyBorder="true" applyNumberFormat="true" applyFont="true"/>
    <xf numFmtId="0" fontId="6860" fillId="0" borderId="0" xfId="0" applyFill="true" applyBorder="true" applyNumberFormat="true" applyFont="true"/>
    <xf numFmtId="0" fontId="6861" fillId="0" borderId="0" xfId="0" applyFill="true" applyBorder="true" applyNumberFormat="true" applyFont="true"/>
    <xf numFmtId="0" fontId="6862" fillId="0" borderId="0" xfId="0" applyFill="true" applyBorder="true" applyNumberFormat="true" applyFont="true"/>
    <xf numFmtId="0" fontId="6863" fillId="0" borderId="0" xfId="0" applyFill="true" applyBorder="true" applyNumberFormat="true" applyFont="true"/>
    <xf numFmtId="0" fontId="6864" fillId="0" borderId="0" xfId="0" applyFill="true" applyBorder="true" applyNumberFormat="true" applyFont="true"/>
    <xf numFmtId="0" fontId="6865" fillId="0" borderId="0" xfId="0" applyFill="true" applyBorder="true" applyNumberFormat="true" applyFont="true"/>
    <xf numFmtId="0" fontId="6866" fillId="0" borderId="0" xfId="0" applyFill="true" applyBorder="true" applyNumberFormat="true" applyFont="true"/>
    <xf numFmtId="0" fontId="6867" fillId="0" borderId="0" xfId="0" applyFill="true" applyBorder="true" applyNumberFormat="true" applyFont="true"/>
    <xf numFmtId="0" fontId="6868" fillId="0" borderId="0" xfId="0" applyFill="true" applyBorder="true" applyNumberFormat="true" applyFont="true"/>
    <xf numFmtId="0" fontId="6869" fillId="0" borderId="0" xfId="0" applyFill="true" applyBorder="true" applyNumberFormat="true" applyFont="true"/>
    <xf numFmtId="0" fontId="6870" fillId="0" borderId="0" xfId="0" applyFill="true" applyBorder="true" applyNumberFormat="true" applyFont="true"/>
    <xf numFmtId="0" fontId="6871" fillId="0" borderId="0" xfId="0" applyFill="true" applyBorder="true" applyNumberFormat="true" applyFont="true"/>
    <xf numFmtId="0" fontId="6872" fillId="0" borderId="0" xfId="0" applyFill="true" applyBorder="true" applyNumberFormat="true" applyFont="true"/>
    <xf numFmtId="0" fontId="6873" fillId="0" borderId="0" xfId="0" applyFill="true" applyBorder="true" applyNumberFormat="true" applyFont="true"/>
    <xf numFmtId="0" fontId="6874" fillId="0" borderId="0" xfId="0" applyFill="true" applyBorder="true" applyNumberFormat="true" applyFont="true"/>
    <xf numFmtId="0" fontId="6875" fillId="0" borderId="0" xfId="0" applyFill="true" applyBorder="true" applyNumberFormat="true" applyFont="true"/>
    <xf numFmtId="0" fontId="6876" fillId="0" borderId="0" xfId="0" applyFill="true" applyBorder="true" applyNumberFormat="true" applyFont="true"/>
    <xf numFmtId="0" fontId="6877" fillId="0" borderId="0" xfId="0" applyFill="true" applyBorder="true" applyNumberFormat="true" applyFont="true"/>
    <xf numFmtId="0" fontId="6878" fillId="0" borderId="0" xfId="0" applyFill="true" applyBorder="true" applyNumberFormat="true" applyFont="true"/>
    <xf numFmtId="0" fontId="6879" fillId="0" borderId="0" xfId="0" applyFill="true" applyBorder="true" applyNumberFormat="true" applyFont="true"/>
    <xf numFmtId="0" fontId="6880" fillId="0" borderId="0" xfId="0" applyFill="true" applyBorder="true" applyNumberFormat="true" applyFont="true"/>
    <xf numFmtId="0" fontId="6881" fillId="0" borderId="0" xfId="0" applyFill="true" applyBorder="true" applyNumberFormat="true" applyFont="true"/>
    <xf numFmtId="0" fontId="6882" fillId="0" borderId="0" xfId="0" applyFill="true" applyBorder="true" applyNumberFormat="true" applyFont="true"/>
    <xf numFmtId="0" fontId="6883" fillId="0" borderId="0" xfId="0" applyFill="true" applyBorder="true" applyNumberFormat="true" applyFont="true"/>
    <xf numFmtId="0" fontId="6884" fillId="0" borderId="0" xfId="0" applyFill="true" applyBorder="true" applyNumberFormat="true" applyFont="true"/>
    <xf numFmtId="0" fontId="6885" fillId="0" borderId="0" xfId="0" applyFill="true" applyBorder="true" applyNumberFormat="true" applyFont="true"/>
    <xf numFmtId="0" fontId="6886" fillId="0" borderId="0" xfId="0" applyFill="true" applyBorder="true" applyNumberFormat="true" applyFont="true"/>
    <xf numFmtId="0" fontId="6887" fillId="0" borderId="0" xfId="0" applyFill="true" applyBorder="true" applyNumberFormat="true" applyFont="true"/>
    <xf numFmtId="0" fontId="6888" fillId="0" borderId="0" xfId="0" applyFill="true" applyBorder="true" applyNumberFormat="true" applyFont="true"/>
    <xf numFmtId="0" fontId="6889" fillId="0" borderId="0" xfId="0" applyFill="true" applyBorder="true" applyNumberFormat="true" applyFont="true"/>
    <xf numFmtId="0" fontId="6890" fillId="0" borderId="0" xfId="0" applyFill="true" applyBorder="true" applyNumberFormat="true" applyFont="true"/>
    <xf numFmtId="0" fontId="6891" fillId="0" borderId="0" xfId="0" applyFill="true" applyBorder="true" applyNumberFormat="true" applyFont="true"/>
    <xf numFmtId="0" fontId="6892" fillId="0" borderId="0" xfId="0" applyFill="true" applyBorder="true" applyNumberFormat="true" applyFont="true"/>
    <xf numFmtId="0" fontId="6893" fillId="0" borderId="0" xfId="0" applyFill="true" applyBorder="true" applyNumberFormat="true" applyFont="true"/>
    <xf numFmtId="0" fontId="6894" fillId="0" borderId="0" xfId="0" applyFill="true" applyBorder="true" applyNumberFormat="true" applyFont="true"/>
    <xf numFmtId="0" fontId="6895" fillId="0" borderId="0" xfId="0" applyFill="true" applyBorder="true" applyNumberFormat="true" applyFont="true"/>
    <xf numFmtId="0" fontId="6896" fillId="0" borderId="0" xfId="0" applyFill="true" applyBorder="true" applyNumberFormat="true" applyFont="true"/>
    <xf numFmtId="0" fontId="6897" fillId="0" borderId="0" xfId="0" applyFill="true" applyBorder="true" applyNumberFormat="true" applyFont="true"/>
    <xf numFmtId="0" fontId="6898" fillId="0" borderId="0" xfId="0" applyFill="true" applyBorder="true" applyNumberFormat="true" applyFont="true"/>
    <xf numFmtId="0" fontId="6899" fillId="0" borderId="0" xfId="0" applyFill="true" applyBorder="true" applyNumberFormat="true" applyFont="true"/>
    <xf numFmtId="0" fontId="6900" fillId="0" borderId="0" xfId="0" applyFill="true" applyBorder="true" applyNumberFormat="true" applyFont="true"/>
    <xf numFmtId="0" fontId="6901" fillId="0" borderId="0" xfId="0" applyFill="true" applyBorder="true" applyNumberFormat="true" applyFont="true"/>
    <xf numFmtId="0" fontId="6902" fillId="0" borderId="0" xfId="0" applyFill="true" applyBorder="true" applyNumberFormat="true" applyFont="true"/>
    <xf numFmtId="0" fontId="6903" fillId="0" borderId="0" xfId="0" applyFill="true" applyBorder="true" applyNumberFormat="true" applyFont="true"/>
    <xf numFmtId="0" fontId="6904" fillId="0" borderId="0" xfId="0" applyFill="true" applyBorder="true" applyNumberFormat="true" applyFont="true"/>
    <xf numFmtId="0" fontId="6905" fillId="0" borderId="0" xfId="0" applyFill="true" applyBorder="true" applyNumberFormat="true" applyFont="true"/>
    <xf numFmtId="0" fontId="6906" fillId="0" borderId="0" xfId="0" applyFill="true" applyBorder="true" applyNumberFormat="true" applyFont="true"/>
    <xf numFmtId="0" fontId="6907" fillId="0" borderId="0" xfId="0" applyFill="true" applyBorder="true" applyNumberFormat="true" applyFont="true"/>
    <xf numFmtId="0" fontId="6908" fillId="0" borderId="0" xfId="0" applyFill="true" applyBorder="true" applyNumberFormat="true" applyFont="true"/>
    <xf numFmtId="0" fontId="6909" fillId="0" borderId="0" xfId="0" applyFill="true" applyBorder="true" applyNumberFormat="true" applyFont="true"/>
    <xf numFmtId="0" fontId="6910" fillId="0" borderId="0" xfId="0" applyFill="true" applyBorder="true" applyNumberFormat="true" applyFont="true"/>
    <xf numFmtId="0" fontId="6911" fillId="0" borderId="0" xfId="0" applyFill="true" applyBorder="true" applyNumberFormat="true" applyFont="true"/>
    <xf numFmtId="0" fontId="6912" fillId="0" borderId="0" xfId="0" applyFill="true" applyBorder="true" applyNumberFormat="true" applyFont="true"/>
    <xf numFmtId="0" fontId="6913" fillId="0" borderId="0" xfId="0" applyFill="true" applyBorder="true" applyNumberFormat="true" applyFont="true"/>
    <xf numFmtId="0" fontId="6914" fillId="0" borderId="0" xfId="0" applyFill="true" applyBorder="true" applyNumberFormat="true" applyFont="true"/>
    <xf numFmtId="0" fontId="6915" fillId="0" borderId="0" xfId="0" applyFill="true" applyBorder="true" applyNumberFormat="true" applyFont="true"/>
    <xf numFmtId="0" fontId="6916" fillId="0" borderId="0" xfId="0" applyFill="true" applyBorder="true" applyNumberFormat="true" applyFont="true"/>
    <xf numFmtId="0" fontId="6917" fillId="0" borderId="0" xfId="0" applyFill="true" applyBorder="true" applyNumberFormat="true" applyFont="true"/>
    <xf numFmtId="0" fontId="6918" fillId="0" borderId="0" xfId="0" applyFill="true" applyBorder="true" applyNumberFormat="true" applyFont="true"/>
    <xf numFmtId="0" fontId="6919" fillId="0" borderId="0" xfId="0" applyFill="true" applyBorder="true" applyNumberFormat="true" applyFont="true"/>
    <xf numFmtId="0" fontId="6920" fillId="0" borderId="0" xfId="0" applyFill="true" applyBorder="true" applyNumberFormat="true" applyFont="true"/>
    <xf numFmtId="0" fontId="6921" fillId="0" borderId="0" xfId="0" applyFill="true" applyBorder="true" applyNumberFormat="true" applyFont="true"/>
    <xf numFmtId="0" fontId="6922" fillId="0" borderId="0" xfId="0" applyFill="true" applyBorder="true" applyNumberFormat="true" applyFont="true"/>
    <xf numFmtId="0" fontId="6923" fillId="0" borderId="0" xfId="0" applyFill="true" applyBorder="true" applyNumberFormat="true" applyFont="true"/>
    <xf numFmtId="0" fontId="6924" fillId="0" borderId="0" xfId="0" applyFill="true" applyBorder="true" applyNumberFormat="true" applyFont="true"/>
    <xf numFmtId="0" fontId="6925" fillId="0" borderId="0" xfId="0" applyFill="true" applyBorder="true" applyNumberFormat="true" applyFont="true"/>
    <xf numFmtId="0" fontId="6926" fillId="0" borderId="0" xfId="0" applyFill="true" applyBorder="true" applyNumberFormat="true" applyFont="true"/>
    <xf numFmtId="0" fontId="6927" fillId="0" borderId="0" xfId="0" applyFill="true" applyBorder="true" applyNumberFormat="true" applyFont="true"/>
    <xf numFmtId="0" fontId="6928" fillId="0" borderId="0" xfId="0" applyFill="true" applyBorder="true" applyNumberFormat="true" applyFont="true"/>
    <xf numFmtId="0" fontId="6929" fillId="0" borderId="0" xfId="0" applyFill="true" applyBorder="true" applyNumberFormat="true" applyFont="true"/>
    <xf numFmtId="0" fontId="6930" fillId="0" borderId="0" xfId="0" applyFill="true" applyBorder="true" applyNumberFormat="true" applyFont="true"/>
    <xf numFmtId="0" fontId="6931" fillId="0" borderId="0" xfId="0" applyFill="true" applyBorder="true" applyNumberFormat="true" applyFont="true"/>
    <xf numFmtId="0" fontId="6932" fillId="0" borderId="0" xfId="0" applyFill="true" applyBorder="true" applyNumberFormat="true" applyFont="true"/>
    <xf numFmtId="0" fontId="6933" fillId="0" borderId="0" xfId="0" applyFill="true" applyBorder="true" applyNumberFormat="true" applyFont="true"/>
    <xf numFmtId="0" fontId="6934" fillId="0" borderId="0" xfId="0" applyFill="true" applyBorder="true" applyNumberFormat="true" applyFont="true"/>
    <xf numFmtId="0" fontId="6935" fillId="0" borderId="0" xfId="0" applyFill="true" applyBorder="true" applyNumberFormat="true" applyFont="true"/>
    <xf numFmtId="0" fontId="6936" fillId="0" borderId="0" xfId="0" applyFill="true" applyBorder="true" applyNumberFormat="true" applyFont="true"/>
    <xf numFmtId="0" fontId="6937" fillId="0" borderId="0" xfId="0" applyFill="true" applyBorder="true" applyNumberFormat="true" applyFont="true"/>
    <xf numFmtId="0" fontId="6938" fillId="0" borderId="0" xfId="0" applyFill="true" applyBorder="true" applyNumberFormat="true" applyFont="true"/>
    <xf numFmtId="0" fontId="6939" fillId="0" borderId="0" xfId="0" applyFill="true" applyBorder="true" applyNumberFormat="true" applyFont="true"/>
    <xf numFmtId="0" fontId="6940" fillId="0" borderId="0" xfId="0" applyFill="true" applyBorder="true" applyNumberFormat="true" applyFont="true"/>
    <xf numFmtId="0" fontId="6941" fillId="0" borderId="0" xfId="0" applyFill="true" applyBorder="true" applyNumberFormat="true" applyFont="true"/>
    <xf numFmtId="0" fontId="6942" fillId="0" borderId="0" xfId="0" applyFill="true" applyBorder="true" applyNumberFormat="true" applyFont="true"/>
    <xf numFmtId="0" fontId="6943" fillId="0" borderId="0" xfId="0" applyFill="true" applyBorder="true" applyNumberFormat="true" applyFont="true"/>
    <xf numFmtId="0" fontId="6944" fillId="0" borderId="0" xfId="0" applyFill="true" applyBorder="true" applyNumberFormat="true" applyFont="true"/>
    <xf numFmtId="0" fontId="6945" fillId="0" borderId="0" xfId="0" applyFill="true" applyBorder="true" applyNumberFormat="true" applyFont="true"/>
    <xf numFmtId="0" fontId="6946" fillId="0" borderId="0" xfId="0" applyFill="true" applyBorder="true" applyNumberFormat="true" applyFont="true"/>
    <xf numFmtId="0" fontId="6947" fillId="0" borderId="0" xfId="0" applyFill="true" applyBorder="true" applyNumberFormat="true" applyFont="true"/>
    <xf numFmtId="0" fontId="6948" fillId="0" borderId="0" xfId="0" applyFill="true" applyBorder="true" applyNumberFormat="true" applyFont="true"/>
    <xf numFmtId="0" fontId="6949" fillId="0" borderId="0" xfId="0" applyFill="true" applyBorder="true" applyNumberFormat="true" applyFont="true"/>
    <xf numFmtId="0" fontId="6950" fillId="0" borderId="0" xfId="0" applyFill="true" applyBorder="true" applyNumberFormat="true" applyFont="true"/>
    <xf numFmtId="0" fontId="6951" fillId="0" borderId="0" xfId="0" applyFill="true" applyBorder="true" applyNumberFormat="true" applyFont="true"/>
    <xf numFmtId="0" fontId="6952" fillId="0" borderId="0" xfId="0" applyFill="true" applyBorder="true" applyNumberFormat="true" applyFont="true"/>
    <xf numFmtId="0" fontId="6953" fillId="0" borderId="0" xfId="0" applyFill="true" applyBorder="true" applyNumberFormat="true" applyFont="true"/>
    <xf numFmtId="0" fontId="6954" fillId="0" borderId="0" xfId="0" applyFill="true" applyBorder="true" applyNumberFormat="true" applyFont="true"/>
    <xf numFmtId="0" fontId="6955" fillId="0" borderId="0" xfId="0" applyFill="true" applyBorder="true" applyNumberFormat="true" applyFont="true"/>
    <xf numFmtId="0" fontId="6956" fillId="0" borderId="0" xfId="0" applyFill="true" applyBorder="true" applyNumberFormat="true" applyFont="true"/>
    <xf numFmtId="0" fontId="6957" fillId="0" borderId="0" xfId="0" applyFill="true" applyBorder="true" applyNumberFormat="true" applyFont="true"/>
    <xf numFmtId="0" fontId="6958" fillId="0" borderId="0" xfId="0" applyFill="true" applyBorder="true" applyNumberFormat="true" applyFont="true"/>
    <xf numFmtId="0" fontId="6959" fillId="0" borderId="0" xfId="0" applyFill="true" applyBorder="true" applyNumberFormat="true" applyFont="true"/>
    <xf numFmtId="0" fontId="6960" fillId="0" borderId="0" xfId="0" applyFill="true" applyBorder="true" applyNumberFormat="true" applyFont="true"/>
    <xf numFmtId="0" fontId="6961" fillId="0" borderId="0" xfId="0" applyFill="true" applyBorder="true" applyNumberFormat="true" applyFont="true"/>
    <xf numFmtId="0" fontId="6962" fillId="0" borderId="0" xfId="0" applyFill="true" applyBorder="true" applyNumberFormat="true" applyFont="true"/>
    <xf numFmtId="0" fontId="6963" fillId="0" borderId="0" xfId="0" applyFill="true" applyBorder="true" applyNumberFormat="true" applyFont="true"/>
    <xf numFmtId="0" fontId="6964" fillId="0" borderId="0" xfId="0" applyFill="true" applyBorder="true" applyNumberFormat="true" applyFont="true"/>
    <xf numFmtId="0" fontId="6965" fillId="0" borderId="0" xfId="0" applyFill="true" applyBorder="true" applyNumberFormat="true" applyFont="true"/>
    <xf numFmtId="0" fontId="6966" fillId="0" borderId="0" xfId="0" applyFill="true" applyBorder="true" applyNumberFormat="true" applyFont="true"/>
    <xf numFmtId="0" fontId="6967" fillId="0" borderId="0" xfId="0" applyFill="true" applyBorder="true" applyNumberFormat="true" applyFont="true"/>
    <xf numFmtId="0" fontId="6968" fillId="0" borderId="0" xfId="0" applyFill="true" applyBorder="true" applyNumberFormat="true" applyFont="true"/>
    <xf numFmtId="0" fontId="6969" fillId="0" borderId="0" xfId="0" applyFill="true" applyBorder="true" applyNumberFormat="true" applyFont="true"/>
    <xf numFmtId="0" fontId="6970" fillId="0" borderId="0" xfId="0" applyFill="true" applyBorder="true" applyNumberFormat="true" applyFont="true"/>
    <xf numFmtId="0" fontId="6971" fillId="0" borderId="0" xfId="0" applyFill="true" applyBorder="true" applyNumberFormat="true" applyFont="true"/>
    <xf numFmtId="0" fontId="6972" fillId="0" borderId="0" xfId="0" applyFill="true" applyBorder="true" applyNumberFormat="true" applyFont="true"/>
    <xf numFmtId="0" fontId="6973" fillId="0" borderId="0" xfId="0" applyFill="true" applyBorder="true" applyNumberFormat="true" applyFont="true"/>
    <xf numFmtId="0" fontId="6974" fillId="0" borderId="0" xfId="0" applyFill="true" applyBorder="true" applyNumberFormat="true" applyFont="true"/>
    <xf numFmtId="0" fontId="6975" fillId="0" borderId="0" xfId="0" applyFill="true" applyBorder="true" applyNumberFormat="true" applyFont="true"/>
    <xf numFmtId="0" fontId="6976" fillId="0" borderId="0" xfId="0" applyFill="true" applyBorder="true" applyNumberFormat="true" applyFont="true"/>
    <xf numFmtId="0" fontId="6977" fillId="0" borderId="0" xfId="0" applyFill="true" applyBorder="true" applyNumberFormat="true" applyFont="true"/>
    <xf numFmtId="0" fontId="6978" fillId="0" borderId="0" xfId="0" applyFill="true" applyBorder="true" applyNumberFormat="true" applyFont="true"/>
    <xf numFmtId="0" fontId="6979" fillId="0" borderId="0" xfId="0" applyFill="true" applyBorder="true" applyNumberFormat="true" applyFont="true"/>
    <xf numFmtId="0" fontId="6980" fillId="0" borderId="0" xfId="0" applyFill="true" applyBorder="true" applyNumberFormat="true" applyFont="true"/>
    <xf numFmtId="0" fontId="6981" fillId="0" borderId="0" xfId="0" applyFill="true" applyBorder="true" applyNumberFormat="true" applyFont="true"/>
    <xf numFmtId="0" fontId="6982" fillId="0" borderId="0" xfId="0" applyFill="true" applyBorder="true" applyNumberFormat="true" applyFont="true"/>
    <xf numFmtId="0" fontId="6983" fillId="0" borderId="0" xfId="0" applyFill="true" applyBorder="true" applyNumberFormat="true" applyFont="true"/>
    <xf numFmtId="0" fontId="6984" fillId="0" borderId="0" xfId="0" applyFill="true" applyBorder="true" applyNumberFormat="true" applyFont="true"/>
    <xf numFmtId="0" fontId="6985" fillId="0" borderId="0" xfId="0" applyFill="true" applyBorder="true" applyNumberFormat="true" applyFont="true"/>
    <xf numFmtId="0" fontId="6986" fillId="0" borderId="0" xfId="0" applyFill="true" applyBorder="true" applyNumberFormat="true" applyFont="true"/>
    <xf numFmtId="0" fontId="6987" fillId="0" borderId="0" xfId="0" applyFill="true" applyBorder="true" applyNumberFormat="true" applyFont="true"/>
    <xf numFmtId="0" fontId="6988" fillId="0" borderId="0" xfId="0" applyFill="true" applyBorder="true" applyNumberFormat="true" applyFont="true"/>
    <xf numFmtId="0" fontId="6989" fillId="0" borderId="0" xfId="0" applyFill="true" applyBorder="true" applyNumberFormat="true" applyFont="true"/>
    <xf numFmtId="0" fontId="6990" fillId="0" borderId="0" xfId="0" applyFill="true" applyBorder="true" applyNumberFormat="true" applyFont="true"/>
    <xf numFmtId="0" fontId="6991" fillId="0" borderId="0" xfId="0" applyFill="true" applyBorder="true" applyNumberFormat="true" applyFont="true"/>
    <xf numFmtId="0" fontId="6992" fillId="0" borderId="0" xfId="0" applyFill="true" applyBorder="true" applyNumberFormat="true" applyFont="true"/>
    <xf numFmtId="0" fontId="6993" fillId="0" borderId="0" xfId="0" applyFill="true" applyBorder="true" applyNumberFormat="true" applyFont="true"/>
    <xf numFmtId="0" fontId="6994" fillId="0" borderId="0" xfId="0" applyFill="true" applyBorder="true" applyNumberFormat="true" applyFont="true"/>
    <xf numFmtId="0" fontId="6995" fillId="0" borderId="0" xfId="0" applyFill="true" applyBorder="true" applyNumberFormat="true" applyFont="true"/>
    <xf numFmtId="0" fontId="6996" fillId="0" borderId="0" xfId="0" applyFill="true" applyBorder="true" applyNumberFormat="true" applyFont="true"/>
    <xf numFmtId="0" fontId="6997" fillId="0" borderId="0" xfId="0" applyFill="true" applyBorder="true" applyNumberFormat="true" applyFont="true"/>
    <xf numFmtId="0" fontId="6998" fillId="0" borderId="0" xfId="0" applyFill="true" applyBorder="true" applyNumberFormat="true" applyFont="true"/>
    <xf numFmtId="0" fontId="6999" fillId="0" borderId="0" xfId="0" applyFill="true" applyBorder="true" applyNumberFormat="true" applyFont="true"/>
    <xf numFmtId="0" fontId="7000" fillId="0" borderId="0" xfId="0" applyFill="true" applyBorder="true" applyNumberFormat="true" applyFont="true"/>
    <xf numFmtId="0" fontId="7001" fillId="0" borderId="0" xfId="0" applyFill="true" applyBorder="true" applyNumberFormat="true" applyFont="true"/>
    <xf numFmtId="0" fontId="7002" fillId="0" borderId="0" xfId="0" applyFill="true" applyBorder="true" applyNumberFormat="true" applyFont="true"/>
    <xf numFmtId="0" fontId="7003" fillId="0" borderId="0" xfId="0" applyFill="true" applyBorder="true" applyNumberFormat="true" applyFont="true"/>
    <xf numFmtId="0" fontId="7004" fillId="0" borderId="0" xfId="0" applyFill="true" applyBorder="true" applyNumberFormat="true" applyFont="true"/>
    <xf numFmtId="0" fontId="7005" fillId="0" borderId="0" xfId="0" applyFill="true" applyBorder="true" applyNumberFormat="true" applyFont="true"/>
    <xf numFmtId="0" fontId="7006" fillId="0" borderId="0" xfId="0" applyFill="true" applyBorder="true" applyNumberFormat="true" applyFont="true"/>
    <xf numFmtId="0" fontId="7007" fillId="0" borderId="0" xfId="0" applyFill="true" applyBorder="true" applyNumberFormat="true" applyFont="true"/>
    <xf numFmtId="0" fontId="7008" fillId="0" borderId="0" xfId="0" applyFill="true" applyBorder="true" applyNumberFormat="true" applyFont="true"/>
    <xf numFmtId="0" fontId="7009" fillId="0" borderId="0" xfId="0" applyFill="true" applyBorder="true" applyNumberFormat="true" applyFont="true"/>
    <xf numFmtId="0" fontId="7010" fillId="0" borderId="0" xfId="0" applyFill="true" applyBorder="true" applyNumberFormat="true" applyFont="true"/>
    <xf numFmtId="0" fontId="7011" fillId="0" borderId="0" xfId="0" applyFill="true" applyBorder="true" applyNumberFormat="true" applyFont="true"/>
    <xf numFmtId="0" fontId="7012" fillId="0" borderId="0" xfId="0" applyFill="true" applyBorder="true" applyNumberFormat="true" applyFont="true"/>
    <xf numFmtId="0" fontId="7013" fillId="0" borderId="0" xfId="0" applyFill="true" applyBorder="true" applyNumberFormat="true" applyFont="true"/>
    <xf numFmtId="0" fontId="7014" fillId="0" borderId="0" xfId="0" applyFill="true" applyBorder="true" applyNumberFormat="true" applyFont="true"/>
    <xf numFmtId="0" fontId="7015" fillId="0" borderId="0" xfId="0" applyFill="true" applyBorder="true" applyNumberFormat="true" applyFont="true"/>
    <xf numFmtId="0" fontId="7016" fillId="0" borderId="0" xfId="0" applyFill="true" applyBorder="true" applyNumberFormat="true" applyFont="true"/>
    <xf numFmtId="0" fontId="7017" fillId="0" borderId="0" xfId="0" applyFill="true" applyBorder="true" applyNumberFormat="true" applyFont="true"/>
    <xf numFmtId="0" fontId="7018" fillId="0" borderId="0" xfId="0" applyFill="true" applyBorder="true" applyNumberFormat="true" applyFont="true"/>
    <xf numFmtId="0" fontId="7019" fillId="0" borderId="0" xfId="0" applyFill="true" applyBorder="true" applyNumberFormat="true" applyFont="true"/>
    <xf numFmtId="0" fontId="7020" fillId="0" borderId="0" xfId="0" applyFill="true" applyBorder="true" applyNumberFormat="true" applyFont="true"/>
    <xf numFmtId="0" fontId="7021" fillId="0" borderId="0" xfId="0" applyFill="true" applyBorder="true" applyNumberFormat="true" applyFont="true"/>
    <xf numFmtId="0" fontId="7022" fillId="0" borderId="0" xfId="0" applyFill="true" applyBorder="true" applyNumberFormat="true" applyFont="true"/>
    <xf numFmtId="0" fontId="7023" fillId="0" borderId="0" xfId="0" applyFill="true" applyBorder="true" applyNumberFormat="true" applyFont="true"/>
    <xf numFmtId="0" fontId="7024" fillId="0" borderId="0" xfId="0" applyFill="true" applyBorder="true" applyNumberFormat="true" applyFont="true"/>
    <xf numFmtId="0" fontId="7025" fillId="0" borderId="0" xfId="0" applyFill="true" applyBorder="true" applyNumberFormat="true" applyFont="true"/>
    <xf numFmtId="0" fontId="7026" fillId="0" borderId="0" xfId="0" applyFill="true" applyBorder="true" applyNumberFormat="true" applyFont="true"/>
    <xf numFmtId="0" fontId="7027" fillId="0" borderId="0" xfId="0" applyFill="true" applyBorder="true" applyNumberFormat="true" applyFont="true"/>
    <xf numFmtId="0" fontId="7028" fillId="0" borderId="0" xfId="0" applyFill="true" applyBorder="true" applyNumberFormat="true" applyFont="true"/>
    <xf numFmtId="0" fontId="7029" fillId="0" borderId="0" xfId="0" applyFill="true" applyBorder="true" applyNumberFormat="true" applyFont="true"/>
    <xf numFmtId="0" fontId="7030" fillId="0" borderId="0" xfId="0" applyFill="true" applyBorder="true" applyNumberFormat="true" applyFont="true"/>
    <xf numFmtId="0" fontId="7031" fillId="0" borderId="0" xfId="0" applyFill="true" applyBorder="true" applyNumberFormat="true" applyFont="true"/>
    <xf numFmtId="0" fontId="7032" fillId="0" borderId="0" xfId="0" applyFill="true" applyBorder="true" applyNumberFormat="true" applyFont="true"/>
    <xf numFmtId="0" fontId="7033" fillId="0" borderId="0" xfId="0" applyFill="true" applyBorder="true" applyNumberFormat="true" applyFont="true"/>
    <xf numFmtId="0" fontId="7034" fillId="0" borderId="0" xfId="0" applyFill="true" applyBorder="true" applyNumberFormat="true" applyFont="true"/>
    <xf numFmtId="0" fontId="7035" fillId="0" borderId="0" xfId="0" applyFill="true" applyBorder="true" applyNumberFormat="true" applyFont="true"/>
    <xf numFmtId="0" fontId="7036" fillId="0" borderId="0" xfId="0" applyFill="true" applyBorder="true" applyNumberFormat="true" applyFont="true"/>
    <xf numFmtId="0" fontId="7037" fillId="0" borderId="0" xfId="0" applyFill="true" applyBorder="true" applyNumberFormat="true" applyFont="true"/>
    <xf numFmtId="0" fontId="7038" fillId="0" borderId="0" xfId="0" applyFill="true" applyBorder="true" applyNumberFormat="true" applyFont="true"/>
    <xf numFmtId="0" fontId="7039" fillId="0" borderId="0" xfId="0" applyFill="true" applyBorder="true" applyNumberFormat="true" applyFont="true"/>
    <xf numFmtId="0" fontId="7040" fillId="0" borderId="0" xfId="0" applyFill="true" applyBorder="true" applyNumberFormat="true" applyFont="true"/>
    <xf numFmtId="0" fontId="7041" fillId="0" borderId="0" xfId="0" applyFill="true" applyBorder="true" applyNumberFormat="true" applyFont="true"/>
    <xf numFmtId="0" fontId="7042" fillId="0" borderId="0" xfId="0" applyFill="true" applyBorder="true" applyNumberFormat="true" applyFont="true"/>
    <xf numFmtId="0" fontId="7043" fillId="0" borderId="0" xfId="0" applyFill="true" applyBorder="true" applyNumberFormat="true" applyFont="true"/>
    <xf numFmtId="0" fontId="7044" fillId="0" borderId="0" xfId="0" applyFill="true" applyBorder="true" applyNumberFormat="true" applyFont="true"/>
    <xf numFmtId="0" fontId="7045" fillId="0" borderId="0" xfId="0" applyFill="true" applyBorder="true" applyNumberFormat="true" applyFont="true"/>
    <xf numFmtId="0" fontId="7046" fillId="0" borderId="0" xfId="0" applyFill="true" applyBorder="true" applyNumberFormat="true" applyFont="true"/>
    <xf numFmtId="0" fontId="7047" fillId="0" borderId="0" xfId="0" applyFill="true" applyBorder="true" applyNumberFormat="true" applyFont="true"/>
    <xf numFmtId="0" fontId="7048" fillId="0" borderId="0" xfId="0" applyFill="true" applyBorder="true" applyNumberFormat="true" applyFont="true"/>
    <xf numFmtId="0" fontId="7049" fillId="0" borderId="0" xfId="0" applyFill="true" applyBorder="true" applyNumberFormat="true" applyFont="true"/>
    <xf numFmtId="0" fontId="7050" fillId="0" borderId="0" xfId="0" applyFill="true" applyBorder="true" applyNumberFormat="true" applyFont="true"/>
    <xf numFmtId="0" fontId="7051" fillId="0" borderId="0" xfId="0" applyFill="true" applyBorder="true" applyNumberFormat="true" applyFont="true"/>
    <xf numFmtId="0" fontId="7052" fillId="0" borderId="0" xfId="0" applyFill="true" applyBorder="true" applyNumberFormat="true" applyFont="true"/>
    <xf numFmtId="0" fontId="7053" fillId="0" borderId="0" xfId="0" applyFill="true" applyBorder="true" applyNumberFormat="true" applyFont="true"/>
    <xf numFmtId="0" fontId="7054" fillId="0" borderId="0" xfId="0" applyFill="true" applyBorder="true" applyNumberFormat="true" applyFont="true"/>
    <xf numFmtId="0" fontId="7055" fillId="0" borderId="0" xfId="0" applyFill="true" applyBorder="true" applyNumberFormat="true" applyFont="true"/>
    <xf numFmtId="0" fontId="7056" fillId="0" borderId="0" xfId="0" applyFill="true" applyBorder="true" applyNumberFormat="true" applyFont="true"/>
    <xf numFmtId="0" fontId="7057" fillId="0" borderId="0" xfId="0" applyFill="true" applyBorder="true" applyNumberFormat="true" applyFont="true"/>
    <xf numFmtId="0" fontId="7058" fillId="0" borderId="0" xfId="0" applyFill="true" applyBorder="true" applyNumberFormat="true" applyFont="true"/>
    <xf numFmtId="0" fontId="7059" fillId="0" borderId="0" xfId="0" applyFill="true" applyBorder="true" applyNumberFormat="true" applyFont="true"/>
    <xf numFmtId="0" fontId="7060" fillId="0" borderId="0" xfId="0" applyFill="true" applyBorder="true" applyNumberFormat="true" applyFont="true"/>
    <xf numFmtId="0" fontId="7061" fillId="0" borderId="0" xfId="0" applyFill="true" applyBorder="true" applyNumberFormat="true" applyFont="true"/>
    <xf numFmtId="0" fontId="7062" fillId="0" borderId="0" xfId="0" applyFill="true" applyBorder="true" applyNumberFormat="true" applyFont="true"/>
    <xf numFmtId="0" fontId="7063" fillId="0" borderId="0" xfId="0" applyFill="true" applyBorder="true" applyNumberFormat="true" applyFont="true"/>
    <xf numFmtId="0" fontId="7064" fillId="0" borderId="0" xfId="0" applyFill="true" applyBorder="true" applyNumberFormat="true" applyFont="true"/>
    <xf numFmtId="0" fontId="7065" fillId="0" borderId="0" xfId="0" applyFill="true" applyBorder="true" applyNumberFormat="true" applyFont="true"/>
    <xf numFmtId="0" fontId="7066" fillId="0" borderId="0" xfId="0" applyFill="true" applyBorder="true" applyNumberFormat="true" applyFont="true"/>
    <xf numFmtId="0" fontId="7067" fillId="0" borderId="0" xfId="0" applyFill="true" applyBorder="true" applyNumberFormat="true" applyFont="true"/>
    <xf numFmtId="0" fontId="7068" fillId="0" borderId="0" xfId="0" applyFill="true" applyBorder="true" applyNumberFormat="true" applyFont="true"/>
    <xf numFmtId="0" fontId="7069" fillId="0" borderId="0" xfId="0" applyFill="true" applyBorder="true" applyNumberFormat="true" applyFont="true"/>
    <xf numFmtId="0" fontId="7070" fillId="0" borderId="0" xfId="0" applyFill="true" applyBorder="true" applyNumberFormat="true" applyFont="true"/>
    <xf numFmtId="0" fontId="7071" fillId="0" borderId="0" xfId="0" applyFill="true" applyBorder="true" applyNumberFormat="true" applyFont="true"/>
    <xf numFmtId="0" fontId="7072" fillId="0" borderId="0" xfId="0" applyFill="true" applyBorder="true" applyNumberFormat="true" applyFont="true"/>
    <xf numFmtId="0" fontId="7073" fillId="0" borderId="0" xfId="0" applyFill="true" applyBorder="true" applyNumberFormat="true" applyFont="true"/>
    <xf numFmtId="0" fontId="7074" fillId="0" borderId="0" xfId="0" applyFill="true" applyBorder="true" applyNumberFormat="true" applyFont="true"/>
    <xf numFmtId="0" fontId="7075" fillId="0" borderId="0" xfId="0" applyFill="true" applyBorder="true" applyNumberFormat="true" applyFont="true"/>
    <xf numFmtId="0" fontId="7076" fillId="0" borderId="0" xfId="0" applyFill="true" applyBorder="true" applyNumberFormat="true" applyFont="true"/>
    <xf numFmtId="0" fontId="7077" fillId="0" borderId="0" xfId="0" applyFill="true" applyBorder="true" applyNumberFormat="true" applyFont="true"/>
    <xf numFmtId="0" fontId="7078" fillId="0" borderId="0" xfId="0" applyFill="true" applyBorder="true" applyNumberFormat="true" applyFont="true"/>
    <xf numFmtId="0" fontId="7079" fillId="0" borderId="0" xfId="0" applyFill="true" applyBorder="true" applyNumberFormat="true" applyFont="true"/>
    <xf numFmtId="0" fontId="7080" fillId="0" borderId="0" xfId="0" applyFill="true" applyBorder="true" applyNumberFormat="true" applyFont="true"/>
    <xf numFmtId="0" fontId="7081" fillId="0" borderId="0" xfId="0" applyFill="true" applyBorder="true" applyNumberFormat="true" applyFont="true"/>
    <xf numFmtId="0" fontId="7082" fillId="0" borderId="0" xfId="0" applyFill="true" applyBorder="true" applyNumberFormat="true" applyFont="true"/>
    <xf numFmtId="0" fontId="7083" fillId="0" borderId="0" xfId="0" applyFill="true" applyBorder="true" applyNumberFormat="true" applyFont="true"/>
    <xf numFmtId="0" fontId="7084" fillId="0" borderId="0" xfId="0" applyFill="true" applyBorder="true" applyNumberFormat="true" applyFont="true"/>
    <xf numFmtId="0" fontId="7085" fillId="0" borderId="0" xfId="0" applyFill="true" applyBorder="true" applyNumberFormat="true" applyFont="true"/>
    <xf numFmtId="0" fontId="7086" fillId="0" borderId="0" xfId="0" applyFill="true" applyBorder="true" applyNumberFormat="true" applyFont="true"/>
    <xf numFmtId="0" fontId="7087" fillId="0" borderId="0" xfId="0" applyFill="true" applyBorder="true" applyNumberFormat="true" applyFont="true"/>
    <xf numFmtId="0" fontId="7088" fillId="0" borderId="0" xfId="0" applyFill="true" applyBorder="true" applyNumberFormat="true" applyFont="true"/>
    <xf numFmtId="0" fontId="7089" fillId="0" borderId="0" xfId="0" applyFill="true" applyBorder="true" applyNumberFormat="true" applyFont="true"/>
    <xf numFmtId="0" fontId="7090" fillId="0" borderId="0" xfId="0" applyFill="true" applyBorder="true" applyNumberFormat="true" applyFont="true"/>
    <xf numFmtId="0" fontId="7091" fillId="0" borderId="0" xfId="0" applyFill="true" applyBorder="true" applyNumberFormat="true" applyFont="true"/>
    <xf numFmtId="0" fontId="7092" fillId="0" borderId="0" xfId="0" applyFill="true" applyBorder="true" applyNumberFormat="true" applyFont="true"/>
    <xf numFmtId="0" fontId="7093" fillId="0" borderId="0" xfId="0" applyFill="true" applyBorder="true" applyNumberFormat="true" applyFont="true"/>
    <xf numFmtId="0" fontId="7094" fillId="0" borderId="0" xfId="0" applyFill="true" applyBorder="true" applyNumberFormat="true" applyFont="true"/>
    <xf numFmtId="0" fontId="7095" fillId="0" borderId="0" xfId="0" applyFill="true" applyBorder="true" applyNumberFormat="true" applyFont="true"/>
    <xf numFmtId="0" fontId="7096" fillId="0" borderId="0" xfId="0" applyFill="true" applyBorder="true" applyNumberFormat="true" applyFont="true"/>
    <xf numFmtId="0" fontId="7097" fillId="0" borderId="0" xfId="0" applyFill="true" applyBorder="true" applyNumberFormat="true" applyFont="true"/>
    <xf numFmtId="0" fontId="7098" fillId="0" borderId="0" xfId="0" applyFill="true" applyBorder="true" applyNumberFormat="true" applyFont="true"/>
    <xf numFmtId="0" fontId="7099" fillId="0" borderId="0" xfId="0" applyFill="true" applyBorder="true" applyNumberFormat="true" applyFont="true"/>
    <xf numFmtId="0" fontId="7100" fillId="0" borderId="0" xfId="0" applyFill="true" applyBorder="true" applyNumberFormat="true" applyFont="true"/>
    <xf numFmtId="0" fontId="7101" fillId="0" borderId="0" xfId="0" applyFill="true" applyBorder="true" applyNumberFormat="true" applyFont="true"/>
    <xf numFmtId="0" fontId="7102" fillId="0" borderId="0" xfId="0" applyFill="true" applyBorder="true" applyNumberFormat="true" applyFont="true"/>
    <xf numFmtId="0" fontId="7103" fillId="0" borderId="0" xfId="0" applyFill="true" applyBorder="true" applyNumberFormat="true" applyFont="true"/>
    <xf numFmtId="0" fontId="7104" fillId="0" borderId="0" xfId="0" applyFill="true" applyBorder="true" applyNumberFormat="true" applyFont="true"/>
    <xf numFmtId="0" fontId="7105" fillId="0" borderId="0" xfId="0" applyFill="true" applyBorder="true" applyNumberFormat="true" applyFont="true"/>
    <xf numFmtId="0" fontId="7106" fillId="0" borderId="0" xfId="0" applyFill="true" applyBorder="true" applyNumberFormat="true" applyFont="true"/>
    <xf numFmtId="0" fontId="7107" fillId="0" borderId="0" xfId="0" applyFill="true" applyBorder="true" applyNumberFormat="true" applyFont="true"/>
    <xf numFmtId="0" fontId="7108" fillId="0" borderId="0" xfId="0" applyFill="true" applyBorder="true" applyNumberFormat="true" applyFont="true"/>
    <xf numFmtId="0" fontId="7109" fillId="0" borderId="0" xfId="0" applyFill="true" applyBorder="true" applyNumberFormat="true" applyFont="true"/>
    <xf numFmtId="0" fontId="7110" fillId="0" borderId="0" xfId="0" applyFill="true" applyBorder="true" applyNumberFormat="true" applyFont="true"/>
    <xf numFmtId="0" fontId="7111" fillId="0" borderId="0" xfId="0" applyFill="true" applyBorder="true" applyNumberFormat="true" applyFont="true"/>
    <xf numFmtId="0" fontId="7112" fillId="0" borderId="0" xfId="0" applyFill="true" applyBorder="true" applyNumberFormat="true" applyFont="true"/>
    <xf numFmtId="0" fontId="7113" fillId="0" borderId="0" xfId="0" applyFill="true" applyBorder="true" applyNumberFormat="true" applyFont="true"/>
    <xf numFmtId="0" fontId="7114" fillId="0" borderId="0" xfId="0" applyFill="true" applyBorder="true" applyNumberFormat="true" applyFont="true"/>
    <xf numFmtId="0" fontId="7115" fillId="0" borderId="0" xfId="0" applyFill="true" applyBorder="true" applyNumberFormat="true" applyFont="true"/>
    <xf numFmtId="0" fontId="7116" fillId="0" borderId="0" xfId="0" applyFill="true" applyBorder="true" applyNumberFormat="true" applyFont="true"/>
    <xf numFmtId="0" fontId="7117" fillId="0" borderId="0" xfId="0" applyFill="true" applyBorder="true" applyNumberFormat="true" applyFont="true"/>
    <xf numFmtId="0" fontId="7118" fillId="0" borderId="0" xfId="0" applyFill="true" applyBorder="true" applyNumberFormat="true" applyFont="true"/>
    <xf numFmtId="0" fontId="7119" fillId="0" borderId="0" xfId="0" applyFill="true" applyBorder="true" applyNumberFormat="true" applyFont="true"/>
    <xf numFmtId="0" fontId="7120" fillId="0" borderId="0" xfId="0" applyFill="true" applyBorder="true" applyNumberFormat="true" applyFont="true"/>
    <xf numFmtId="0" fontId="7121" fillId="0" borderId="0" xfId="0" applyFill="true" applyBorder="true" applyNumberFormat="true" applyFont="true"/>
    <xf numFmtId="0" fontId="7122" fillId="0" borderId="0" xfId="0" applyFill="true" applyBorder="true" applyNumberFormat="true" applyFont="true"/>
    <xf numFmtId="0" fontId="7123" fillId="0" borderId="0" xfId="0" applyFill="true" applyBorder="true" applyNumberFormat="true" applyFont="true"/>
    <xf numFmtId="0" fontId="7124" fillId="0" borderId="0" xfId="0" applyFill="true" applyBorder="true" applyNumberFormat="true" applyFont="true"/>
    <xf numFmtId="0" fontId="7125" fillId="0" borderId="0" xfId="0" applyFill="true" applyBorder="true" applyNumberFormat="true" applyFont="true"/>
    <xf numFmtId="0" fontId="7126" fillId="0" borderId="0" xfId="0" applyFill="true" applyBorder="true" applyNumberFormat="true" applyFont="true"/>
    <xf numFmtId="0" fontId="7127" fillId="0" borderId="0" xfId="0" applyFill="true" applyBorder="true" applyNumberFormat="true" applyFont="true"/>
    <xf numFmtId="0" fontId="7128" fillId="0" borderId="0" xfId="0" applyFill="true" applyBorder="true" applyNumberFormat="true" applyFont="true"/>
    <xf numFmtId="0" fontId="7129" fillId="0" borderId="0" xfId="0" applyFill="true" applyBorder="true" applyNumberFormat="true" applyFont="true"/>
    <xf numFmtId="0" fontId="7130" fillId="0" borderId="0" xfId="0" applyFill="true" applyBorder="true" applyNumberFormat="true" applyFont="true"/>
    <xf numFmtId="0" fontId="7131" fillId="0" borderId="0" xfId="0" applyFill="true" applyBorder="true" applyNumberFormat="true" applyFont="true"/>
    <xf numFmtId="0" fontId="7132" fillId="0" borderId="0" xfId="0" applyFill="true" applyBorder="true" applyNumberFormat="true" applyFont="true"/>
    <xf numFmtId="0" fontId="7133" fillId="0" borderId="0" xfId="0" applyFill="true" applyBorder="true" applyNumberFormat="true" applyFont="true"/>
    <xf numFmtId="0" fontId="7134" fillId="0" borderId="0" xfId="0" applyFill="true" applyBorder="true" applyNumberFormat="true" applyFont="true"/>
    <xf numFmtId="0" fontId="7135" fillId="0" borderId="0" xfId="0" applyFill="true" applyBorder="true" applyNumberFormat="true" applyFont="true"/>
    <xf numFmtId="0" fontId="7136" fillId="0" borderId="0" xfId="0" applyFill="true" applyBorder="true" applyNumberFormat="true" applyFont="true"/>
    <xf numFmtId="0" fontId="7137" fillId="0" borderId="0" xfId="0" applyFill="true" applyBorder="true" applyNumberFormat="true" applyFont="true"/>
    <xf numFmtId="0" fontId="7138" fillId="0" borderId="0" xfId="0" applyFill="true" applyBorder="true" applyNumberFormat="true" applyFont="true"/>
    <xf numFmtId="0" fontId="7139" fillId="0" borderId="0" xfId="0" applyFill="true" applyBorder="true" applyNumberFormat="true" applyFont="true"/>
    <xf numFmtId="0" fontId="7140" fillId="0" borderId="0" xfId="0" applyFill="true" applyBorder="true" applyNumberFormat="true" applyFont="true"/>
    <xf numFmtId="0" fontId="7141" fillId="0" borderId="0" xfId="0" applyFill="true" applyBorder="true" applyNumberFormat="true" applyFont="true"/>
    <xf numFmtId="0" fontId="7142" fillId="0" borderId="0" xfId="0" applyFill="true" applyBorder="true" applyNumberFormat="true" applyFont="true"/>
    <xf numFmtId="0" fontId="7143" fillId="0" borderId="0" xfId="0" applyFill="true" applyBorder="true" applyNumberFormat="true" applyFont="true"/>
    <xf numFmtId="0" fontId="7144" fillId="0" borderId="0" xfId="0" applyFill="true" applyBorder="true" applyNumberFormat="true" applyFont="true"/>
    <xf numFmtId="0" fontId="7145" fillId="0" borderId="0" xfId="0" applyFill="true" applyBorder="true" applyNumberFormat="true" applyFont="true"/>
    <xf numFmtId="0" fontId="7146" fillId="0" borderId="0" xfId="0" applyFill="true" applyBorder="true" applyNumberFormat="true" applyFont="true"/>
    <xf numFmtId="0" fontId="7147" fillId="0" borderId="0" xfId="0" applyFill="true" applyBorder="true" applyNumberFormat="true" applyFont="true"/>
    <xf numFmtId="0" fontId="7148" fillId="0" borderId="0" xfId="0" applyFill="true" applyBorder="true" applyNumberFormat="true" applyFont="true"/>
    <xf numFmtId="0" fontId="7149" fillId="0" borderId="0" xfId="0" applyFill="true" applyBorder="true" applyNumberFormat="true" applyFont="true"/>
    <xf numFmtId="0" fontId="7150" fillId="0" borderId="0" xfId="0" applyFill="true" applyBorder="true" applyNumberFormat="true" applyFont="true"/>
    <xf numFmtId="0" fontId="7151" fillId="0" borderId="0" xfId="0" applyFill="true" applyBorder="true" applyNumberFormat="true" applyFont="true"/>
    <xf numFmtId="0" fontId="7152" fillId="0" borderId="0" xfId="0" applyFill="true" applyBorder="true" applyNumberFormat="true" applyFont="true"/>
    <xf numFmtId="0" fontId="7153" fillId="0" borderId="0" xfId="0" applyFill="true" applyBorder="true" applyNumberFormat="true" applyFont="true"/>
    <xf numFmtId="0" fontId="7154" fillId="0" borderId="0" xfId="0" applyFill="true" applyBorder="true" applyNumberFormat="true" applyFont="true"/>
    <xf numFmtId="0" fontId="7155" fillId="0" borderId="0" xfId="0" applyFill="true" applyBorder="true" applyNumberFormat="true" applyFont="true"/>
    <xf numFmtId="0" fontId="7156" fillId="0" borderId="0" xfId="0" applyFill="true" applyBorder="true" applyNumberFormat="true" applyFont="true"/>
    <xf numFmtId="0" fontId="7157" fillId="0" borderId="0" xfId="0" applyFill="true" applyBorder="true" applyNumberFormat="true" applyFont="true"/>
    <xf numFmtId="0" fontId="7158" fillId="0" borderId="0" xfId="0" applyFill="true" applyBorder="true" applyNumberFormat="true" applyFont="true"/>
    <xf numFmtId="0" fontId="7159" fillId="0" borderId="0" xfId="0" applyFill="true" applyBorder="true" applyNumberFormat="true" applyFont="true"/>
    <xf numFmtId="0" fontId="7160" fillId="0" borderId="0" xfId="0" applyFill="true" applyBorder="true" applyNumberFormat="true" applyFont="true"/>
    <xf numFmtId="0" fontId="7161" fillId="0" borderId="0" xfId="0" applyFill="true" applyBorder="true" applyNumberFormat="true" applyFont="true"/>
    <xf numFmtId="0" fontId="7162" fillId="0" borderId="0" xfId="0" applyFill="true" applyBorder="true" applyNumberFormat="true" applyFont="true"/>
    <xf numFmtId="0" fontId="7163" fillId="0" borderId="0" xfId="0" applyFill="true" applyBorder="true" applyNumberFormat="true" applyFont="true"/>
    <xf numFmtId="0" fontId="7164" fillId="0" borderId="0" xfId="0" applyFill="true" applyBorder="true" applyNumberFormat="true" applyFont="true"/>
    <xf numFmtId="0" fontId="7165" fillId="0" borderId="0" xfId="0" applyFill="true" applyBorder="true" applyNumberFormat="true" applyFont="true"/>
    <xf numFmtId="0" fontId="7166" fillId="0" borderId="0" xfId="0" applyFill="true" applyBorder="true" applyNumberFormat="true" applyFont="true"/>
    <xf numFmtId="0" fontId="7167" fillId="0" borderId="0" xfId="0" applyFill="true" applyBorder="true" applyNumberFormat="true" applyFont="true"/>
    <xf numFmtId="0" fontId="7168" fillId="0" borderId="0" xfId="0" applyFill="true" applyBorder="true" applyNumberFormat="true" applyFont="true"/>
    <xf numFmtId="0" fontId="7169" fillId="0" borderId="0" xfId="0" applyFill="true" applyBorder="true" applyNumberFormat="true" applyFont="true"/>
    <xf numFmtId="0" fontId="7170" fillId="0" borderId="0" xfId="0" applyFill="true" applyBorder="true" applyNumberFormat="true" applyFont="true"/>
    <xf numFmtId="0" fontId="7171" fillId="0" borderId="0" xfId="0" applyFill="true" applyBorder="true" applyNumberFormat="true" applyFont="true"/>
    <xf numFmtId="0" fontId="7172" fillId="0" borderId="0" xfId="0" applyFill="true" applyBorder="true" applyNumberFormat="true" applyFont="true"/>
    <xf numFmtId="0" fontId="7173" fillId="0" borderId="0" xfId="0" applyFill="true" applyBorder="true" applyNumberFormat="true" applyFont="true"/>
    <xf numFmtId="0" fontId="7174" fillId="0" borderId="0" xfId="0" applyFill="true" applyBorder="true" applyNumberFormat="true" applyFont="true"/>
    <xf numFmtId="0" fontId="7175" fillId="0" borderId="0" xfId="0" applyFill="true" applyBorder="true" applyNumberFormat="true" applyFont="true"/>
    <xf numFmtId="0" fontId="7176" fillId="0" borderId="0" xfId="0" applyFill="true" applyBorder="true" applyNumberFormat="true" applyFont="true"/>
    <xf numFmtId="0" fontId="7177" fillId="0" borderId="0" xfId="0" applyFill="true" applyBorder="true" applyNumberFormat="true" applyFont="true"/>
    <xf numFmtId="0" fontId="7178" fillId="0" borderId="0" xfId="0" applyFill="true" applyBorder="true" applyNumberFormat="true" applyFont="true"/>
    <xf numFmtId="0" fontId="7179" fillId="0" borderId="0" xfId="0" applyFill="true" applyBorder="true" applyNumberFormat="true" applyFont="true"/>
    <xf numFmtId="0" fontId="7180" fillId="0" borderId="0" xfId="0" applyFill="true" applyBorder="true" applyNumberFormat="true" applyFont="true"/>
    <xf numFmtId="0" fontId="7181" fillId="0" borderId="0" xfId="0" applyFill="true" applyBorder="true" applyNumberFormat="true" applyFont="true"/>
    <xf numFmtId="0" fontId="7182" fillId="0" borderId="0" xfId="0" applyFill="true" applyBorder="true" applyNumberFormat="true" applyFont="true"/>
    <xf numFmtId="0" fontId="7183" fillId="0" borderId="0" xfId="0" applyFill="true" applyBorder="true" applyNumberFormat="true" applyFont="true"/>
    <xf numFmtId="0" fontId="7184" fillId="0" borderId="0" xfId="0" applyFill="true" applyBorder="true" applyNumberFormat="true" applyFont="true"/>
    <xf numFmtId="0" fontId="7185" fillId="0" borderId="0" xfId="0" applyFill="true" applyBorder="true" applyNumberFormat="true" applyFont="true"/>
    <xf numFmtId="0" fontId="7186" fillId="0" borderId="0" xfId="0" applyFill="true" applyBorder="true" applyNumberFormat="true" applyFont="true"/>
    <xf numFmtId="0" fontId="7187" fillId="0" borderId="0" xfId="0" applyFill="true" applyBorder="true" applyNumberFormat="true" applyFont="true"/>
    <xf numFmtId="0" fontId="7188" fillId="0" borderId="0" xfId="0" applyFill="true" applyBorder="true" applyNumberFormat="true" applyFont="true"/>
    <xf numFmtId="0" fontId="7189" fillId="0" borderId="0" xfId="0" applyFill="true" applyBorder="true" applyNumberFormat="true" applyFont="true"/>
    <xf numFmtId="0" fontId="7190" fillId="0" borderId="0" xfId="0" applyFill="true" applyBorder="true" applyNumberFormat="true" applyFont="true"/>
    <xf numFmtId="0" fontId="7191" fillId="0" borderId="0" xfId="0" applyFill="true" applyBorder="true" applyNumberFormat="true" applyFont="true"/>
    <xf numFmtId="0" fontId="7192" fillId="0" borderId="0" xfId="0" applyFill="true" applyBorder="true" applyNumberFormat="true" applyFont="true"/>
    <xf numFmtId="0" fontId="7193" fillId="0" borderId="0" xfId="0" applyFill="true" applyBorder="true" applyNumberFormat="true" applyFont="true"/>
    <xf numFmtId="0" fontId="7194" fillId="0" borderId="0" xfId="0" applyFill="true" applyBorder="true" applyNumberFormat="true" applyFont="true"/>
    <xf numFmtId="0" fontId="7195" fillId="0" borderId="0" xfId="0" applyFill="true" applyBorder="true" applyNumberFormat="true" applyFont="true"/>
    <xf numFmtId="0" fontId="7196" fillId="0" borderId="0" xfId="0" applyFill="true" applyBorder="true" applyNumberFormat="true" applyFont="true"/>
    <xf numFmtId="0" fontId="7197" fillId="0" borderId="0" xfId="0" applyFill="true" applyBorder="true" applyNumberFormat="true" applyFont="true"/>
    <xf numFmtId="0" fontId="7198" fillId="0" borderId="0" xfId="0" applyFill="true" applyBorder="true" applyNumberFormat="true" applyFont="true"/>
    <xf numFmtId="0" fontId="7199" fillId="0" borderId="0" xfId="0" applyFill="true" applyBorder="true" applyNumberFormat="true" applyFont="true"/>
    <xf numFmtId="0" fontId="7200" fillId="0" borderId="0" xfId="0" applyFill="true" applyBorder="true" applyNumberFormat="true" applyFont="true"/>
    <xf numFmtId="0" fontId="7201" fillId="0" borderId="0" xfId="0" applyFill="true" applyBorder="true" applyNumberFormat="true" applyFont="true"/>
    <xf numFmtId="0" fontId="7202" fillId="0" borderId="0" xfId="0" applyFill="true" applyBorder="true" applyNumberFormat="true" applyFont="true"/>
    <xf numFmtId="0" fontId="7203" fillId="0" borderId="0" xfId="0" applyFill="true" applyBorder="true" applyNumberFormat="true" applyFont="true"/>
    <xf numFmtId="0" fontId="7204" fillId="0" borderId="0" xfId="0" applyFill="true" applyBorder="true" applyNumberFormat="true" applyFont="true"/>
    <xf numFmtId="0" fontId="7205" fillId="0" borderId="0" xfId="0" applyFill="true" applyBorder="true" applyNumberFormat="true" applyFont="true"/>
    <xf numFmtId="0" fontId="7206" fillId="0" borderId="0" xfId="0" applyFill="true" applyBorder="true" applyNumberFormat="true" applyFont="true"/>
    <xf numFmtId="0" fontId="7207" fillId="0" borderId="0" xfId="0" applyFill="true" applyBorder="true" applyNumberFormat="true" applyFont="true"/>
    <xf numFmtId="0" fontId="7208" fillId="0" borderId="0" xfId="0" applyFill="true" applyBorder="true" applyNumberFormat="true" applyFont="true"/>
    <xf numFmtId="0" fontId="7209" fillId="0" borderId="0" xfId="0" applyFill="true" applyBorder="true" applyNumberFormat="true" applyFont="true"/>
    <xf numFmtId="0" fontId="7210" fillId="0" borderId="0" xfId="0" applyFill="true" applyBorder="true" applyNumberFormat="true" applyFont="true"/>
    <xf numFmtId="0" fontId="7211" fillId="0" borderId="0" xfId="0" applyFill="true" applyBorder="true" applyNumberFormat="true" applyFont="true"/>
    <xf numFmtId="0" fontId="7212" fillId="0" borderId="0" xfId="0" applyFill="true" applyBorder="true" applyNumberFormat="true" applyFont="true"/>
    <xf numFmtId="0" fontId="7213" fillId="0" borderId="0" xfId="0" applyFill="true" applyBorder="true" applyNumberFormat="true" applyFont="true"/>
    <xf numFmtId="0" fontId="7214" fillId="0" borderId="0" xfId="0" applyFill="true" applyBorder="true" applyNumberFormat="true" applyFont="true"/>
    <xf numFmtId="0" fontId="7215" fillId="0" borderId="0" xfId="0" applyFill="true" applyBorder="true" applyNumberFormat="true" applyFont="true"/>
    <xf numFmtId="0" fontId="7216" fillId="0" borderId="0" xfId="0" applyFill="true" applyBorder="true" applyNumberFormat="true" applyFont="true"/>
    <xf numFmtId="0" fontId="7217" fillId="0" borderId="0" xfId="0" applyFill="true" applyBorder="true" applyNumberFormat="true" applyFont="true"/>
    <xf numFmtId="0" fontId="7218" fillId="0" borderId="0" xfId="0" applyFill="true" applyBorder="true" applyNumberFormat="true" applyFont="true"/>
    <xf numFmtId="0" fontId="7219" fillId="0" borderId="0" xfId="0" applyFill="true" applyBorder="true" applyNumberFormat="true" applyFont="true"/>
    <xf numFmtId="0" fontId="7220" fillId="0" borderId="0" xfId="0" applyFill="true" applyBorder="true" applyNumberFormat="true" applyFont="true"/>
    <xf numFmtId="0" fontId="7221" fillId="0" borderId="0" xfId="0" applyFill="true" applyBorder="true" applyNumberFormat="true" applyFont="true"/>
    <xf numFmtId="0" fontId="7222" fillId="0" borderId="0" xfId="0" applyFill="true" applyBorder="true" applyNumberFormat="true" applyFont="true"/>
    <xf numFmtId="0" fontId="7223" fillId="0" borderId="0" xfId="0" applyFill="true" applyBorder="true" applyNumberFormat="true" applyFont="true"/>
    <xf numFmtId="0" fontId="7224" fillId="0" borderId="0" xfId="0" applyFill="true" applyBorder="true" applyNumberFormat="true" applyFont="true"/>
    <xf numFmtId="0" fontId="7225" fillId="0" borderId="0" xfId="0" applyFill="true" applyBorder="true" applyNumberFormat="true" applyFont="true"/>
    <xf numFmtId="0" fontId="7226" fillId="0" borderId="0" xfId="0" applyFill="true" applyBorder="true" applyNumberFormat="true" applyFont="true"/>
    <xf numFmtId="0" fontId="7227" fillId="0" borderId="0" xfId="0" applyFill="true" applyBorder="true" applyNumberFormat="true" applyFont="true"/>
    <xf numFmtId="0" fontId="7228" fillId="0" borderId="0" xfId="0" applyFill="true" applyBorder="true" applyNumberFormat="true" applyFont="true"/>
    <xf numFmtId="0" fontId="7229" fillId="0" borderId="0" xfId="0" applyFill="true" applyBorder="true" applyNumberFormat="true" applyFont="true"/>
    <xf numFmtId="0" fontId="7230" fillId="0" borderId="0" xfId="0" applyFill="true" applyBorder="true" applyNumberFormat="true" applyFont="true"/>
    <xf numFmtId="0" fontId="7231" fillId="0" borderId="0" xfId="0" applyFill="true" applyBorder="true" applyNumberFormat="true" applyFont="true"/>
    <xf numFmtId="0" fontId="7232" fillId="0" borderId="0" xfId="0" applyFill="true" applyBorder="true" applyNumberFormat="true" applyFont="true"/>
    <xf numFmtId="0" fontId="7233" fillId="0" borderId="0" xfId="0" applyFill="true" applyBorder="true" applyNumberFormat="true" applyFont="true"/>
    <xf numFmtId="0" fontId="7234" fillId="0" borderId="0" xfId="0" applyFill="true" applyBorder="true" applyNumberFormat="true" applyFont="true"/>
    <xf numFmtId="0" fontId="7235" fillId="0" borderId="0" xfId="0" applyFill="true" applyBorder="true" applyNumberFormat="true" applyFont="true"/>
    <xf numFmtId="0" fontId="7236" fillId="0" borderId="0" xfId="0" applyFill="true" applyBorder="true" applyNumberFormat="true" applyFont="true"/>
    <xf numFmtId="0" fontId="7237" fillId="0" borderId="0" xfId="0" applyFill="true" applyBorder="true" applyNumberFormat="true" applyFont="true"/>
    <xf numFmtId="0" fontId="7238" fillId="0" borderId="0" xfId="0" applyFill="true" applyBorder="true" applyNumberFormat="true" applyFont="true"/>
    <xf numFmtId="0" fontId="7239" fillId="0" borderId="0" xfId="0" applyFill="true" applyBorder="true" applyNumberFormat="true" applyFont="true"/>
    <xf numFmtId="0" fontId="7240" fillId="0" borderId="0" xfId="0" applyFill="true" applyBorder="true" applyNumberFormat="true" applyFont="true"/>
    <xf numFmtId="0" fontId="7241" fillId="0" borderId="0" xfId="0" applyFill="true" applyBorder="true" applyNumberFormat="true" applyFont="true"/>
    <xf numFmtId="0" fontId="7242" fillId="0" borderId="0" xfId="0" applyFill="true" applyBorder="true" applyNumberFormat="true" applyFont="true"/>
    <xf numFmtId="0" fontId="7243" fillId="0" borderId="0" xfId="0" applyFill="true" applyBorder="true" applyNumberFormat="true" applyFont="true"/>
    <xf numFmtId="0" fontId="7244" fillId="0" borderId="0" xfId="0" applyFill="true" applyBorder="true" applyNumberFormat="true" applyFont="true"/>
    <xf numFmtId="0" fontId="7245" fillId="0" borderId="0" xfId="0" applyFill="true" applyBorder="true" applyNumberFormat="true" applyFont="true"/>
    <xf numFmtId="0" fontId="7246" fillId="0" borderId="0" xfId="0" applyFill="true" applyBorder="true" applyNumberFormat="true" applyFont="true"/>
    <xf numFmtId="0" fontId="7247" fillId="0" borderId="0" xfId="0" applyFill="true" applyBorder="true" applyNumberFormat="true" applyFont="true"/>
    <xf numFmtId="0" fontId="7248" fillId="0" borderId="0" xfId="0" applyFill="true" applyBorder="true" applyNumberFormat="true" applyFont="true"/>
    <xf numFmtId="0" fontId="7249" fillId="0" borderId="0" xfId="0" applyFill="true" applyBorder="true" applyNumberFormat="true" applyFont="true"/>
    <xf numFmtId="0" fontId="7250" fillId="0" borderId="0" xfId="0" applyFill="true" applyBorder="true" applyNumberFormat="true" applyFont="true"/>
    <xf numFmtId="0" fontId="7251" fillId="0" borderId="0" xfId="0" applyFill="true" applyBorder="true" applyNumberFormat="true" applyFont="true"/>
    <xf numFmtId="0" fontId="7252" fillId="0" borderId="0" xfId="0" applyFill="true" applyBorder="true" applyNumberFormat="true" applyFont="true"/>
    <xf numFmtId="0" fontId="7253" fillId="0" borderId="0" xfId="0" applyFill="true" applyBorder="true" applyNumberFormat="true" applyFont="true"/>
    <xf numFmtId="0" fontId="7254" fillId="0" borderId="0" xfId="0" applyFill="true" applyBorder="true" applyNumberFormat="true" applyFont="true"/>
    <xf numFmtId="0" fontId="7255" fillId="0" borderId="0" xfId="0" applyFill="true" applyBorder="true" applyNumberFormat="true" applyFont="true"/>
    <xf numFmtId="0" fontId="7256" fillId="0" borderId="0" xfId="0" applyFill="true" applyBorder="true" applyNumberFormat="true" applyFont="true"/>
    <xf numFmtId="0" fontId="7257" fillId="0" borderId="0" xfId="0" applyFill="true" applyBorder="true" applyNumberFormat="true" applyFont="true"/>
    <xf numFmtId="0" fontId="7258" fillId="0" borderId="0" xfId="0" applyFill="true" applyBorder="true" applyNumberFormat="true" applyFont="true"/>
    <xf numFmtId="0" fontId="7259" fillId="0" borderId="0" xfId="0" applyFill="true" applyBorder="true" applyNumberFormat="true" applyFont="true"/>
    <xf numFmtId="0" fontId="7260" fillId="0" borderId="0" xfId="0" applyFill="true" applyBorder="true" applyNumberFormat="true" applyFont="true"/>
    <xf numFmtId="0" fontId="7261" fillId="0" borderId="0" xfId="0" applyFill="true" applyBorder="true" applyNumberFormat="true" applyFont="true"/>
    <xf numFmtId="0" fontId="7262" fillId="0" borderId="0" xfId="0" applyFill="true" applyBorder="true" applyNumberFormat="true" applyFont="true"/>
    <xf numFmtId="0" fontId="7263" fillId="0" borderId="0" xfId="0" applyFill="true" applyBorder="true" applyNumberFormat="true" applyFont="true"/>
    <xf numFmtId="0" fontId="7264" fillId="0" borderId="0" xfId="0" applyFill="true" applyBorder="true" applyNumberFormat="true" applyFont="true"/>
    <xf numFmtId="0" fontId="7265" fillId="0" borderId="0" xfId="0" applyFill="true" applyBorder="true" applyNumberFormat="true" applyFont="true"/>
    <xf numFmtId="0" fontId="7266" fillId="0" borderId="0" xfId="0" applyFill="true" applyBorder="true" applyNumberFormat="true" applyFont="true"/>
    <xf numFmtId="0" fontId="7267" fillId="0" borderId="0" xfId="0" applyFill="true" applyBorder="true" applyNumberFormat="true" applyFont="true"/>
    <xf numFmtId="0" fontId="7268" fillId="0" borderId="0" xfId="0" applyFill="true" applyBorder="true" applyNumberFormat="true" applyFont="true"/>
    <xf numFmtId="0" fontId="7269" fillId="0" borderId="0" xfId="0" applyFill="true" applyBorder="true" applyNumberFormat="true" applyFont="true"/>
    <xf numFmtId="0" fontId="7270" fillId="0" borderId="0" xfId="0" applyFill="true" applyBorder="true" applyNumberFormat="true" applyFont="true"/>
    <xf numFmtId="0" fontId="7271" fillId="0" borderId="0" xfId="0" applyFill="true" applyBorder="true" applyNumberFormat="true" applyFont="true"/>
    <xf numFmtId="0" fontId="7272" fillId="0" borderId="0" xfId="0" applyFill="true" applyBorder="true" applyNumberFormat="true" applyFont="true"/>
    <xf numFmtId="0" fontId="7273" fillId="0" borderId="0" xfId="0" applyFill="true" applyBorder="true" applyNumberFormat="true" applyFont="true"/>
    <xf numFmtId="0" fontId="7274" fillId="0" borderId="0" xfId="0" applyFill="true" applyBorder="true" applyNumberFormat="true" applyFont="true"/>
    <xf numFmtId="0" fontId="7275" fillId="0" borderId="0" xfId="0" applyFill="true" applyBorder="true" applyNumberFormat="true" applyFont="true"/>
    <xf numFmtId="0" fontId="7276" fillId="0" borderId="0" xfId="0" applyFill="true" applyBorder="true" applyNumberFormat="true" applyFont="true"/>
    <xf numFmtId="0" fontId="7277" fillId="0" borderId="0" xfId="0" applyFill="true" applyBorder="true" applyNumberFormat="true" applyFont="true"/>
    <xf numFmtId="0" fontId="7278" fillId="0" borderId="0" xfId="0" applyFill="true" applyBorder="true" applyNumberFormat="true" applyFont="true"/>
    <xf numFmtId="0" fontId="7279" fillId="0" borderId="0" xfId="0" applyFill="true" applyBorder="true" applyNumberFormat="true" applyFont="true"/>
    <xf numFmtId="0" fontId="7280" fillId="0" borderId="0" xfId="0" applyFill="true" applyBorder="true" applyNumberFormat="true" applyFont="true"/>
    <xf numFmtId="0" fontId="7281" fillId="0" borderId="0" xfId="0" applyFill="true" applyBorder="true" applyNumberFormat="true" applyFont="true"/>
    <xf numFmtId="0" fontId="7282" fillId="0" borderId="0" xfId="0" applyFill="true" applyBorder="true" applyNumberFormat="true" applyFont="true"/>
    <xf numFmtId="0" fontId="7283" fillId="0" borderId="0" xfId="0" applyFill="true" applyBorder="true" applyNumberFormat="true" applyFont="true"/>
    <xf numFmtId="0" fontId="7284" fillId="0" borderId="0" xfId="0" applyFill="true" applyBorder="true" applyNumberFormat="true" applyFont="true"/>
    <xf numFmtId="0" fontId="7285" fillId="0" borderId="0" xfId="0" applyFill="true" applyBorder="true" applyNumberFormat="true" applyFont="true"/>
    <xf numFmtId="0" fontId="7286" fillId="0" borderId="0" xfId="0" applyFill="true" applyBorder="true" applyNumberFormat="true" applyFont="true"/>
    <xf numFmtId="0" fontId="7287" fillId="0" borderId="0" xfId="0" applyFill="true" applyBorder="true" applyNumberFormat="true" applyFont="true"/>
    <xf numFmtId="0" fontId="7288" fillId="0" borderId="0" xfId="0" applyFill="true" applyBorder="true" applyNumberFormat="true" applyFont="true"/>
    <xf numFmtId="0" fontId="7289" fillId="0" borderId="0" xfId="0" applyFill="true" applyBorder="true" applyNumberFormat="true" applyFont="true"/>
    <xf numFmtId="0" fontId="7290" fillId="0" borderId="0" xfId="0" applyFill="true" applyBorder="true" applyNumberFormat="true" applyFont="true"/>
    <xf numFmtId="0" fontId="7291" fillId="0" borderId="0" xfId="0" applyFill="true" applyBorder="true" applyNumberFormat="true" applyFont="true"/>
    <xf numFmtId="0" fontId="7292" fillId="0" borderId="0" xfId="0" applyFill="true" applyBorder="true" applyNumberFormat="true" applyFont="true"/>
    <xf numFmtId="0" fontId="7293" fillId="0" borderId="0" xfId="0" applyFill="true" applyBorder="true" applyNumberFormat="true" applyFont="true"/>
    <xf numFmtId="0" fontId="7294" fillId="0" borderId="0" xfId="0" applyFill="true" applyBorder="true" applyNumberFormat="true" applyFont="true"/>
    <xf numFmtId="0" fontId="7295" fillId="0" borderId="0" xfId="0" applyFill="true" applyBorder="true" applyNumberFormat="true" applyFont="true"/>
    <xf numFmtId="0" fontId="7296" fillId="0" borderId="0" xfId="0" applyFill="true" applyBorder="true" applyNumberFormat="true" applyFont="true"/>
    <xf numFmtId="0" fontId="7297" fillId="0" borderId="0" xfId="0" applyFill="true" applyBorder="true" applyNumberFormat="true" applyFont="true"/>
    <xf numFmtId="0" fontId="7298" fillId="0" borderId="0" xfId="0" applyFill="true" applyBorder="true" applyNumberFormat="true" applyFont="true"/>
    <xf numFmtId="0" fontId="7299" fillId="0" borderId="0" xfId="0" applyFill="true" applyBorder="true" applyNumberFormat="true" applyFont="true"/>
    <xf numFmtId="0" fontId="7300" fillId="0" borderId="0" xfId="0" applyFill="true" applyBorder="true" applyNumberFormat="true" applyFont="true"/>
    <xf numFmtId="0" fontId="7301" fillId="0" borderId="0" xfId="0" applyFill="true" applyBorder="true" applyNumberFormat="true" applyFont="true"/>
    <xf numFmtId="0" fontId="7302" fillId="0" borderId="0" xfId="0" applyFill="true" applyBorder="true" applyNumberFormat="true" applyFont="true"/>
    <xf numFmtId="0" fontId="7303" fillId="0" borderId="0" xfId="0" applyFill="true" applyBorder="true" applyNumberFormat="true" applyFont="true"/>
    <xf numFmtId="0" fontId="7304" fillId="0" borderId="0" xfId="0" applyFill="true" applyBorder="true" applyNumberFormat="true" applyFont="true"/>
    <xf numFmtId="0" fontId="7305" fillId="0" borderId="0" xfId="0" applyFill="true" applyBorder="true" applyNumberFormat="true" applyFont="true"/>
    <xf numFmtId="0" fontId="7306" fillId="0" borderId="0" xfId="0" applyFill="true" applyBorder="true" applyNumberFormat="true" applyFont="true"/>
    <xf numFmtId="0" fontId="7307" fillId="0" borderId="0" xfId="0" applyFill="true" applyBorder="true" applyNumberFormat="true" applyFont="true"/>
    <xf numFmtId="0" fontId="7308" fillId="0" borderId="0" xfId="0" applyFill="true" applyBorder="true" applyNumberFormat="true" applyFont="true"/>
    <xf numFmtId="0" fontId="7309" fillId="0" borderId="0" xfId="0" applyFill="true" applyBorder="true" applyNumberFormat="true" applyFont="true"/>
    <xf numFmtId="0" fontId="7310" fillId="0" borderId="0" xfId="0" applyFill="true" applyBorder="true" applyNumberFormat="true" applyFont="true"/>
    <xf numFmtId="0" fontId="7311" fillId="0" borderId="0" xfId="0" applyFill="true" applyBorder="true" applyNumberFormat="true" applyFont="true"/>
    <xf numFmtId="0" fontId="7312" fillId="0" borderId="0" xfId="0" applyFill="true" applyBorder="true" applyNumberFormat="true" applyFont="true"/>
    <xf numFmtId="0" fontId="7313" fillId="0" borderId="0" xfId="0" applyFill="true" applyBorder="true" applyNumberFormat="true" applyFont="true"/>
    <xf numFmtId="0" fontId="7314" fillId="0" borderId="0" xfId="0" applyFill="true" applyBorder="true" applyNumberFormat="true" applyFont="true"/>
    <xf numFmtId="0" fontId="7315" fillId="0" borderId="0" xfId="0" applyFill="true" applyBorder="true" applyNumberFormat="true" applyFont="true"/>
    <xf numFmtId="0" fontId="7316" fillId="0" borderId="0" xfId="0" applyFill="true" applyBorder="true" applyNumberFormat="true" applyFont="true"/>
    <xf numFmtId="0" fontId="7317" fillId="0" borderId="0" xfId="0" applyFill="true" applyBorder="true" applyNumberFormat="true" applyFont="true"/>
    <xf numFmtId="0" fontId="7318" fillId="0" borderId="0" xfId="0" applyFill="true" applyBorder="true" applyNumberFormat="true" applyFont="true"/>
    <xf numFmtId="0" fontId="7319" fillId="0" borderId="0" xfId="0" applyFill="true" applyBorder="true" applyNumberFormat="true" applyFont="true"/>
    <xf numFmtId="0" fontId="7320" fillId="0" borderId="0" xfId="0" applyFill="true" applyBorder="true" applyNumberFormat="true" applyFont="true"/>
    <xf numFmtId="0" fontId="7321" fillId="0" borderId="0" xfId="0" applyFill="true" applyBorder="true" applyNumberFormat="true" applyFont="true"/>
    <xf numFmtId="0" fontId="7322" fillId="0" borderId="0" xfId="0" applyFill="true" applyBorder="true" applyNumberFormat="true" applyFont="true"/>
    <xf numFmtId="0" fontId="7323" fillId="0" borderId="0" xfId="0" applyFill="true" applyBorder="true" applyNumberFormat="true" applyFont="true"/>
    <xf numFmtId="0" fontId="7324" fillId="0" borderId="0" xfId="0" applyFill="true" applyBorder="true" applyNumberFormat="true" applyFont="true"/>
    <xf numFmtId="0" fontId="7325" fillId="0" borderId="0" xfId="0" applyFill="true" applyBorder="true" applyNumberFormat="true" applyFont="true"/>
    <xf numFmtId="0" fontId="7326" fillId="0" borderId="0" xfId="0" applyFill="true" applyBorder="true" applyNumberFormat="true" applyFont="true"/>
    <xf numFmtId="0" fontId="7327" fillId="0" borderId="0" xfId="0" applyFill="true" applyBorder="true" applyNumberFormat="true" applyFont="true"/>
    <xf numFmtId="0" fontId="7328" fillId="0" borderId="0" xfId="0" applyFill="true" applyBorder="true" applyNumberFormat="true" applyFont="true"/>
    <xf numFmtId="0" fontId="7329" fillId="0" borderId="0" xfId="0" applyFill="true" applyBorder="true" applyNumberFormat="true" applyFont="true"/>
    <xf numFmtId="0" fontId="7330" fillId="0" borderId="0" xfId="0" applyFill="true" applyBorder="true" applyNumberFormat="true" applyFont="true"/>
    <xf numFmtId="0" fontId="7331" fillId="0" borderId="0" xfId="0" applyFill="true" applyBorder="true" applyNumberFormat="true" applyFont="true"/>
    <xf numFmtId="0" fontId="7332" fillId="0" borderId="0" xfId="0" applyFill="true" applyBorder="true" applyNumberFormat="true" applyFont="true"/>
    <xf numFmtId="0" fontId="7333" fillId="0" borderId="0" xfId="0" applyFill="true" applyBorder="true" applyNumberFormat="true" applyFont="true"/>
    <xf numFmtId="0" fontId="7334" fillId="0" borderId="0" xfId="0" applyFill="true" applyBorder="true" applyNumberFormat="true" applyFont="true"/>
    <xf numFmtId="0" fontId="7335" fillId="0" borderId="0" xfId="0" applyFill="true" applyBorder="true" applyNumberFormat="true" applyFont="true"/>
    <xf numFmtId="0" fontId="7336" fillId="0" borderId="0" xfId="0" applyFill="true" applyBorder="true" applyNumberFormat="true" applyFont="true"/>
    <xf numFmtId="0" fontId="7337" fillId="0" borderId="0" xfId="0" applyFill="true" applyBorder="true" applyNumberFormat="true" applyFont="true"/>
    <xf numFmtId="0" fontId="7338" fillId="0" borderId="0" xfId="0" applyFill="true" applyBorder="true" applyNumberFormat="true" applyFont="true"/>
    <xf numFmtId="0" fontId="7339" fillId="0" borderId="0" xfId="0" applyFill="true" applyBorder="true" applyNumberFormat="true" applyFont="true"/>
    <xf numFmtId="0" fontId="7340" fillId="0" borderId="0" xfId="0" applyFill="true" applyBorder="true" applyNumberFormat="true" applyFont="true"/>
    <xf numFmtId="0" fontId="7341" fillId="0" borderId="0" xfId="0" applyFill="true" applyBorder="true" applyNumberFormat="true" applyFont="true"/>
    <xf numFmtId="0" fontId="7342" fillId="0" borderId="0" xfId="0" applyFill="true" applyBorder="true" applyNumberFormat="true" applyFont="true"/>
    <xf numFmtId="0" fontId="7343" fillId="0" borderId="0" xfId="0" applyFill="true" applyBorder="true" applyNumberFormat="true" applyFont="true"/>
    <xf numFmtId="0" fontId="7344" fillId="0" borderId="0" xfId="0" applyFill="true" applyBorder="true" applyNumberFormat="true" applyFont="true"/>
    <xf numFmtId="0" fontId="7345" fillId="0" borderId="0" xfId="0" applyFill="true" applyBorder="true" applyNumberFormat="true" applyFont="true"/>
    <xf numFmtId="0" fontId="7346" fillId="0" borderId="0" xfId="0" applyFill="true" applyBorder="true" applyNumberFormat="true" applyFont="true"/>
    <xf numFmtId="0" fontId="7347" fillId="0" borderId="0" xfId="0" applyFill="true" applyBorder="true" applyNumberFormat="true" applyFont="true"/>
    <xf numFmtId="0" fontId="7348" fillId="0" borderId="0" xfId="0" applyFill="true" applyBorder="true" applyNumberFormat="true" applyFont="true"/>
    <xf numFmtId="0" fontId="7349" fillId="0" borderId="0" xfId="0" applyFill="true" applyBorder="true" applyNumberFormat="true" applyFont="true"/>
    <xf numFmtId="0" fontId="7350" fillId="0" borderId="0" xfId="0" applyFill="true" applyBorder="true" applyNumberFormat="true" applyFont="true"/>
    <xf numFmtId="0" fontId="7351" fillId="0" borderId="0" xfId="0" applyFill="true" applyBorder="true" applyNumberFormat="true" applyFont="true"/>
    <xf numFmtId="0" fontId="7352" fillId="0" borderId="0" xfId="0" applyFill="true" applyBorder="true" applyNumberFormat="true" applyFont="true"/>
    <xf numFmtId="0" fontId="7353" fillId="0" borderId="0" xfId="0" applyFill="true" applyBorder="true" applyNumberFormat="true" applyFont="true"/>
    <xf numFmtId="0" fontId="7354" fillId="0" borderId="0" xfId="0" applyFill="true" applyBorder="true" applyNumberFormat="true" applyFont="true"/>
    <xf numFmtId="0" fontId="7355" fillId="0" borderId="0" xfId="0" applyFill="true" applyBorder="true" applyNumberFormat="true" applyFont="true"/>
    <xf numFmtId="0" fontId="7356" fillId="0" borderId="0" xfId="0" applyFill="true" applyBorder="true" applyNumberFormat="true" applyFont="true"/>
    <xf numFmtId="0" fontId="7357" fillId="0" borderId="0" xfId="0" applyFill="true" applyBorder="true" applyNumberFormat="true" applyFont="true"/>
    <xf numFmtId="0" fontId="7358" fillId="0" borderId="0" xfId="0" applyFill="true" applyBorder="true" applyNumberFormat="true" applyFont="true"/>
    <xf numFmtId="0" fontId="7359" fillId="0" borderId="0" xfId="0" applyFill="true" applyBorder="true" applyNumberFormat="true" applyFont="true"/>
    <xf numFmtId="0" fontId="7360" fillId="0" borderId="0" xfId="0" applyFill="true" applyBorder="true" applyNumberFormat="true" applyFont="true"/>
    <xf numFmtId="0" fontId="7361" fillId="0" borderId="0" xfId="0" applyFill="true" applyBorder="true" applyNumberFormat="true" applyFont="true"/>
    <xf numFmtId="0" fontId="7362" fillId="0" borderId="0" xfId="0" applyFill="true" applyBorder="true" applyNumberFormat="true" applyFont="true"/>
    <xf numFmtId="0" fontId="7363" fillId="0" borderId="0" xfId="0" applyFill="true" applyBorder="true" applyNumberFormat="true" applyFont="true"/>
    <xf numFmtId="0" fontId="7364" fillId="0" borderId="0" xfId="0" applyFill="true" applyBorder="true" applyNumberFormat="true" applyFont="true"/>
    <xf numFmtId="0" fontId="7365" fillId="0" borderId="0" xfId="0" applyFill="true" applyBorder="true" applyNumberFormat="true" applyFont="true"/>
    <xf numFmtId="0" fontId="7366" fillId="0" borderId="0" xfId="0" applyFill="true" applyBorder="true" applyNumberFormat="true" applyFont="true"/>
    <xf numFmtId="0" fontId="7367" fillId="0" borderId="0" xfId="0" applyFill="true" applyBorder="true" applyNumberFormat="true" applyFont="true"/>
    <xf numFmtId="0" fontId="7368" fillId="0" borderId="0" xfId="0" applyFill="true" applyBorder="true" applyNumberFormat="true" applyFont="true"/>
    <xf numFmtId="0" fontId="7369" fillId="0" borderId="0" xfId="0" applyFill="true" applyBorder="true" applyNumberFormat="true" applyFont="true"/>
    <xf numFmtId="0" fontId="7370" fillId="0" borderId="0" xfId="0" applyFill="true" applyBorder="true" applyNumberFormat="true" applyFont="true"/>
    <xf numFmtId="0" fontId="7371" fillId="0" borderId="0" xfId="0" applyFill="true" applyBorder="true" applyNumberFormat="true" applyFont="true"/>
    <xf numFmtId="0" fontId="7372" fillId="0" borderId="0" xfId="0" applyFill="true" applyBorder="true" applyNumberFormat="true" applyFont="true"/>
    <xf numFmtId="0" fontId="7373" fillId="0" borderId="0" xfId="0" applyFill="true" applyBorder="true" applyNumberFormat="true" applyFont="true"/>
    <xf numFmtId="0" fontId="7374" fillId="0" borderId="0" xfId="0" applyFill="true" applyBorder="true" applyNumberFormat="true" applyFont="true"/>
    <xf numFmtId="0" fontId="7375" fillId="0" borderId="0" xfId="0" applyFill="true" applyBorder="true" applyNumberFormat="true" applyFont="true"/>
    <xf numFmtId="0" fontId="7376" fillId="0" borderId="0" xfId="0" applyFill="true" applyBorder="true" applyNumberFormat="true" applyFont="true"/>
    <xf numFmtId="0" fontId="7377" fillId="0" borderId="0" xfId="0" applyFill="true" applyBorder="true" applyNumberFormat="true" applyFont="true"/>
    <xf numFmtId="0" fontId="7378" fillId="0" borderId="0" xfId="0" applyFill="true" applyBorder="true" applyNumberFormat="true" applyFont="true"/>
    <xf numFmtId="0" fontId="7379" fillId="0" borderId="0" xfId="0" applyFill="true" applyBorder="true" applyNumberFormat="true" applyFont="true"/>
    <xf numFmtId="0" fontId="7380" fillId="0" borderId="0" xfId="0" applyFill="true" applyBorder="true" applyNumberFormat="true" applyFont="true"/>
    <xf numFmtId="0" fontId="7381" fillId="0" borderId="0" xfId="0" applyFill="true" applyBorder="true" applyNumberFormat="true" applyFont="true"/>
    <xf numFmtId="0" fontId="7382" fillId="0" borderId="0" xfId="0" applyFill="true" applyBorder="true" applyNumberFormat="true" applyFont="true"/>
    <xf numFmtId="0" fontId="7383" fillId="0" borderId="0" xfId="0" applyFill="true" applyBorder="true" applyNumberFormat="true" applyFont="true"/>
    <xf numFmtId="0" fontId="7384" fillId="0" borderId="0" xfId="0" applyFill="true" applyBorder="true" applyNumberFormat="true" applyFont="true"/>
    <xf numFmtId="0" fontId="7385" fillId="0" borderId="0" xfId="0" applyFill="true" applyBorder="true" applyNumberFormat="true" applyFont="true"/>
    <xf numFmtId="0" fontId="7386" fillId="0" borderId="0" xfId="0" applyFill="true" applyBorder="true" applyNumberFormat="true" applyFont="true"/>
    <xf numFmtId="0" fontId="7387" fillId="0" borderId="0" xfId="0" applyFill="true" applyBorder="true" applyNumberFormat="true" applyFont="true"/>
    <xf numFmtId="0" fontId="7388" fillId="0" borderId="0" xfId="0" applyFill="true" applyBorder="true" applyNumberFormat="true" applyFont="true"/>
    <xf numFmtId="0" fontId="7389" fillId="0" borderId="0" xfId="0" applyFill="true" applyBorder="true" applyNumberFormat="true" applyFont="true"/>
    <xf numFmtId="0" fontId="7390" fillId="0" borderId="0" xfId="0" applyFill="true" applyBorder="true" applyNumberFormat="true" applyFont="true"/>
    <xf numFmtId="0" fontId="7391" fillId="0" borderId="0" xfId="0" applyFill="true" applyBorder="true" applyNumberFormat="true" applyFont="true"/>
    <xf numFmtId="0" fontId="7392" fillId="0" borderId="0" xfId="0" applyFill="true" applyBorder="true" applyNumberFormat="true" applyFont="true"/>
    <xf numFmtId="0" fontId="7393" fillId="0" borderId="0" xfId="0" applyFill="true" applyBorder="true" applyNumberFormat="true" applyFont="true"/>
    <xf numFmtId="0" fontId="7394" fillId="0" borderId="0" xfId="0" applyFill="true" applyBorder="true" applyNumberFormat="true" applyFont="true"/>
    <xf numFmtId="0" fontId="7395" fillId="0" borderId="0" xfId="0" applyFill="true" applyBorder="true" applyNumberFormat="true" applyFont="true"/>
    <xf numFmtId="0" fontId="7396" fillId="0" borderId="0" xfId="0" applyFill="true" applyBorder="true" applyNumberFormat="true" applyFont="true"/>
    <xf numFmtId="0" fontId="7397" fillId="0" borderId="0" xfId="0" applyFill="true" applyBorder="true" applyNumberFormat="true" applyFont="true"/>
    <xf numFmtId="0" fontId="7398" fillId="0" borderId="0" xfId="0" applyFill="true" applyBorder="true" applyNumberFormat="true" applyFont="true"/>
    <xf numFmtId="0" fontId="7399" fillId="0" borderId="0" xfId="0" applyFill="true" applyBorder="true" applyNumberFormat="true" applyFont="true"/>
    <xf numFmtId="0" fontId="7400" fillId="0" borderId="0" xfId="0" applyFill="true" applyBorder="true" applyNumberFormat="true" applyFont="true"/>
    <xf numFmtId="0" fontId="7401" fillId="0" borderId="0" xfId="0" applyFill="true" applyBorder="true" applyNumberFormat="true" applyFont="true"/>
    <xf numFmtId="0" fontId="7402" fillId="0" borderId="0" xfId="0" applyFill="true" applyBorder="true" applyNumberFormat="true" applyFont="true"/>
    <xf numFmtId="0" fontId="7403" fillId="0" borderId="0" xfId="0" applyFill="true" applyBorder="true" applyNumberFormat="true" applyFont="true"/>
    <xf numFmtId="0" fontId="7404" fillId="0" borderId="0" xfId="0" applyFill="true" applyBorder="true" applyNumberFormat="true" applyFont="true"/>
    <xf numFmtId="0" fontId="7405" fillId="0" borderId="0" xfId="0" applyFill="true" applyBorder="true" applyNumberFormat="true" applyFont="true"/>
    <xf numFmtId="0" fontId="7406" fillId="0" borderId="0" xfId="0" applyFill="true" applyBorder="true" applyNumberFormat="true" applyFont="true"/>
    <xf numFmtId="0" fontId="7407" fillId="0" borderId="0" xfId="0" applyFill="true" applyBorder="true" applyNumberFormat="true" applyFont="true"/>
    <xf numFmtId="0" fontId="7408" fillId="0" borderId="0" xfId="0" applyFill="true" applyBorder="true" applyNumberFormat="true" applyFont="true"/>
    <xf numFmtId="0" fontId="7409" fillId="0" borderId="0" xfId="0" applyFill="true" applyBorder="true" applyNumberFormat="true" applyFont="true"/>
    <xf numFmtId="0" fontId="7410" fillId="0" borderId="0" xfId="0" applyFill="true" applyBorder="true" applyNumberFormat="true" applyFont="true"/>
    <xf numFmtId="0" fontId="7411" fillId="0" borderId="0" xfId="0" applyFill="true" applyBorder="true" applyNumberFormat="true" applyFont="true"/>
    <xf numFmtId="0" fontId="7412" fillId="0" borderId="0" xfId="0" applyFill="true" applyBorder="true" applyNumberFormat="true" applyFont="true"/>
    <xf numFmtId="0" fontId="7413" fillId="0" borderId="0" xfId="0" applyFill="true" applyBorder="true" applyNumberFormat="true" applyFont="true"/>
    <xf numFmtId="0" fontId="7414" fillId="0" borderId="0" xfId="0" applyFill="true" applyBorder="true" applyNumberFormat="true" applyFont="true"/>
    <xf numFmtId="0" fontId="7415" fillId="0" borderId="0" xfId="0" applyFill="true" applyBorder="true" applyNumberFormat="true" applyFont="true"/>
    <xf numFmtId="0" fontId="7416" fillId="0" borderId="0" xfId="0" applyFill="true" applyBorder="true" applyNumberFormat="true" applyFont="true"/>
    <xf numFmtId="0" fontId="7417" fillId="0" borderId="0" xfId="0" applyFill="true" applyBorder="true" applyNumberFormat="true" applyFont="true"/>
    <xf numFmtId="0" fontId="7418" fillId="0" borderId="0" xfId="0" applyFill="true" applyBorder="true" applyNumberFormat="true" applyFont="true"/>
    <xf numFmtId="0" fontId="7419" fillId="0" borderId="0" xfId="0" applyFill="true" applyBorder="true" applyNumberFormat="true" applyFont="true"/>
    <xf numFmtId="0" fontId="7420" fillId="0" borderId="0" xfId="0" applyFill="true" applyBorder="true" applyNumberFormat="true" applyFont="true"/>
    <xf numFmtId="0" fontId="7421" fillId="0" borderId="0" xfId="0" applyFill="true" applyBorder="true" applyNumberFormat="true" applyFont="true"/>
    <xf numFmtId="0" fontId="7422" fillId="0" borderId="0" xfId="0" applyFill="true" applyBorder="true" applyNumberFormat="true" applyFont="true"/>
    <xf numFmtId="0" fontId="7423" fillId="0" borderId="0" xfId="0" applyFill="true" applyBorder="true" applyNumberFormat="true" applyFont="true"/>
    <xf numFmtId="0" fontId="7424" fillId="0" borderId="0" xfId="0" applyFill="true" applyBorder="true" applyNumberFormat="true" applyFont="true"/>
    <xf numFmtId="0" fontId="7425" fillId="0" borderId="0" xfId="0" applyFill="true" applyBorder="true" applyNumberFormat="true" applyFont="true"/>
    <xf numFmtId="0" fontId="7426" fillId="0" borderId="0" xfId="0" applyFill="true" applyBorder="true" applyNumberFormat="true" applyFont="true"/>
    <xf numFmtId="0" fontId="7427" fillId="0" borderId="0" xfId="0" applyFill="true" applyBorder="true" applyNumberFormat="true" applyFont="true"/>
    <xf numFmtId="0" fontId="7428" fillId="0" borderId="0" xfId="0" applyFill="true" applyBorder="true" applyNumberFormat="true" applyFont="true"/>
    <xf numFmtId="0" fontId="7429" fillId="0" borderId="0" xfId="0" applyFill="true" applyBorder="true" applyNumberFormat="true" applyFont="true"/>
    <xf numFmtId="0" fontId="7430" fillId="0" borderId="0" xfId="0" applyFill="true" applyBorder="true" applyNumberFormat="true" applyFont="true"/>
    <xf numFmtId="0" fontId="7431" fillId="0" borderId="0" xfId="0" applyFill="true" applyBorder="true" applyNumberFormat="true" applyFont="true"/>
    <xf numFmtId="0" fontId="7432" fillId="0" borderId="0" xfId="0" applyFill="true" applyBorder="true" applyNumberFormat="true" applyFont="true"/>
    <xf numFmtId="0" fontId="7433" fillId="0" borderId="0" xfId="0" applyFill="true" applyBorder="true" applyNumberFormat="true" applyFont="true"/>
    <xf numFmtId="0" fontId="7434" fillId="0" borderId="0" xfId="0" applyFill="true" applyBorder="true" applyNumberFormat="true" applyFont="true"/>
    <xf numFmtId="0" fontId="7435" fillId="0" borderId="0" xfId="0" applyFill="true" applyBorder="true" applyNumberFormat="true" applyFont="true"/>
    <xf numFmtId="0" fontId="7436" fillId="0" borderId="0" xfId="0" applyFill="true" applyBorder="true" applyNumberFormat="true" applyFont="true"/>
    <xf numFmtId="0" fontId="7437" fillId="0" borderId="0" xfId="0" applyFill="true" applyBorder="true" applyNumberFormat="true" applyFont="true"/>
    <xf numFmtId="0" fontId="7438" fillId="0" borderId="0" xfId="0" applyFill="true" applyBorder="true" applyNumberFormat="true" applyFont="true"/>
    <xf numFmtId="0" fontId="7439" fillId="0" borderId="0" xfId="0" applyFill="true" applyBorder="true" applyNumberFormat="true" applyFont="true"/>
    <xf numFmtId="0" fontId="7440" fillId="0" borderId="0" xfId="0" applyFill="true" applyBorder="true" applyNumberFormat="true" applyFont="true"/>
    <xf numFmtId="0" fontId="7441" fillId="0" borderId="0" xfId="0" applyFill="true" applyBorder="true" applyNumberFormat="true" applyFont="true"/>
    <xf numFmtId="0" fontId="7442" fillId="0" borderId="0" xfId="0" applyFill="true" applyBorder="true" applyNumberFormat="true" applyFont="true"/>
    <xf numFmtId="0" fontId="7443" fillId="0" borderId="0" xfId="0" applyFill="true" applyBorder="true" applyNumberFormat="true" applyFont="true"/>
    <xf numFmtId="0" fontId="7444" fillId="0" borderId="0" xfId="0" applyFill="true" applyBorder="true" applyNumberFormat="true" applyFont="true"/>
    <xf numFmtId="0" fontId="7445" fillId="0" borderId="0" xfId="0" applyFill="true" applyBorder="true" applyNumberFormat="true" applyFont="true"/>
    <xf numFmtId="0" fontId="7446" fillId="0" borderId="0" xfId="0" applyFill="true" applyBorder="true" applyNumberFormat="true" applyFont="true"/>
    <xf numFmtId="0" fontId="7447" fillId="0" borderId="0" xfId="0" applyFill="true" applyBorder="true" applyNumberFormat="true" applyFont="true"/>
    <xf numFmtId="0" fontId="7448" fillId="0" borderId="0" xfId="0" applyFill="true" applyBorder="true" applyNumberFormat="true" applyFont="true"/>
    <xf numFmtId="0" fontId="7449" fillId="0" borderId="0" xfId="0" applyFill="true" applyBorder="true" applyNumberFormat="true" applyFont="true"/>
    <xf numFmtId="0" fontId="7450" fillId="0" borderId="0" xfId="0" applyFill="true" applyBorder="true" applyNumberFormat="true" applyFont="true"/>
    <xf numFmtId="0" fontId="7451" fillId="0" borderId="0" xfId="0" applyFill="true" applyBorder="true" applyNumberFormat="true" applyFont="true"/>
    <xf numFmtId="0" fontId="7452" fillId="0" borderId="0" xfId="0" applyFill="true" applyBorder="true" applyNumberFormat="true" applyFont="true"/>
    <xf numFmtId="0" fontId="7453" fillId="0" borderId="0" xfId="0" applyFill="true" applyBorder="true" applyNumberFormat="true" applyFont="true"/>
    <xf numFmtId="0" fontId="7454" fillId="0" borderId="0" xfId="0" applyFill="true" applyBorder="true" applyNumberFormat="true" applyFont="true"/>
    <xf numFmtId="0" fontId="7455" fillId="0" borderId="0" xfId="0" applyFill="true" applyBorder="true" applyNumberFormat="true" applyFont="true"/>
    <xf numFmtId="0" fontId="7456" fillId="0" borderId="0" xfId="0" applyFill="true" applyBorder="true" applyNumberFormat="true" applyFont="true"/>
    <xf numFmtId="0" fontId="7457" fillId="0" borderId="0" xfId="0" applyFill="true" applyBorder="true" applyNumberFormat="true" applyFont="true"/>
    <xf numFmtId="0" fontId="7458" fillId="0" borderId="0" xfId="0" applyFill="true" applyBorder="true" applyNumberFormat="true" applyFont="true"/>
    <xf numFmtId="0" fontId="7459" fillId="0" borderId="0" xfId="0" applyFill="true" applyBorder="true" applyNumberFormat="true" applyFont="true"/>
    <xf numFmtId="0" fontId="7460" fillId="0" borderId="0" xfId="0" applyFill="true" applyBorder="true" applyNumberFormat="true" applyFont="true"/>
    <xf numFmtId="0" fontId="7461" fillId="0" borderId="0" xfId="0" applyFill="true" applyBorder="true" applyNumberFormat="true" applyFont="true"/>
    <xf numFmtId="0" fontId="7462" fillId="0" borderId="0" xfId="0" applyFill="true" applyBorder="true" applyNumberFormat="true" applyFont="true"/>
    <xf numFmtId="0" fontId="7463" fillId="0" borderId="0" xfId="0" applyFill="true" applyBorder="true" applyNumberFormat="true" applyFont="true"/>
    <xf numFmtId="0" fontId="7464" fillId="0" borderId="0" xfId="0" applyFill="true" applyBorder="true" applyNumberFormat="true" applyFont="true"/>
    <xf numFmtId="0" fontId="7465" fillId="0" borderId="0" xfId="0" applyFill="true" applyBorder="true" applyNumberFormat="true" applyFont="true"/>
    <xf numFmtId="0" fontId="7466" fillId="0" borderId="0" xfId="0" applyFill="true" applyBorder="true" applyNumberFormat="true" applyFont="true"/>
    <xf numFmtId="0" fontId="7467" fillId="0" borderId="0" xfId="0" applyFill="true" applyBorder="true" applyNumberFormat="true" applyFont="true"/>
    <xf numFmtId="0" fontId="7468" fillId="0" borderId="0" xfId="0" applyFill="true" applyBorder="true" applyNumberFormat="true" applyFont="true"/>
    <xf numFmtId="0" fontId="7469" fillId="0" borderId="0" xfId="0" applyFill="true" applyBorder="true" applyNumberFormat="true" applyFont="true"/>
    <xf numFmtId="0" fontId="7470" fillId="0" borderId="0" xfId="0" applyFill="true" applyBorder="true" applyNumberFormat="true" applyFont="true"/>
    <xf numFmtId="0" fontId="7471" fillId="0" borderId="0" xfId="0" applyFill="true" applyBorder="true" applyNumberFormat="true" applyFont="true"/>
    <xf numFmtId="0" fontId="7472" fillId="0" borderId="0" xfId="0" applyFill="true" applyBorder="true" applyNumberFormat="true" applyFont="true"/>
    <xf numFmtId="0" fontId="7473" fillId="0" borderId="0" xfId="0" applyFill="true" applyBorder="true" applyNumberFormat="true" applyFont="true"/>
    <xf numFmtId="0" fontId="7474" fillId="0" borderId="0" xfId="0" applyFill="true" applyBorder="true" applyNumberFormat="true" applyFont="true"/>
    <xf numFmtId="0" fontId="7475" fillId="0" borderId="0" xfId="0" applyFill="true" applyBorder="true" applyNumberFormat="true" applyFont="true"/>
    <xf numFmtId="0" fontId="7476" fillId="0" borderId="0" xfId="0" applyFill="true" applyBorder="true" applyNumberFormat="true" applyFont="true"/>
    <xf numFmtId="0" fontId="7477" fillId="0" borderId="0" xfId="0" applyFill="true" applyBorder="true" applyNumberFormat="true" applyFont="true"/>
    <xf numFmtId="0" fontId="7478" fillId="0" borderId="0" xfId="0" applyFill="true" applyBorder="true" applyNumberFormat="true" applyFont="true"/>
    <xf numFmtId="0" fontId="7479" fillId="0" borderId="0" xfId="0" applyFill="true" applyBorder="true" applyNumberFormat="true" applyFont="true"/>
    <xf numFmtId="0" fontId="7480" fillId="0" borderId="0" xfId="0" applyFill="true" applyBorder="true" applyNumberFormat="true" applyFont="true"/>
    <xf numFmtId="0" fontId="7481" fillId="0" borderId="0" xfId="0" applyFill="true" applyBorder="true" applyNumberFormat="true" applyFont="true"/>
    <xf numFmtId="0" fontId="7482" fillId="0" borderId="0" xfId="0" applyFill="true" applyBorder="true" applyNumberFormat="true" applyFont="true"/>
    <xf numFmtId="0" fontId="7483" fillId="0" borderId="0" xfId="0" applyFill="true" applyBorder="true" applyNumberFormat="true" applyFont="true"/>
    <xf numFmtId="0" fontId="7484" fillId="0" borderId="0" xfId="0" applyFill="true" applyBorder="true" applyNumberFormat="true" applyFont="true"/>
    <xf numFmtId="0" fontId="7485" fillId="0" borderId="0" xfId="0" applyFill="true" applyBorder="true" applyNumberFormat="true" applyFont="true"/>
    <xf numFmtId="0" fontId="7486" fillId="0" borderId="0" xfId="0" applyFill="true" applyBorder="true" applyNumberFormat="true" applyFont="true"/>
    <xf numFmtId="0" fontId="7487" fillId="0" borderId="0" xfId="0" applyFill="true" applyBorder="true" applyNumberFormat="true" applyFont="true"/>
    <xf numFmtId="0" fontId="7488" fillId="0" borderId="0" xfId="0" applyFill="true" applyBorder="true" applyNumberFormat="true" applyFont="true"/>
    <xf numFmtId="0" fontId="7489" fillId="0" borderId="0" xfId="0" applyFill="true" applyBorder="true" applyNumberFormat="true" applyFont="true"/>
    <xf numFmtId="0" fontId="7490" fillId="0" borderId="0" xfId="0" applyFill="true" applyBorder="true" applyNumberFormat="true" applyFont="true"/>
    <xf numFmtId="0" fontId="7491" fillId="0" borderId="0" xfId="0" applyFill="true" applyBorder="true" applyNumberFormat="true" applyFont="true"/>
    <xf numFmtId="0" fontId="7492" fillId="0" borderId="0" xfId="0" applyFill="true" applyBorder="true" applyNumberFormat="true" applyFont="true"/>
    <xf numFmtId="0" fontId="7493" fillId="0" borderId="0" xfId="0" applyFill="true" applyBorder="true" applyNumberFormat="true" applyFont="true"/>
    <xf numFmtId="0" fontId="7494" fillId="0" borderId="0" xfId="0" applyFill="true" applyBorder="true" applyNumberFormat="true" applyFont="true"/>
    <xf numFmtId="0" fontId="7495" fillId="0" borderId="0" xfId="0" applyFill="true" applyBorder="true" applyNumberFormat="true" applyFont="true"/>
    <xf numFmtId="0" fontId="7496" fillId="0" borderId="0" xfId="0" applyFill="true" applyBorder="true" applyNumberFormat="true" applyFont="true"/>
    <xf numFmtId="0" fontId="7497" fillId="0" borderId="0" xfId="0" applyFill="true" applyBorder="true" applyNumberFormat="true" applyFont="true"/>
    <xf numFmtId="0" fontId="7498" fillId="0" borderId="0" xfId="0" applyFill="true" applyBorder="true" applyNumberFormat="true" applyFont="true"/>
    <xf numFmtId="0" fontId="7499" fillId="0" borderId="0" xfId="0" applyFill="true" applyBorder="true" applyNumberFormat="true" applyFont="true"/>
    <xf numFmtId="0" fontId="7500" fillId="0" borderId="0" xfId="0" applyFill="true" applyBorder="true" applyNumberFormat="true" applyFont="true"/>
    <xf numFmtId="0" fontId="7501" fillId="0" borderId="0" xfId="0" applyFill="true" applyBorder="true" applyNumberFormat="true" applyFont="true"/>
    <xf numFmtId="0" fontId="7502" fillId="0" borderId="0" xfId="0" applyFill="true" applyBorder="true" applyNumberFormat="true" applyFont="true"/>
    <xf numFmtId="0" fontId="7503" fillId="0" borderId="0" xfId="0" applyFill="true" applyBorder="true" applyNumberFormat="true" applyFont="true"/>
    <xf numFmtId="0" fontId="7504" fillId="0" borderId="0" xfId="0" applyFill="true" applyBorder="true" applyNumberFormat="true" applyFont="true"/>
    <xf numFmtId="0" fontId="7505" fillId="0" borderId="0" xfId="0" applyFill="true" applyBorder="true" applyNumberFormat="true" applyFont="true"/>
    <xf numFmtId="0" fontId="7506" fillId="0" borderId="0" xfId="0" applyFill="true" applyBorder="true" applyNumberFormat="true" applyFont="true"/>
    <xf numFmtId="0" fontId="7507" fillId="0" borderId="0" xfId="0" applyFill="true" applyBorder="true" applyNumberFormat="true" applyFont="true"/>
    <xf numFmtId="0" fontId="7508" fillId="0" borderId="0" xfId="0" applyFill="true" applyBorder="true" applyNumberFormat="true" applyFont="true"/>
    <xf numFmtId="0" fontId="7509" fillId="0" borderId="0" xfId="0" applyFill="true" applyBorder="true" applyNumberFormat="true" applyFont="true"/>
    <xf numFmtId="0" fontId="7510" fillId="0" borderId="0" xfId="0" applyFill="true" applyBorder="true" applyNumberFormat="true" applyFont="true"/>
    <xf numFmtId="0" fontId="7511" fillId="0" borderId="0" xfId="0" applyFill="true" applyBorder="true" applyNumberFormat="true" applyFont="true"/>
    <xf numFmtId="0" fontId="7512" fillId="0" borderId="0" xfId="0" applyFill="true" applyBorder="true" applyNumberFormat="true" applyFont="true"/>
    <xf numFmtId="0" fontId="7513" fillId="0" borderId="0" xfId="0" applyFill="true" applyBorder="true" applyNumberFormat="true" applyFont="true"/>
    <xf numFmtId="0" fontId="7514" fillId="0" borderId="0" xfId="0" applyFill="true" applyBorder="true" applyNumberFormat="true" applyFont="true"/>
    <xf numFmtId="0" fontId="7515" fillId="0" borderId="0" xfId="0" applyFill="true" applyBorder="true" applyNumberFormat="true" applyFont="true"/>
    <xf numFmtId="0" fontId="7516" fillId="0" borderId="0" xfId="0" applyFill="true" applyBorder="true" applyNumberFormat="true" applyFont="true"/>
    <xf numFmtId="0" fontId="7517" fillId="0" borderId="0" xfId="0" applyFill="true" applyBorder="true" applyNumberFormat="true" applyFont="true"/>
    <xf numFmtId="0" fontId="7518" fillId="0" borderId="0" xfId="0" applyFill="true" applyBorder="true" applyNumberFormat="true" applyFont="true"/>
    <xf numFmtId="0" fontId="7519" fillId="0" borderId="0" xfId="0" applyFill="true" applyBorder="true" applyNumberFormat="true" applyFont="true"/>
    <xf numFmtId="0" fontId="7520" fillId="0" borderId="0" xfId="0" applyFill="true" applyBorder="true" applyNumberFormat="true" applyFont="true"/>
    <xf numFmtId="0" fontId="7521" fillId="0" borderId="0" xfId="0" applyFill="true" applyBorder="true" applyNumberFormat="true" applyFont="true"/>
    <xf numFmtId="0" fontId="7522" fillId="0" borderId="0" xfId="0" applyFill="true" applyBorder="true" applyNumberFormat="true" applyFont="true"/>
    <xf numFmtId="0" fontId="7523" fillId="0" borderId="0" xfId="0" applyFill="true" applyBorder="true" applyNumberFormat="true" applyFont="true"/>
    <xf numFmtId="0" fontId="7524" fillId="0" borderId="0" xfId="0" applyFill="true" applyBorder="true" applyNumberFormat="true" applyFont="true"/>
    <xf numFmtId="0" fontId="7525" fillId="0" borderId="0" xfId="0" applyFill="true" applyBorder="true" applyNumberFormat="true" applyFont="true"/>
    <xf numFmtId="0" fontId="7526" fillId="0" borderId="0" xfId="0" applyFill="true" applyBorder="true" applyNumberFormat="true" applyFont="true"/>
    <xf numFmtId="0" fontId="7527" fillId="0" borderId="0" xfId="0" applyFill="true" applyBorder="true" applyNumberFormat="true" applyFont="true"/>
    <xf numFmtId="0" fontId="7528" fillId="0" borderId="0" xfId="0" applyFill="true" applyBorder="true" applyNumberFormat="true" applyFont="true"/>
    <xf numFmtId="0" fontId="7529" fillId="0" borderId="0" xfId="0" applyFill="true" applyBorder="true" applyNumberFormat="true" applyFont="true"/>
    <xf numFmtId="0" fontId="7530" fillId="0" borderId="0" xfId="0" applyFill="true" applyBorder="true" applyNumberFormat="true" applyFont="true"/>
    <xf numFmtId="0" fontId="7531" fillId="0" borderId="0" xfId="0" applyFill="true" applyBorder="true" applyNumberFormat="true" applyFont="true"/>
    <xf numFmtId="0" fontId="7532" fillId="0" borderId="0" xfId="0" applyFill="true" applyBorder="true" applyNumberFormat="true" applyFont="true"/>
    <xf numFmtId="0" fontId="7533" fillId="0" borderId="0" xfId="0" applyFill="true" applyBorder="true" applyNumberFormat="true" applyFont="true"/>
    <xf numFmtId="0" fontId="7534" fillId="0" borderId="0" xfId="0" applyFill="true" applyBorder="true" applyNumberFormat="true" applyFont="true"/>
    <xf numFmtId="0" fontId="7535" fillId="0" borderId="0" xfId="0" applyFill="true" applyBorder="true" applyNumberFormat="true" applyFont="true"/>
    <xf numFmtId="0" fontId="7536" fillId="0" borderId="0" xfId="0" applyFill="true" applyBorder="true" applyNumberFormat="true" applyFont="true"/>
    <xf numFmtId="0" fontId="7537" fillId="0" borderId="0" xfId="0" applyFill="true" applyBorder="true" applyNumberFormat="true" applyFont="true"/>
    <xf numFmtId="0" fontId="7538" fillId="0" borderId="0" xfId="0" applyFill="true" applyBorder="true" applyNumberFormat="true" applyFont="true"/>
    <xf numFmtId="0" fontId="7539" fillId="0" borderId="0" xfId="0" applyFill="true" applyBorder="true" applyNumberFormat="true" applyFont="true"/>
    <xf numFmtId="0" fontId="7540" fillId="0" borderId="0" xfId="0" applyFill="true" applyBorder="true" applyNumberFormat="true" applyFont="true"/>
    <xf numFmtId="0" fontId="7541" fillId="0" borderId="0" xfId="0" applyFill="true" applyBorder="true" applyNumberFormat="true" applyFont="true"/>
    <xf numFmtId="0" fontId="7542" fillId="0" borderId="0" xfId="0" applyFill="true" applyBorder="true" applyNumberFormat="true" applyFont="true"/>
    <xf numFmtId="0" fontId="7543" fillId="0" borderId="0" xfId="0" applyFill="true" applyBorder="true" applyNumberFormat="true" applyFont="true"/>
    <xf numFmtId="0" fontId="7544" fillId="0" borderId="0" xfId="0" applyFill="true" applyBorder="true" applyNumberFormat="true" applyFont="true"/>
    <xf numFmtId="0" fontId="7545" fillId="0" borderId="0" xfId="0" applyFill="true" applyBorder="true" applyNumberFormat="true" applyFont="true"/>
    <xf numFmtId="0" fontId="7546" fillId="0" borderId="0" xfId="0" applyFill="true" applyBorder="true" applyNumberFormat="true" applyFont="true"/>
    <xf numFmtId="0" fontId="7547" fillId="0" borderId="0" xfId="0" applyFill="true" applyBorder="true" applyNumberFormat="true" applyFont="true"/>
    <xf numFmtId="0" fontId="7548" fillId="0" borderId="0" xfId="0" applyFill="true" applyBorder="true" applyNumberFormat="true" applyFont="true"/>
    <xf numFmtId="0" fontId="7549" fillId="0" borderId="0" xfId="0" applyFill="true" applyBorder="true" applyNumberFormat="true" applyFont="true"/>
    <xf numFmtId="0" fontId="7550" fillId="0" borderId="0" xfId="0" applyFill="true" applyBorder="true" applyNumberFormat="true" applyFont="true"/>
    <xf numFmtId="0" fontId="7551" fillId="0" borderId="0" xfId="0" applyFill="true" applyBorder="true" applyNumberFormat="true" applyFont="true"/>
    <xf numFmtId="0" fontId="7552" fillId="0" borderId="0" xfId="0" applyFill="true" applyBorder="true" applyNumberFormat="true" applyFont="true"/>
    <xf numFmtId="0" fontId="7553" fillId="0" borderId="0" xfId="0" applyFill="true" applyBorder="true" applyNumberFormat="true" applyFont="true"/>
    <xf numFmtId="0" fontId="7554" fillId="0" borderId="0" xfId="0" applyFill="true" applyBorder="true" applyNumberFormat="true" applyFont="true"/>
    <xf numFmtId="0" fontId="7555" fillId="0" borderId="0" xfId="0" applyFill="true" applyBorder="true" applyNumberFormat="true" applyFont="true"/>
    <xf numFmtId="0" fontId="7556" fillId="0" borderId="0" xfId="0" applyFill="true" applyBorder="true" applyNumberFormat="true" applyFont="true"/>
    <xf numFmtId="0" fontId="7557" fillId="0" borderId="0" xfId="0" applyFill="true" applyBorder="true" applyNumberFormat="true" applyFont="true"/>
    <xf numFmtId="0" fontId="7558" fillId="0" borderId="0" xfId="0" applyFill="true" applyBorder="true" applyNumberFormat="true" applyFont="true"/>
    <xf numFmtId="0" fontId="7559" fillId="0" borderId="0" xfId="0" applyFill="true" applyBorder="true" applyNumberFormat="true" applyFont="true"/>
    <xf numFmtId="0" fontId="7560" fillId="0" borderId="0" xfId="0" applyFill="true" applyBorder="true" applyNumberFormat="true" applyFont="true"/>
    <xf numFmtId="0" fontId="7561" fillId="0" borderId="0" xfId="0" applyFill="true" applyBorder="true" applyNumberFormat="true" applyFont="true"/>
    <xf numFmtId="0" fontId="7562" fillId="0" borderId="0" xfId="0" applyFill="true" applyBorder="true" applyNumberFormat="true" applyFont="true"/>
    <xf numFmtId="0" fontId="7563" fillId="0" borderId="0" xfId="0" applyFill="true" applyBorder="true" applyNumberFormat="true" applyFont="true"/>
    <xf numFmtId="0" fontId="7564" fillId="0" borderId="0" xfId="0" applyFill="true" applyBorder="true" applyNumberFormat="true" applyFont="true"/>
    <xf numFmtId="0" fontId="7565" fillId="0" borderId="0" xfId="0" applyFill="true" applyBorder="true" applyNumberFormat="true" applyFont="true"/>
    <xf numFmtId="0" fontId="7566" fillId="0" borderId="0" xfId="0" applyFill="true" applyBorder="true" applyNumberFormat="true" applyFont="true"/>
    <xf numFmtId="0" fontId="7567" fillId="0" borderId="0" xfId="0" applyFill="true" applyBorder="true" applyNumberFormat="true" applyFont="true"/>
    <xf numFmtId="0" fontId="7568" fillId="0" borderId="0" xfId="0" applyFill="true" applyBorder="true" applyNumberFormat="true" applyFont="true"/>
    <xf numFmtId="0" fontId="7569" fillId="0" borderId="0" xfId="0" applyFill="true" applyBorder="true" applyNumberFormat="true" applyFont="true"/>
    <xf numFmtId="0" fontId="7570" fillId="0" borderId="0" xfId="0" applyFill="true" applyBorder="true" applyNumberFormat="true" applyFont="true"/>
    <xf numFmtId="0" fontId="7571" fillId="0" borderId="0" xfId="0" applyFill="true" applyBorder="true" applyNumberFormat="true" applyFont="true"/>
    <xf numFmtId="0" fontId="7572" fillId="0" borderId="0" xfId="0" applyFill="true" applyBorder="true" applyNumberFormat="true" applyFont="true"/>
    <xf numFmtId="0" fontId="7573" fillId="0" borderId="0" xfId="0" applyFill="true" applyBorder="true" applyNumberFormat="true" applyFont="true"/>
    <xf numFmtId="0" fontId="7574" fillId="0" borderId="0" xfId="0" applyFill="true" applyBorder="true" applyNumberFormat="true" applyFont="true"/>
    <xf numFmtId="0" fontId="7575" fillId="0" borderId="0" xfId="0" applyFill="true" applyBorder="true" applyNumberFormat="true" applyFont="true"/>
    <xf numFmtId="0" fontId="7576" fillId="0" borderId="0" xfId="0" applyFill="true" applyBorder="true" applyNumberFormat="true" applyFont="true"/>
    <xf numFmtId="0" fontId="7577" fillId="0" borderId="0" xfId="0" applyFill="true" applyBorder="true" applyNumberFormat="true" applyFont="true"/>
    <xf numFmtId="0" fontId="7578" fillId="0" borderId="0" xfId="0" applyFill="true" applyBorder="true" applyNumberFormat="true" applyFont="true"/>
    <xf numFmtId="0" fontId="7579" fillId="0" borderId="0" xfId="0" applyFill="true" applyBorder="true" applyNumberFormat="true" applyFont="true"/>
    <xf numFmtId="0" fontId="7580" fillId="0" borderId="0" xfId="0" applyFill="true" applyBorder="true" applyNumberFormat="true" applyFont="true"/>
    <xf numFmtId="0" fontId="7581" fillId="0" borderId="0" xfId="0" applyFill="true" applyBorder="true" applyNumberFormat="true" applyFont="true"/>
    <xf numFmtId="0" fontId="7582" fillId="0" borderId="0" xfId="0" applyFill="true" applyBorder="true" applyNumberFormat="true" applyFont="true"/>
    <xf numFmtId="0" fontId="7583" fillId="0" borderId="0" xfId="0" applyFill="true" applyBorder="true" applyNumberFormat="true" applyFont="true"/>
    <xf numFmtId="0" fontId="7584" fillId="0" borderId="0" xfId="0" applyFill="true" applyBorder="true" applyNumberFormat="true" applyFont="true"/>
    <xf numFmtId="0" fontId="7585" fillId="0" borderId="0" xfId="0" applyFill="true" applyBorder="true" applyNumberFormat="true" applyFont="true"/>
    <xf numFmtId="0" fontId="7586" fillId="0" borderId="0" xfId="0" applyFont="true" applyFill="true" applyBorder="true" applyNumberFormat="true"/>
    <xf numFmtId="0" fontId="7587" fillId="0" borderId="0" xfId="0" applyFont="true" applyFill="true" applyBorder="true" applyNumberFormat="true"/>
    <xf numFmtId="0" fontId="7588" fillId="37" borderId="0" xfId="0" applyFont="true" applyFill="true" applyBorder="true" applyNumberFormat="true"/>
    <xf numFmtId="0" fontId="7589" fillId="37" borderId="0" xfId="0" applyFont="true" applyFill="true" applyBorder="true" applyNumberFormat="true"/>
    <xf numFmtId="0" fontId="7590" fillId="37" borderId="0" xfId="0" applyFont="true" applyFill="true" applyBorder="true" applyNumberFormat="true"/>
    <xf numFmtId="0" fontId="7591" fillId="37" borderId="0" xfId="0" applyFont="true" applyFill="true" applyBorder="true" applyNumberFormat="true"/>
    <xf numFmtId="0" fontId="7592" fillId="37" borderId="0" xfId="0" applyFont="true" applyFill="true" applyBorder="true" applyNumberFormat="true"/>
    <xf numFmtId="0" fontId="7593" fillId="37" borderId="0" xfId="0" applyFont="true" applyFill="true" applyBorder="true" applyNumberFormat="true"/>
    <xf numFmtId="0" fontId="7594" fillId="37" borderId="0" xfId="0" applyFont="true" applyFill="true" applyBorder="true" applyNumberFormat="true"/>
    <xf numFmtId="0" fontId="7595" fillId="37" borderId="0" xfId="0" applyFont="true" applyFill="true" applyBorder="true" applyNumberFormat="true"/>
    <xf numFmtId="0" fontId="7596" fillId="37" borderId="0" xfId="0" applyFont="true" applyFill="true" applyBorder="true" applyNumberFormat="true"/>
    <xf numFmtId="0" fontId="7597" fillId="37" borderId="0" xfId="0" applyFont="true" applyFill="true" applyBorder="true" applyNumberFormat="true"/>
    <xf numFmtId="175" fontId="7598" fillId="0" borderId="0" xfId="0" applyNumberFormat="true" applyFill="true" applyBorder="true" applyFont="true"/>
    <xf xmlns:main="http://schemas.openxmlformats.org/spreadsheetml/2006/main" numFmtId="0" fontId="7599" fillId="0" borderId="0" xfId="0" applyAlignment="1" applyFill="true" applyBorder="true" applyNumberFormat="true" applyFont="true">
      <main:alignment horizontal="right"/>
    </xf>
    <xf numFmtId="176" fontId="7600" fillId="0" borderId="0" xfId="0" applyNumberFormat="true" applyFill="true" applyBorder="true" applyFont="true"/>
    <xf numFmtId="177" fontId="7601" fillId="0" borderId="0" xfId="0" applyNumberFormat="true" applyFill="true" applyBorder="true" applyFont="true"/>
    <xf numFmtId="177" fontId="7602" fillId="0" borderId="0" xfId="0" applyNumberFormat="true" applyFill="true" applyBorder="true" applyFont="true"/>
    <xf numFmtId="177" fontId="7603" fillId="0" borderId="0" xfId="0" applyNumberFormat="true" applyFill="true" applyBorder="true" applyFont="true"/>
    <xf numFmtId="175" fontId="7604" fillId="0" borderId="0" xfId="0" applyNumberFormat="true" applyFill="true" applyBorder="true" applyFont="true"/>
    <xf numFmtId="175" fontId="7605" fillId="0" borderId="0" xfId="0" applyNumberFormat="true" applyFill="true" applyBorder="true" applyFont="true"/>
    <xf xmlns:main="http://schemas.openxmlformats.org/spreadsheetml/2006/main" numFmtId="0" fontId="7606" fillId="0" borderId="0" xfId="0" applyAlignment="1" applyFill="true" applyBorder="true" applyNumberFormat="true" applyFont="true">
      <main:alignment horizontal="right"/>
    </xf>
    <xf numFmtId="176" fontId="7607" fillId="0" borderId="0" xfId="0" applyNumberFormat="true" applyFill="true" applyBorder="true" applyFont="true"/>
    <xf numFmtId="177" fontId="7608" fillId="0" borderId="0" xfId="0" applyNumberFormat="true" applyFill="true" applyBorder="true" applyFont="true"/>
    <xf numFmtId="177" fontId="7609" fillId="0" borderId="0" xfId="0" applyNumberFormat="true" applyFill="true" applyBorder="true" applyFont="true"/>
    <xf numFmtId="177" fontId="7610" fillId="0" borderId="0" xfId="0" applyNumberFormat="true" applyFill="true" applyBorder="true" applyFont="true"/>
    <xf numFmtId="175" fontId="7611" fillId="0" borderId="0" xfId="0" applyNumberFormat="true" applyFill="true" applyBorder="true" applyFont="true"/>
    <xf numFmtId="175" fontId="7612" fillId="0" borderId="0" xfId="0" applyNumberFormat="true" applyFill="true" applyBorder="true" applyFont="true"/>
    <xf xmlns:main="http://schemas.openxmlformats.org/spreadsheetml/2006/main" numFmtId="0" fontId="7613" fillId="0" borderId="0" xfId="0" applyAlignment="1" applyFill="true" applyBorder="true" applyNumberFormat="true" applyFont="true">
      <main:alignment horizontal="right"/>
    </xf>
    <xf numFmtId="176" fontId="7614" fillId="0" borderId="0" xfId="0" applyNumberFormat="true" applyFill="true" applyBorder="true" applyFont="true"/>
    <xf numFmtId="177" fontId="7615" fillId="0" borderId="0" xfId="0" applyNumberFormat="true" applyFill="true" applyBorder="true" applyFont="true"/>
    <xf numFmtId="177" fontId="7616" fillId="0" borderId="0" xfId="0" applyNumberFormat="true" applyFill="true" applyBorder="true" applyFont="true"/>
    <xf numFmtId="177" fontId="7617" fillId="0" borderId="0" xfId="0" applyNumberFormat="true" applyFill="true" applyBorder="true" applyFont="true"/>
    <xf numFmtId="175" fontId="7618" fillId="0" borderId="0" xfId="0" applyNumberFormat="true" applyFill="true" applyBorder="true" applyFont="true"/>
    <xf numFmtId="175" fontId="7619" fillId="0" borderId="0" xfId="0" applyNumberFormat="true" applyFill="true" applyBorder="true" applyFont="true"/>
    <xf xmlns:main="http://schemas.openxmlformats.org/spreadsheetml/2006/main" numFmtId="0" fontId="762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21" fillId="0" borderId="0" xfId="0" applyAlignment="1" applyFill="true" applyBorder="true" applyNumberFormat="true" applyFont="true">
      <main:alignment horizontal="right"/>
    </xf>
    <xf numFmtId="176" fontId="7622" fillId="0" borderId="0" xfId="0" applyNumberFormat="true" applyFill="true" applyBorder="true" applyFont="true"/>
    <xf numFmtId="177" fontId="7623" fillId="0" borderId="0" xfId="0" applyNumberFormat="true" applyFill="true" applyBorder="true" applyFont="true"/>
    <xf numFmtId="177" fontId="7624" fillId="0" borderId="0" xfId="0" applyNumberFormat="true" applyFill="true" applyBorder="true" applyFont="true"/>
    <xf numFmtId="177" fontId="7625" fillId="0" borderId="0" xfId="0" applyNumberFormat="true" applyFill="true" applyBorder="true" applyFont="true"/>
    <xf numFmtId="175" fontId="7626" fillId="0" borderId="0" xfId="0" applyNumberFormat="true" applyFill="true" applyBorder="true" applyFont="true"/>
    <xf xmlns:main="http://schemas.openxmlformats.org/spreadsheetml/2006/main" numFmtId="0" fontId="7627" fillId="0" borderId="0" xfId="0" applyAlignment="1" applyFill="true" applyBorder="true" applyNumberFormat="true" applyFont="true">
      <main:alignment horizontal="right"/>
    </xf>
    <xf numFmtId="175" fontId="7628" fillId="0" borderId="0" xfId="0" applyNumberFormat="true" applyFill="true" applyBorder="true" applyFont="true"/>
    <xf xmlns:main="http://schemas.openxmlformats.org/spreadsheetml/2006/main" numFmtId="0" fontId="762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30" fillId="0" borderId="0" xfId="0" applyAlignment="1" applyFill="true" applyBorder="true" applyNumberFormat="true" applyFont="true">
      <main:alignment horizontal="right"/>
    </xf>
    <xf numFmtId="176" fontId="7631" fillId="0" borderId="0" xfId="0" applyNumberFormat="true" applyFill="true" applyBorder="true" applyFont="true"/>
    <xf numFmtId="177" fontId="7632" fillId="0" borderId="0" xfId="0" applyNumberFormat="true" applyFill="true" applyBorder="true" applyFont="true"/>
    <xf numFmtId="177" fontId="7633" fillId="0" borderId="0" xfId="0" applyNumberFormat="true" applyFill="true" applyBorder="true" applyFont="true"/>
    <xf numFmtId="177" fontId="7634" fillId="0" borderId="0" xfId="0" applyNumberFormat="true" applyFill="true" applyBorder="true" applyFont="true"/>
    <xf numFmtId="175" fontId="7635" fillId="0" borderId="0" xfId="0" applyNumberFormat="true" applyFill="true" applyBorder="true" applyFont="true"/>
    <xf xmlns:main="http://schemas.openxmlformats.org/spreadsheetml/2006/main" numFmtId="0" fontId="7636" fillId="0" borderId="0" xfId="0" applyAlignment="1" applyFill="true" applyBorder="true" applyNumberFormat="true" applyFont="true">
      <main:alignment horizontal="right"/>
    </xf>
    <xf numFmtId="175" fontId="7637" fillId="0" borderId="0" xfId="0" applyNumberFormat="true" applyFill="true" applyBorder="true" applyFont="true"/>
    <xf xmlns:main="http://schemas.openxmlformats.org/spreadsheetml/2006/main" numFmtId="0" fontId="763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39" fillId="0" borderId="0" xfId="0" applyAlignment="1" applyFill="true" applyBorder="true" applyNumberFormat="true" applyFont="true">
      <main:alignment horizontal="right"/>
    </xf>
    <xf numFmtId="176" fontId="7640" fillId="0" borderId="0" xfId="0" applyNumberFormat="true" applyFill="true" applyBorder="true" applyFont="true"/>
    <xf numFmtId="177" fontId="7641" fillId="0" borderId="0" xfId="0" applyNumberFormat="true" applyFill="true" applyBorder="true" applyFont="true"/>
    <xf numFmtId="177" fontId="7642" fillId="0" borderId="0" xfId="0" applyNumberFormat="true" applyFill="true" applyBorder="true" applyFont="true"/>
    <xf numFmtId="177" fontId="7643" fillId="0" borderId="0" xfId="0" applyNumberFormat="true" applyFill="true" applyBorder="true" applyFont="true"/>
    <xf numFmtId="175" fontId="7644" fillId="0" borderId="0" xfId="0" applyNumberFormat="true" applyFill="true" applyBorder="true" applyFont="true"/>
    <xf xmlns:main="http://schemas.openxmlformats.org/spreadsheetml/2006/main" numFmtId="0" fontId="764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46" fillId="0" borderId="0" xfId="0" applyAlignment="1" applyFill="true" applyBorder="true" applyNumberFormat="true" applyFont="true">
      <main:alignment horizontal="right"/>
    </xf>
    <xf numFmtId="175" fontId="7647" fillId="0" borderId="0" xfId="0" applyNumberFormat="true" applyFill="true" applyBorder="true" applyFont="true"/>
    <xf xmlns:main="http://schemas.openxmlformats.org/spreadsheetml/2006/main" numFmtId="0" fontId="764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49" fillId="0" borderId="0" xfId="0" applyAlignment="1" applyFill="true" applyBorder="true" applyNumberFormat="true" applyFont="true">
      <main:alignment horizontal="right"/>
    </xf>
    <xf numFmtId="176" fontId="7650" fillId="0" borderId="0" xfId="0" applyNumberFormat="true" applyFill="true" applyBorder="true" applyFont="true"/>
    <xf numFmtId="177" fontId="7651" fillId="0" borderId="0" xfId="0" applyNumberFormat="true" applyFill="true" applyBorder="true" applyFont="true"/>
    <xf numFmtId="177" fontId="7652" fillId="0" borderId="0" xfId="0" applyNumberFormat="true" applyFill="true" applyBorder="true" applyFont="true"/>
    <xf numFmtId="177" fontId="7653" fillId="0" borderId="0" xfId="0" applyNumberFormat="true" applyFill="true" applyBorder="true" applyFont="true"/>
    <xf numFmtId="175" fontId="7654" fillId="0" borderId="0" xfId="0" applyNumberFormat="true" applyFill="true" applyBorder="true" applyFont="true"/>
    <xf xmlns:main="http://schemas.openxmlformats.org/spreadsheetml/2006/main" numFmtId="0" fontId="7655" fillId="0" borderId="0" xfId="0" applyAlignment="1" applyFill="true" applyBorder="true" applyNumberFormat="true" applyFont="true">
      <main:alignment horizontal="right"/>
    </xf>
    <xf numFmtId="175" fontId="7656" fillId="0" borderId="0" xfId="0" applyNumberFormat="true" applyFill="true" applyBorder="true" applyFont="true"/>
    <xf xmlns:main="http://schemas.openxmlformats.org/spreadsheetml/2006/main" numFmtId="0" fontId="765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58" fillId="0" borderId="0" xfId="0" applyAlignment="1" applyFill="true" applyBorder="true" applyNumberFormat="true" applyFont="true">
      <main:alignment horizontal="right"/>
    </xf>
    <xf numFmtId="176" fontId="7659" fillId="0" borderId="0" xfId="0" applyNumberFormat="true" applyFill="true" applyBorder="true" applyFont="true"/>
    <xf numFmtId="177" fontId="7660" fillId="0" borderId="0" xfId="0" applyNumberFormat="true" applyFill="true" applyBorder="true" applyFont="true"/>
    <xf numFmtId="177" fontId="7661" fillId="0" borderId="0" xfId="0" applyNumberFormat="true" applyFill="true" applyBorder="true" applyFont="true"/>
    <xf numFmtId="177" fontId="7662" fillId="0" borderId="0" xfId="0" applyNumberFormat="true" applyFill="true" applyBorder="true" applyFont="true"/>
    <xf numFmtId="175" fontId="7663" fillId="0" borderId="0" xfId="0" applyNumberFormat="true" applyFill="true" applyBorder="true" applyFont="true"/>
    <xf xmlns:main="http://schemas.openxmlformats.org/spreadsheetml/2006/main" numFmtId="0" fontId="7664" fillId="0" borderId="0" xfId="0" applyAlignment="1" applyFill="true" applyBorder="true" applyNumberFormat="true" applyFont="true">
      <main:alignment horizontal="right"/>
    </xf>
    <xf numFmtId="175" fontId="7665" fillId="0" borderId="0" xfId="0" applyNumberFormat="true" applyFill="true" applyBorder="true" applyFont="true"/>
    <xf xmlns:main="http://schemas.openxmlformats.org/spreadsheetml/2006/main" numFmtId="0" fontId="766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67" fillId="0" borderId="0" xfId="0" applyAlignment="1" applyFill="true" applyBorder="true" applyNumberFormat="true" applyFont="true">
      <main:alignment horizontal="right"/>
    </xf>
    <xf numFmtId="176" fontId="7668" fillId="0" borderId="0" xfId="0" applyNumberFormat="true" applyFill="true" applyBorder="true" applyFont="true"/>
    <xf numFmtId="177" fontId="7669" fillId="0" borderId="0" xfId="0" applyNumberFormat="true" applyFill="true" applyBorder="true" applyFont="true"/>
    <xf numFmtId="177" fontId="7670" fillId="0" borderId="0" xfId="0" applyNumberFormat="true" applyFill="true" applyBorder="true" applyFont="true"/>
    <xf numFmtId="177" fontId="7671" fillId="0" borderId="0" xfId="0" applyNumberFormat="true" applyFill="true" applyBorder="true" applyFont="true"/>
    <xf numFmtId="175" fontId="7672" fillId="0" borderId="0" xfId="0" applyNumberFormat="true" applyFill="true" applyBorder="true" applyFont="true"/>
    <xf xmlns:main="http://schemas.openxmlformats.org/spreadsheetml/2006/main" numFmtId="0" fontId="767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674" fillId="0" borderId="0" xfId="0" applyAlignment="1" applyFill="true" applyBorder="true" applyNumberFormat="true" applyFont="true">
      <main:alignment horizontal="right"/>
    </xf>
    <xf numFmtId="175" fontId="7675" fillId="0" borderId="0" xfId="0" applyNumberFormat="true" applyFill="true" applyBorder="true" applyFont="true"/>
    <xf xmlns:main="http://schemas.openxmlformats.org/spreadsheetml/2006/main" numFmtId="0" fontId="7676" fillId="0" borderId="0" xfId="0" applyAlignment="1" applyFill="true" applyBorder="true" applyNumberFormat="true" applyFont="true">
      <main:alignment horizontal="right"/>
    </xf>
    <xf numFmtId="176" fontId="7677" fillId="0" borderId="0" xfId="0" applyNumberFormat="true" applyFill="true" applyBorder="true" applyFont="true"/>
    <xf numFmtId="177" fontId="7678" fillId="0" borderId="0" xfId="0" applyNumberFormat="true" applyFill="true" applyBorder="true" applyFont="true"/>
    <xf numFmtId="177" fontId="7679" fillId="0" borderId="0" xfId="0" applyNumberFormat="true" applyFill="true" applyBorder="true" applyFont="true"/>
    <xf numFmtId="177" fontId="7680" fillId="0" borderId="0" xfId="0" applyNumberFormat="true" applyFill="true" applyBorder="true" applyFont="true"/>
    <xf numFmtId="175" fontId="7681" fillId="0" borderId="0" xfId="0" applyNumberFormat="true" applyFill="true" applyBorder="true" applyFont="true"/>
    <xf numFmtId="175" fontId="7682" fillId="0" borderId="0" xfId="0" applyNumberFormat="true" applyFill="true" applyBorder="true" applyFont="true"/>
    <xf xmlns:main="http://schemas.openxmlformats.org/spreadsheetml/2006/main" numFmtId="0" fontId="7683" fillId="0" borderId="0" xfId="0" applyAlignment="1" applyFill="true" applyBorder="true" applyNumberFormat="true" applyFont="true">
      <main:alignment horizontal="right"/>
    </xf>
    <xf numFmtId="176" fontId="7684" fillId="0" borderId="0" xfId="0" applyNumberFormat="true" applyFill="true" applyBorder="true" applyFont="true"/>
    <xf numFmtId="177" fontId="7685" fillId="0" borderId="0" xfId="0" applyNumberFormat="true" applyFill="true" applyBorder="true" applyFont="true"/>
    <xf numFmtId="177" fontId="7686" fillId="0" borderId="0" xfId="0" applyNumberFormat="true" applyFill="true" applyBorder="true" applyFont="true"/>
    <xf numFmtId="177" fontId="7687" fillId="0" borderId="0" xfId="0" applyNumberFormat="true" applyFill="true" applyBorder="true" applyFont="true"/>
    <xf numFmtId="175" fontId="7688" fillId="0" borderId="0" xfId="0" applyNumberFormat="true" applyFill="true" applyBorder="true" applyFont="true"/>
    <xf numFmtId="175" fontId="7689" fillId="0" borderId="0" xfId="0" applyNumberFormat="true" applyFill="true" applyBorder="true" applyFont="true"/>
    <xf xmlns:main="http://schemas.openxmlformats.org/spreadsheetml/2006/main" numFmtId="0" fontId="7690" fillId="0" borderId="0" xfId="0" applyAlignment="1" applyFill="true" applyBorder="true" applyNumberFormat="true" applyFont="true">
      <main:alignment horizontal="right"/>
    </xf>
    <xf numFmtId="176" fontId="7691" fillId="0" borderId="0" xfId="0" applyNumberFormat="true" applyFill="true" applyBorder="true" applyFont="true"/>
    <xf numFmtId="177" fontId="7692" fillId="0" borderId="0" xfId="0" applyNumberFormat="true" applyFill="true" applyBorder="true" applyFont="true"/>
    <xf numFmtId="177" fontId="7693" fillId="0" borderId="0" xfId="0" applyNumberFormat="true" applyFill="true" applyBorder="true" applyFont="true"/>
    <xf numFmtId="177" fontId="7694" fillId="0" borderId="0" xfId="0" applyNumberFormat="true" applyFill="true" applyBorder="true" applyFont="true"/>
    <xf numFmtId="175" fontId="7695" fillId="0" borderId="0" xfId="0" applyNumberFormat="true" applyFill="true" applyBorder="true" applyFont="true"/>
    <xf numFmtId="175" fontId="7696" fillId="0" borderId="0" xfId="0" applyNumberFormat="true" applyFill="true" applyBorder="true" applyFont="true"/>
    <xf xmlns:main="http://schemas.openxmlformats.org/spreadsheetml/2006/main" numFmtId="0" fontId="7697" fillId="0" borderId="0" xfId="0" applyAlignment="1" applyFill="true" applyBorder="true" applyNumberFormat="true" applyFont="true">
      <main:alignment horizontal="right"/>
    </xf>
    <xf numFmtId="176" fontId="7698" fillId="0" borderId="0" xfId="0" applyNumberFormat="true" applyFill="true" applyBorder="true" applyFont="true"/>
    <xf numFmtId="177" fontId="7699" fillId="0" borderId="0" xfId="0" applyNumberFormat="true" applyFill="true" applyBorder="true" applyFont="true"/>
    <xf numFmtId="177" fontId="7700" fillId="0" borderId="0" xfId="0" applyNumberFormat="true" applyFill="true" applyBorder="true" applyFont="true"/>
    <xf numFmtId="177" fontId="7701" fillId="0" borderId="0" xfId="0" applyNumberFormat="true" applyFill="true" applyBorder="true" applyFont="true"/>
    <xf numFmtId="175" fontId="7702" fillId="0" borderId="0" xfId="0" applyNumberFormat="true" applyFill="true" applyBorder="true" applyFont="true"/>
    <xf numFmtId="175" fontId="7703" fillId="0" borderId="0" xfId="0" applyNumberFormat="true" applyFill="true" applyBorder="true" applyFont="true"/>
    <xf xmlns:main="http://schemas.openxmlformats.org/spreadsheetml/2006/main" numFmtId="0" fontId="770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05" fillId="0" borderId="0" xfId="0" applyAlignment="1" applyFill="true" applyBorder="true" applyNumberFormat="true" applyFont="true">
      <main:alignment horizontal="right"/>
    </xf>
    <xf numFmtId="176" fontId="7706" fillId="0" borderId="0" xfId="0" applyNumberFormat="true" applyFill="true" applyBorder="true" applyFont="true"/>
    <xf numFmtId="177" fontId="7707" fillId="0" borderId="0" xfId="0" applyNumberFormat="true" applyFill="true" applyBorder="true" applyFont="true"/>
    <xf numFmtId="177" fontId="7708" fillId="0" borderId="0" xfId="0" applyNumberFormat="true" applyFill="true" applyBorder="true" applyFont="true"/>
    <xf numFmtId="177" fontId="7709" fillId="0" borderId="0" xfId="0" applyNumberFormat="true" applyFill="true" applyBorder="true" applyFont="true"/>
    <xf numFmtId="175" fontId="7710" fillId="0" borderId="0" xfId="0" applyNumberFormat="true" applyFill="true" applyBorder="true" applyFont="true"/>
    <xf xmlns:main="http://schemas.openxmlformats.org/spreadsheetml/2006/main" numFmtId="0" fontId="7711" fillId="0" borderId="0" xfId="0" applyAlignment="1" applyFill="true" applyBorder="true" applyNumberFormat="true" applyFont="true">
      <main:alignment horizontal="right"/>
    </xf>
    <xf numFmtId="175" fontId="7712" fillId="0" borderId="0" xfId="0" applyNumberFormat="true" applyFill="true" applyBorder="true" applyFont="true"/>
    <xf xmlns:main="http://schemas.openxmlformats.org/spreadsheetml/2006/main" numFmtId="0" fontId="771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14" fillId="0" borderId="0" xfId="0" applyAlignment="1" applyFill="true" applyBorder="true" applyNumberFormat="true" applyFont="true">
      <main:alignment horizontal="right"/>
    </xf>
    <xf numFmtId="176" fontId="7715" fillId="0" borderId="0" xfId="0" applyNumberFormat="true" applyFill="true" applyBorder="true" applyFont="true"/>
    <xf numFmtId="177" fontId="7716" fillId="0" borderId="0" xfId="0" applyNumberFormat="true" applyFill="true" applyBorder="true" applyFont="true"/>
    <xf numFmtId="177" fontId="7717" fillId="0" borderId="0" xfId="0" applyNumberFormat="true" applyFill="true" applyBorder="true" applyFont="true"/>
    <xf numFmtId="177" fontId="7718" fillId="0" borderId="0" xfId="0" applyNumberFormat="true" applyFill="true" applyBorder="true" applyFont="true"/>
    <xf numFmtId="175" fontId="7719" fillId="0" borderId="0" xfId="0" applyNumberFormat="true" applyFill="true" applyBorder="true" applyFont="true"/>
    <xf xmlns:main="http://schemas.openxmlformats.org/spreadsheetml/2006/main" numFmtId="0" fontId="772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21" fillId="0" borderId="0" xfId="0" applyAlignment="1" applyFill="true" applyBorder="true" applyNumberFormat="true" applyFont="true">
      <main:alignment horizontal="right"/>
    </xf>
    <xf numFmtId="175" fontId="7722" fillId="0" borderId="0" xfId="0" applyNumberFormat="true" applyFill="true" applyBorder="true" applyFont="true"/>
    <xf xmlns:main="http://schemas.openxmlformats.org/spreadsheetml/2006/main" numFmtId="0" fontId="7723" fillId="0" borderId="0" xfId="0" applyAlignment="1" applyFill="true" applyBorder="true" applyNumberFormat="true" applyFont="true">
      <main:alignment horizontal="right"/>
    </xf>
    <xf numFmtId="176" fontId="7724" fillId="0" borderId="0" xfId="0" applyNumberFormat="true" applyFill="true" applyBorder="true" applyFont="true"/>
    <xf numFmtId="177" fontId="7725" fillId="0" borderId="0" xfId="0" applyNumberFormat="true" applyFill="true" applyBorder="true" applyFont="true"/>
    <xf numFmtId="177" fontId="7726" fillId="0" borderId="0" xfId="0" applyNumberFormat="true" applyFill="true" applyBorder="true" applyFont="true"/>
    <xf numFmtId="177" fontId="7727" fillId="0" borderId="0" xfId="0" applyNumberFormat="true" applyFill="true" applyBorder="true" applyFont="true"/>
    <xf numFmtId="175" fontId="7728" fillId="0" borderId="0" xfId="0" applyNumberFormat="true" applyFill="true" applyBorder="true" applyFont="true"/>
    <xf numFmtId="175" fontId="7729" fillId="0" borderId="0" xfId="0" applyNumberFormat="true" applyFill="true" applyBorder="true" applyFont="true"/>
    <xf xmlns:main="http://schemas.openxmlformats.org/spreadsheetml/2006/main" numFmtId="0" fontId="773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31" fillId="0" borderId="0" xfId="0" applyAlignment="1" applyFill="true" applyBorder="true" applyNumberFormat="true" applyFont="true">
      <main:alignment horizontal="right"/>
    </xf>
    <xf numFmtId="176" fontId="7732" fillId="0" borderId="0" xfId="0" applyNumberFormat="true" applyFill="true" applyBorder="true" applyFont="true"/>
    <xf numFmtId="177" fontId="7733" fillId="0" borderId="0" xfId="0" applyNumberFormat="true" applyFill="true" applyBorder="true" applyFont="true"/>
    <xf numFmtId="177" fontId="7734" fillId="0" borderId="0" xfId="0" applyNumberFormat="true" applyFill="true" applyBorder="true" applyFont="true"/>
    <xf numFmtId="177" fontId="7735" fillId="0" borderId="0" xfId="0" applyNumberFormat="true" applyFill="true" applyBorder="true" applyFont="true"/>
    <xf numFmtId="175" fontId="7736" fillId="0" borderId="0" xfId="0" applyNumberFormat="true" applyFill="true" applyBorder="true" applyFont="true"/>
    <xf xmlns:main="http://schemas.openxmlformats.org/spreadsheetml/2006/main" numFmtId="0" fontId="773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38" fillId="0" borderId="0" xfId="0" applyAlignment="1" applyFill="true" applyBorder="true" applyNumberFormat="true" applyFont="true">
      <main:alignment horizontal="right"/>
    </xf>
    <xf numFmtId="175" fontId="7739" fillId="0" borderId="0" xfId="0" applyNumberFormat="true" applyFill="true" applyBorder="true" applyFont="true"/>
    <xf xmlns:main="http://schemas.openxmlformats.org/spreadsheetml/2006/main" numFmtId="0" fontId="7740" fillId="0" borderId="0" xfId="0" applyAlignment="1" applyFill="true" applyBorder="true" applyNumberFormat="true" applyFont="true">
      <main:alignment horizontal="right"/>
    </xf>
    <xf numFmtId="176" fontId="7741" fillId="0" borderId="0" xfId="0" applyNumberFormat="true" applyFill="true" applyBorder="true" applyFont="true"/>
    <xf numFmtId="177" fontId="7742" fillId="0" borderId="0" xfId="0" applyNumberFormat="true" applyFill="true" applyBorder="true" applyFont="true"/>
    <xf numFmtId="177" fontId="7743" fillId="0" borderId="0" xfId="0" applyNumberFormat="true" applyFill="true" applyBorder="true" applyFont="true"/>
    <xf numFmtId="177" fontId="7744" fillId="0" borderId="0" xfId="0" applyNumberFormat="true" applyFill="true" applyBorder="true" applyFont="true"/>
    <xf numFmtId="175" fontId="7745" fillId="0" borderId="0" xfId="0" applyNumberFormat="true" applyFill="true" applyBorder="true" applyFont="true"/>
    <xf numFmtId="175" fontId="7746" fillId="0" borderId="0" xfId="0" applyNumberFormat="true" applyFill="true" applyBorder="true" applyFont="true"/>
    <xf xmlns:main="http://schemas.openxmlformats.org/spreadsheetml/2006/main" numFmtId="0" fontId="7747" fillId="0" borderId="0" xfId="0" applyAlignment="1" applyFill="true" applyBorder="true" applyNumberFormat="true" applyFont="true">
      <main:alignment horizontal="right"/>
    </xf>
    <xf numFmtId="176" fontId="7748" fillId="0" borderId="0" xfId="0" applyNumberFormat="true" applyFill="true" applyBorder="true" applyFont="true"/>
    <xf numFmtId="177" fontId="7749" fillId="0" borderId="0" xfId="0" applyNumberFormat="true" applyFill="true" applyBorder="true" applyFont="true"/>
    <xf numFmtId="177" fontId="7750" fillId="0" borderId="0" xfId="0" applyNumberFormat="true" applyFill="true" applyBorder="true" applyFont="true"/>
    <xf numFmtId="177" fontId="7751" fillId="0" borderId="0" xfId="0" applyNumberFormat="true" applyFill="true" applyBorder="true" applyFont="true"/>
    <xf numFmtId="175" fontId="7752" fillId="0" borderId="0" xfId="0" applyNumberFormat="true" applyFill="true" applyBorder="true" applyFont="true"/>
    <xf numFmtId="175" fontId="7753" fillId="0" borderId="0" xfId="0" applyNumberFormat="true" applyFill="true" applyBorder="true" applyFont="true"/>
    <xf xmlns:main="http://schemas.openxmlformats.org/spreadsheetml/2006/main" numFmtId="0" fontId="775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55" fillId="0" borderId="0" xfId="0" applyAlignment="1" applyFill="true" applyBorder="true" applyNumberFormat="true" applyFont="true">
      <main:alignment horizontal="right"/>
    </xf>
    <xf numFmtId="176" fontId="7756" fillId="0" borderId="0" xfId="0" applyNumberFormat="true" applyFill="true" applyBorder="true" applyFont="true"/>
    <xf numFmtId="177" fontId="7757" fillId="0" borderId="0" xfId="0" applyNumberFormat="true" applyFill="true" applyBorder="true" applyFont="true"/>
    <xf numFmtId="177" fontId="7758" fillId="0" borderId="0" xfId="0" applyNumberFormat="true" applyFill="true" applyBorder="true" applyFont="true"/>
    <xf numFmtId="177" fontId="7759" fillId="0" borderId="0" xfId="0" applyNumberFormat="true" applyFill="true" applyBorder="true" applyFont="true"/>
    <xf numFmtId="175" fontId="7760" fillId="0" borderId="0" xfId="0" applyNumberFormat="true" applyFill="true" applyBorder="true" applyFont="true"/>
    <xf xmlns:main="http://schemas.openxmlformats.org/spreadsheetml/2006/main" numFmtId="0" fontId="7761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62" fillId="0" borderId="0" xfId="0" applyAlignment="1" applyFill="true" applyBorder="true" applyNumberFormat="true" applyFont="true">
      <main:alignment horizontal="right"/>
    </xf>
    <xf numFmtId="175" fontId="7763" fillId="0" borderId="0" xfId="0" applyNumberFormat="true" applyFill="true" applyBorder="true" applyFont="true"/>
    <xf xmlns:main="http://schemas.openxmlformats.org/spreadsheetml/2006/main" numFmtId="0" fontId="776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65" fillId="0" borderId="0" xfId="0" applyAlignment="1" applyFill="true" applyBorder="true" applyNumberFormat="true" applyFont="true">
      <main:alignment horizontal="right"/>
    </xf>
    <xf numFmtId="176" fontId="7766" fillId="0" borderId="0" xfId="0" applyNumberFormat="true" applyFill="true" applyBorder="true" applyFont="true"/>
    <xf numFmtId="177" fontId="7767" fillId="0" borderId="0" xfId="0" applyNumberFormat="true" applyFill="true" applyBorder="true" applyFont="true"/>
    <xf numFmtId="177" fontId="7768" fillId="0" borderId="0" xfId="0" applyNumberFormat="true" applyFill="true" applyBorder="true" applyFont="true"/>
    <xf numFmtId="177" fontId="7769" fillId="0" borderId="0" xfId="0" applyNumberFormat="true" applyFill="true" applyBorder="true" applyFont="true"/>
    <xf numFmtId="175" fontId="7770" fillId="0" borderId="0" xfId="0" applyNumberFormat="true" applyFill="true" applyBorder="true" applyFont="true"/>
    <xf xmlns:main="http://schemas.openxmlformats.org/spreadsheetml/2006/main" numFmtId="0" fontId="7771" fillId="0" borderId="0" xfId="0" applyAlignment="1" applyFill="true" applyBorder="true" applyNumberFormat="true" applyFont="true">
      <main:alignment horizontal="right"/>
    </xf>
    <xf numFmtId="175" fontId="7772" fillId="0" borderId="0" xfId="0" applyNumberFormat="true" applyFill="true" applyBorder="true" applyFont="true"/>
    <xf xmlns:main="http://schemas.openxmlformats.org/spreadsheetml/2006/main" numFmtId="0" fontId="7773" fillId="0" borderId="0" xfId="0" applyAlignment="1" applyFill="true" applyBorder="true" applyNumberFormat="true" applyFont="true">
      <main:alignment horizontal="right"/>
    </xf>
    <xf numFmtId="176" fontId="7774" fillId="0" borderId="0" xfId="0" applyNumberFormat="true" applyFill="true" applyBorder="true" applyFont="true"/>
    <xf numFmtId="177" fontId="7775" fillId="0" borderId="0" xfId="0" applyNumberFormat="true" applyFill="true" applyBorder="true" applyFont="true"/>
    <xf numFmtId="177" fontId="7776" fillId="0" borderId="0" xfId="0" applyNumberFormat="true" applyFill="true" applyBorder="true" applyFont="true"/>
    <xf numFmtId="177" fontId="7777" fillId="0" borderId="0" xfId="0" applyNumberFormat="true" applyFill="true" applyBorder="true" applyFont="true"/>
    <xf numFmtId="175" fontId="7778" fillId="0" borderId="0" xfId="0" applyNumberFormat="true" applyFill="true" applyBorder="true" applyFont="true"/>
    <xf numFmtId="175" fontId="7779" fillId="0" borderId="0" xfId="0" applyNumberFormat="true" applyFill="true" applyBorder="true" applyFont="true"/>
    <xf xmlns:main="http://schemas.openxmlformats.org/spreadsheetml/2006/main" numFmtId="0" fontId="778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81" fillId="0" borderId="0" xfId="0" applyAlignment="1" applyFill="true" applyBorder="true" applyNumberFormat="true" applyFont="true">
      <main:alignment horizontal="right"/>
    </xf>
    <xf numFmtId="176" fontId="7782" fillId="0" borderId="0" xfId="0" applyNumberFormat="true" applyFill="true" applyBorder="true" applyFont="true"/>
    <xf numFmtId="177" fontId="7783" fillId="0" borderId="0" xfId="0" applyNumberFormat="true" applyFill="true" applyBorder="true" applyFont="true"/>
    <xf numFmtId="177" fontId="7784" fillId="0" borderId="0" xfId="0" applyNumberFormat="true" applyFill="true" applyBorder="true" applyFont="true"/>
    <xf numFmtId="177" fontId="7785" fillId="0" borderId="0" xfId="0" applyNumberFormat="true" applyFill="true" applyBorder="true" applyFont="true"/>
    <xf numFmtId="175" fontId="7786" fillId="0" borderId="0" xfId="0" applyNumberFormat="true" applyFill="true" applyBorder="true" applyFont="true"/>
    <xf xmlns:main="http://schemas.openxmlformats.org/spreadsheetml/2006/main" numFmtId="0" fontId="778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88" fillId="0" borderId="0" xfId="0" applyAlignment="1" applyFill="true" applyBorder="true" applyNumberFormat="true" applyFont="true">
      <main:alignment horizontal="right"/>
    </xf>
    <xf numFmtId="175" fontId="7789" fillId="0" borderId="0" xfId="0" applyNumberFormat="true" applyFill="true" applyBorder="true" applyFont="true"/>
    <xf xmlns:main="http://schemas.openxmlformats.org/spreadsheetml/2006/main" numFmtId="0" fontId="779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91" fillId="0" borderId="0" xfId="0" applyAlignment="1" applyFill="true" applyBorder="true" applyNumberFormat="true" applyFont="true">
      <main:alignment horizontal="right"/>
    </xf>
    <xf numFmtId="176" fontId="7792" fillId="0" borderId="0" xfId="0" applyNumberFormat="true" applyFill="true" applyBorder="true" applyFont="true"/>
    <xf numFmtId="177" fontId="7793" fillId="0" borderId="0" xfId="0" applyNumberFormat="true" applyFill="true" applyBorder="true" applyFont="true"/>
    <xf numFmtId="177" fontId="7794" fillId="0" borderId="0" xfId="0" applyNumberFormat="true" applyFill="true" applyBorder="true" applyFont="true"/>
    <xf numFmtId="177" fontId="7795" fillId="0" borderId="0" xfId="0" applyNumberFormat="true" applyFill="true" applyBorder="true" applyFont="true"/>
    <xf numFmtId="175" fontId="7796" fillId="0" borderId="0" xfId="0" applyNumberFormat="true" applyFill="true" applyBorder="true" applyFont="true"/>
    <xf xmlns:main="http://schemas.openxmlformats.org/spreadsheetml/2006/main" numFmtId="0" fontId="779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798" fillId="0" borderId="0" xfId="0" applyAlignment="1" applyFill="true" applyBorder="true" applyNumberFormat="true" applyFont="true">
      <main:alignment horizontal="right"/>
    </xf>
    <xf numFmtId="175" fontId="7799" fillId="0" borderId="0" xfId="0" applyNumberFormat="true" applyFill="true" applyBorder="true" applyFont="true"/>
    <xf xmlns:main="http://schemas.openxmlformats.org/spreadsheetml/2006/main" numFmtId="0" fontId="780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01" fillId="0" borderId="0" xfId="0" applyAlignment="1" applyFill="true" applyBorder="true" applyNumberFormat="true" applyFont="true">
      <main:alignment horizontal="right"/>
    </xf>
    <xf numFmtId="176" fontId="7802" fillId="0" borderId="0" xfId="0" applyNumberFormat="true" applyFill="true" applyBorder="true" applyFont="true"/>
    <xf numFmtId="177" fontId="7803" fillId="0" borderId="0" xfId="0" applyNumberFormat="true" applyFill="true" applyBorder="true" applyFont="true"/>
    <xf numFmtId="177" fontId="7804" fillId="0" borderId="0" xfId="0" applyNumberFormat="true" applyFill="true" applyBorder="true" applyFont="true"/>
    <xf numFmtId="177" fontId="7805" fillId="0" borderId="0" xfId="0" applyNumberFormat="true" applyFill="true" applyBorder="true" applyFont="true"/>
    <xf numFmtId="175" fontId="7806" fillId="0" borderId="0" xfId="0" applyNumberFormat="true" applyFill="true" applyBorder="true" applyFont="true"/>
    <xf xmlns:main="http://schemas.openxmlformats.org/spreadsheetml/2006/main" numFmtId="0" fontId="780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08" fillId="0" borderId="0" xfId="0" applyAlignment="1" applyFill="true" applyBorder="true" applyNumberFormat="true" applyFont="true">
      <main:alignment horizontal="right"/>
    </xf>
    <xf numFmtId="175" fontId="7809" fillId="0" borderId="0" xfId="0" applyNumberFormat="true" applyFill="true" applyBorder="true" applyFont="true"/>
    <xf xmlns:main="http://schemas.openxmlformats.org/spreadsheetml/2006/main" numFmtId="0" fontId="781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11" fillId="0" borderId="0" xfId="0" applyAlignment="1" applyFill="true" applyBorder="true" applyNumberFormat="true" applyFont="true">
      <main:alignment horizontal="right"/>
    </xf>
    <xf numFmtId="176" fontId="7812" fillId="0" borderId="0" xfId="0" applyNumberFormat="true" applyFill="true" applyBorder="true" applyFont="true"/>
    <xf numFmtId="177" fontId="7813" fillId="0" borderId="0" xfId="0" applyNumberFormat="true" applyFill="true" applyBorder="true" applyFont="true"/>
    <xf numFmtId="177" fontId="7814" fillId="0" borderId="0" xfId="0" applyNumberFormat="true" applyFill="true" applyBorder="true" applyFont="true"/>
    <xf numFmtId="177" fontId="7815" fillId="0" borderId="0" xfId="0" applyNumberFormat="true" applyFill="true" applyBorder="true" applyFont="true"/>
    <xf numFmtId="175" fontId="7816" fillId="0" borderId="0" xfId="0" applyNumberFormat="true" applyFill="true" applyBorder="true" applyFont="true"/>
    <xf xmlns:main="http://schemas.openxmlformats.org/spreadsheetml/2006/main" numFmtId="0" fontId="781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18" fillId="0" borderId="0" xfId="0" applyAlignment="1" applyFill="true" applyBorder="true" applyNumberFormat="true" applyFont="true">
      <main:alignment horizontal="right"/>
    </xf>
    <xf numFmtId="175" fontId="7819" fillId="0" borderId="0" xfId="0" applyNumberFormat="true" applyFill="true" applyBorder="true" applyFont="true"/>
    <xf xmlns:main="http://schemas.openxmlformats.org/spreadsheetml/2006/main" numFmtId="0" fontId="7820" fillId="0" borderId="0" xfId="0" applyAlignment="1" applyFill="true" applyBorder="true" applyNumberFormat="true" applyFont="true">
      <main:alignment horizontal="right"/>
    </xf>
    <xf numFmtId="176" fontId="7821" fillId="0" borderId="0" xfId="0" applyNumberFormat="true" applyFill="true" applyBorder="true" applyFont="true"/>
    <xf numFmtId="177" fontId="7822" fillId="0" borderId="0" xfId="0" applyNumberFormat="true" applyFill="true" applyBorder="true" applyFont="true"/>
    <xf numFmtId="177" fontId="7823" fillId="0" borderId="0" xfId="0" applyNumberFormat="true" applyFill="true" applyBorder="true" applyFont="true"/>
    <xf numFmtId="177" fontId="7824" fillId="0" borderId="0" xfId="0" applyNumberFormat="true" applyFill="true" applyBorder="true" applyFont="true"/>
    <xf numFmtId="175" fontId="7825" fillId="0" borderId="0" xfId="0" applyNumberFormat="true" applyFill="true" applyBorder="true" applyFont="true"/>
    <xf numFmtId="175" fontId="7826" fillId="0" borderId="0" xfId="0" applyNumberFormat="true" applyFill="true" applyBorder="true" applyFont="true"/>
    <xf xmlns:main="http://schemas.openxmlformats.org/spreadsheetml/2006/main" numFmtId="0" fontId="7827" fillId="0" borderId="0" xfId="0" applyAlignment="1" applyFill="true" applyBorder="true" applyNumberFormat="true" applyFont="true">
      <main:alignment horizontal="right"/>
    </xf>
    <xf numFmtId="176" fontId="7828" fillId="0" borderId="0" xfId="0" applyNumberFormat="true" applyFill="true" applyBorder="true" applyFont="true"/>
    <xf numFmtId="177" fontId="7829" fillId="0" borderId="0" xfId="0" applyNumberFormat="true" applyFill="true" applyBorder="true" applyFont="true"/>
    <xf numFmtId="177" fontId="7830" fillId="0" borderId="0" xfId="0" applyNumberFormat="true" applyFill="true" applyBorder="true" applyFont="true"/>
    <xf numFmtId="177" fontId="7831" fillId="0" borderId="0" xfId="0" applyNumberFormat="true" applyFill="true" applyBorder="true" applyFont="true"/>
    <xf numFmtId="175" fontId="7832" fillId="0" borderId="0" xfId="0" applyNumberFormat="true" applyFill="true" applyBorder="true" applyFont="true"/>
    <xf numFmtId="175" fontId="7833" fillId="0" borderId="0" xfId="0" applyNumberFormat="true" applyFill="true" applyBorder="true" applyFont="true"/>
    <xf xmlns:main="http://schemas.openxmlformats.org/spreadsheetml/2006/main" numFmtId="0" fontId="7834" fillId="0" borderId="0" xfId="0" applyAlignment="1" applyFill="true" applyBorder="true" applyNumberFormat="true" applyFont="true">
      <main:alignment horizontal="right"/>
    </xf>
    <xf numFmtId="176" fontId="7835" fillId="0" borderId="0" xfId="0" applyNumberFormat="true" applyFill="true" applyBorder="true" applyFont="true"/>
    <xf numFmtId="177" fontId="7836" fillId="0" borderId="0" xfId="0" applyNumberFormat="true" applyFill="true" applyBorder="true" applyFont="true"/>
    <xf numFmtId="177" fontId="7837" fillId="0" borderId="0" xfId="0" applyNumberFormat="true" applyFill="true" applyBorder="true" applyFont="true"/>
    <xf numFmtId="177" fontId="7838" fillId="0" borderId="0" xfId="0" applyNumberFormat="true" applyFill="true" applyBorder="true" applyFont="true"/>
    <xf numFmtId="175" fontId="7839" fillId="0" borderId="0" xfId="0" applyNumberFormat="true" applyFill="true" applyBorder="true" applyFont="true"/>
    <xf numFmtId="175" fontId="7840" fillId="0" borderId="0" xfId="0" applyNumberFormat="true" applyFill="true" applyBorder="true" applyFont="true"/>
    <xf xmlns:main="http://schemas.openxmlformats.org/spreadsheetml/2006/main" numFmtId="0" fontId="7841" fillId="0" borderId="0" xfId="0" applyAlignment="1" applyFill="true" applyBorder="true" applyNumberFormat="true" applyFont="true">
      <main:alignment horizontal="right"/>
    </xf>
    <xf numFmtId="176" fontId="7842" fillId="0" borderId="0" xfId="0" applyNumberFormat="true" applyFill="true" applyBorder="true" applyFont="true"/>
    <xf numFmtId="177" fontId="7843" fillId="0" borderId="0" xfId="0" applyNumberFormat="true" applyFill="true" applyBorder="true" applyFont="true"/>
    <xf numFmtId="177" fontId="7844" fillId="0" borderId="0" xfId="0" applyNumberFormat="true" applyFill="true" applyBorder="true" applyFont="true"/>
    <xf numFmtId="177" fontId="7845" fillId="0" borderId="0" xfId="0" applyNumberFormat="true" applyFill="true" applyBorder="true" applyFont="true"/>
    <xf numFmtId="175" fontId="7846" fillId="0" borderId="0" xfId="0" applyNumberFormat="true" applyFill="true" applyBorder="true" applyFont="true"/>
    <xf numFmtId="175" fontId="7847" fillId="0" borderId="0" xfId="0" applyNumberFormat="true" applyFill="true" applyBorder="true" applyFont="true"/>
    <xf xmlns:main="http://schemas.openxmlformats.org/spreadsheetml/2006/main" numFmtId="0" fontId="7848" fillId="0" borderId="0" xfId="0" applyAlignment="1" applyFill="true" applyBorder="true" applyNumberFormat="true" applyFont="true">
      <main:alignment horizontal="right"/>
    </xf>
    <xf numFmtId="176" fontId="7849" fillId="0" borderId="0" xfId="0" applyNumberFormat="true" applyFill="true" applyBorder="true" applyFont="true"/>
    <xf numFmtId="177" fontId="7850" fillId="0" borderId="0" xfId="0" applyNumberFormat="true" applyFill="true" applyBorder="true" applyFont="true"/>
    <xf numFmtId="177" fontId="7851" fillId="0" borderId="0" xfId="0" applyNumberFormat="true" applyFill="true" applyBorder="true" applyFont="true"/>
    <xf numFmtId="177" fontId="7852" fillId="0" borderId="0" xfId="0" applyNumberFormat="true" applyFill="true" applyBorder="true" applyFont="true"/>
    <xf numFmtId="175" fontId="7853" fillId="0" borderId="0" xfId="0" applyNumberFormat="true" applyFill="true" applyBorder="true" applyFont="true"/>
    <xf numFmtId="175" fontId="7854" fillId="0" borderId="0" xfId="0" applyNumberFormat="true" applyFill="true" applyBorder="true" applyFont="true"/>
    <xf xmlns:main="http://schemas.openxmlformats.org/spreadsheetml/2006/main" numFmtId="0" fontId="7855" fillId="0" borderId="0" xfId="0" applyAlignment="1" applyFill="true" applyBorder="true" applyNumberFormat="true" applyFont="true">
      <main:alignment horizontal="right"/>
    </xf>
    <xf numFmtId="176" fontId="7856" fillId="0" borderId="0" xfId="0" applyNumberFormat="true" applyFill="true" applyBorder="true" applyFont="true"/>
    <xf numFmtId="177" fontId="7857" fillId="0" borderId="0" xfId="0" applyNumberFormat="true" applyFill="true" applyBorder="true" applyFont="true"/>
    <xf numFmtId="177" fontId="7858" fillId="0" borderId="0" xfId="0" applyNumberFormat="true" applyFill="true" applyBorder="true" applyFont="true"/>
    <xf numFmtId="177" fontId="7859" fillId="0" borderId="0" xfId="0" applyNumberFormat="true" applyFill="true" applyBorder="true" applyFont="true"/>
    <xf numFmtId="175" fontId="7860" fillId="0" borderId="0" xfId="0" applyNumberFormat="true" applyFill="true" applyBorder="true" applyFont="true"/>
    <xf numFmtId="175" fontId="7861" fillId="0" borderId="0" xfId="0" applyNumberFormat="true" applyFill="true" applyBorder="true" applyFont="true"/>
    <xf xmlns:main="http://schemas.openxmlformats.org/spreadsheetml/2006/main" numFmtId="0" fontId="7862" fillId="0" borderId="0" xfId="0" applyAlignment="1" applyFill="true" applyBorder="true" applyNumberFormat="true" applyFont="true">
      <main:alignment horizontal="right"/>
    </xf>
    <xf numFmtId="176" fontId="7863" fillId="0" borderId="0" xfId="0" applyNumberFormat="true" applyFill="true" applyBorder="true" applyFont="true"/>
    <xf numFmtId="177" fontId="7864" fillId="0" borderId="0" xfId="0" applyNumberFormat="true" applyFill="true" applyBorder="true" applyFont="true"/>
    <xf numFmtId="177" fontId="7865" fillId="0" borderId="0" xfId="0" applyNumberFormat="true" applyFill="true" applyBorder="true" applyFont="true"/>
    <xf numFmtId="177" fontId="7866" fillId="0" borderId="0" xfId="0" applyNumberFormat="true" applyFill="true" applyBorder="true" applyFont="true"/>
    <xf numFmtId="175" fontId="7867" fillId="0" borderId="0" xfId="0" applyNumberFormat="true" applyFill="true" applyBorder="true" applyFont="true"/>
    <xf numFmtId="175" fontId="7868" fillId="0" borderId="0" xfId="0" applyNumberFormat="true" applyFill="true" applyBorder="true" applyFont="true"/>
    <xf xmlns:main="http://schemas.openxmlformats.org/spreadsheetml/2006/main" numFmtId="0" fontId="7869" fillId="0" borderId="0" xfId="0" applyAlignment="1" applyFill="true" applyBorder="true" applyNumberFormat="true" applyFont="true">
      <main:alignment horizontal="right"/>
    </xf>
    <xf numFmtId="176" fontId="7870" fillId="0" borderId="0" xfId="0" applyNumberFormat="true" applyFill="true" applyBorder="true" applyFont="true"/>
    <xf numFmtId="177" fontId="7871" fillId="0" borderId="0" xfId="0" applyNumberFormat="true" applyFill="true" applyBorder="true" applyFont="true"/>
    <xf numFmtId="177" fontId="7872" fillId="0" borderId="0" xfId="0" applyNumberFormat="true" applyFill="true" applyBorder="true" applyFont="true"/>
    <xf numFmtId="177" fontId="7873" fillId="0" borderId="0" xfId="0" applyNumberFormat="true" applyFill="true" applyBorder="true" applyFont="true"/>
    <xf numFmtId="175" fontId="7874" fillId="0" borderId="0" xfId="0" applyNumberFormat="true" applyFill="true" applyBorder="true" applyFont="true"/>
    <xf numFmtId="175" fontId="7875" fillId="0" borderId="0" xfId="0" applyNumberFormat="true" applyFill="true" applyBorder="true" applyFont="true"/>
    <xf xmlns:main="http://schemas.openxmlformats.org/spreadsheetml/2006/main" numFmtId="0" fontId="787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77" fillId="0" borderId="0" xfId="0" applyAlignment="1" applyFill="true" applyBorder="true" applyNumberFormat="true" applyFont="true">
      <main:alignment horizontal="right"/>
    </xf>
    <xf numFmtId="176" fontId="7878" fillId="0" borderId="0" xfId="0" applyNumberFormat="true" applyFill="true" applyBorder="true" applyFont="true"/>
    <xf numFmtId="177" fontId="7879" fillId="0" borderId="0" xfId="0" applyNumberFormat="true" applyFill="true" applyBorder="true" applyFont="true"/>
    <xf numFmtId="177" fontId="7880" fillId="0" borderId="0" xfId="0" applyNumberFormat="true" applyFill="true" applyBorder="true" applyFont="true"/>
    <xf numFmtId="177" fontId="7881" fillId="0" borderId="0" xfId="0" applyNumberFormat="true" applyFill="true" applyBorder="true" applyFont="true"/>
    <xf numFmtId="175" fontId="7882" fillId="0" borderId="0" xfId="0" applyNumberFormat="true" applyFill="true" applyBorder="true" applyFont="true"/>
    <xf xmlns:main="http://schemas.openxmlformats.org/spreadsheetml/2006/main" numFmtId="0" fontId="7883" fillId="0" borderId="0" xfId="0" applyAlignment="1" applyFill="true" applyBorder="true" applyNumberFormat="true" applyFont="true">
      <main:alignment horizontal="right"/>
    </xf>
    <xf numFmtId="175" fontId="7884" fillId="0" borderId="0" xfId="0" applyNumberFormat="true" applyFill="true" applyBorder="true" applyFont="true"/>
    <xf xmlns:main="http://schemas.openxmlformats.org/spreadsheetml/2006/main" numFmtId="0" fontId="788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86" fillId="0" borderId="0" xfId="0" applyAlignment="1" applyFill="true" applyBorder="true" applyNumberFormat="true" applyFont="true">
      <main:alignment horizontal="right"/>
    </xf>
    <xf numFmtId="176" fontId="7887" fillId="0" borderId="0" xfId="0" applyNumberFormat="true" applyFill="true" applyBorder="true" applyFont="true"/>
    <xf numFmtId="177" fontId="7888" fillId="0" borderId="0" xfId="0" applyNumberFormat="true" applyFill="true" applyBorder="true" applyFont="true"/>
    <xf numFmtId="177" fontId="7889" fillId="0" borderId="0" xfId="0" applyNumberFormat="true" applyFill="true" applyBorder="true" applyFont="true"/>
    <xf numFmtId="177" fontId="7890" fillId="0" borderId="0" xfId="0" applyNumberFormat="true" applyFill="true" applyBorder="true" applyFont="true"/>
    <xf numFmtId="175" fontId="7891" fillId="0" borderId="0" xfId="0" applyNumberFormat="true" applyFill="true" applyBorder="true" applyFont="true"/>
    <xf xmlns:main="http://schemas.openxmlformats.org/spreadsheetml/2006/main" numFmtId="0" fontId="7892" fillId="0" borderId="0" xfId="0" applyAlignment="1" applyFill="true" applyBorder="true" applyNumberFormat="true" applyFont="true">
      <main:alignment horizontal="right"/>
    </xf>
    <xf numFmtId="175" fontId="7893" fillId="0" borderId="0" xfId="0" applyNumberFormat="true" applyFill="true" applyBorder="true" applyFont="true"/>
    <xf xmlns:main="http://schemas.openxmlformats.org/spreadsheetml/2006/main" numFmtId="0" fontId="789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895" fillId="0" borderId="0" xfId="0" applyAlignment="1" applyFill="true" applyBorder="true" applyNumberFormat="true" applyFont="true">
      <main:alignment horizontal="right"/>
    </xf>
    <xf numFmtId="176" fontId="7896" fillId="0" borderId="0" xfId="0" applyNumberFormat="true" applyFill="true" applyBorder="true" applyFont="true"/>
    <xf numFmtId="177" fontId="7897" fillId="0" borderId="0" xfId="0" applyNumberFormat="true" applyFill="true" applyBorder="true" applyFont="true"/>
    <xf numFmtId="177" fontId="7898" fillId="0" borderId="0" xfId="0" applyNumberFormat="true" applyFill="true" applyBorder="true" applyFont="true"/>
    <xf numFmtId="177" fontId="7899" fillId="0" borderId="0" xfId="0" applyNumberFormat="true" applyFill="true" applyBorder="true" applyFont="true"/>
    <xf numFmtId="175" fontId="7900" fillId="0" borderId="0" xfId="0" applyNumberFormat="true" applyFill="true" applyBorder="true" applyFont="true"/>
    <xf xmlns:main="http://schemas.openxmlformats.org/spreadsheetml/2006/main" numFmtId="0" fontId="7901" fillId="0" borderId="0" xfId="0" applyAlignment="1" applyFill="true" applyBorder="true" applyNumberFormat="true" applyFont="true">
      <main:alignment horizontal="right"/>
    </xf>
    <xf numFmtId="175" fontId="7902" fillId="0" borderId="0" xfId="0" applyNumberFormat="true" applyFill="true" applyBorder="true" applyFont="true"/>
    <xf xmlns:main="http://schemas.openxmlformats.org/spreadsheetml/2006/main" numFmtId="0" fontId="790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04" fillId="0" borderId="0" xfId="0" applyAlignment="1" applyFill="true" applyBorder="true" applyNumberFormat="true" applyFont="true">
      <main:alignment horizontal="right"/>
    </xf>
    <xf numFmtId="176" fontId="7905" fillId="0" borderId="0" xfId="0" applyNumberFormat="true" applyFill="true" applyBorder="true" applyFont="true"/>
    <xf numFmtId="177" fontId="7906" fillId="0" borderId="0" xfId="0" applyNumberFormat="true" applyFill="true" applyBorder="true" applyFont="true"/>
    <xf numFmtId="177" fontId="7907" fillId="0" borderId="0" xfId="0" applyNumberFormat="true" applyFill="true" applyBorder="true" applyFont="true"/>
    <xf numFmtId="177" fontId="7908" fillId="0" borderId="0" xfId="0" applyNumberFormat="true" applyFill="true" applyBorder="true" applyFont="true"/>
    <xf numFmtId="175" fontId="7909" fillId="0" borderId="0" xfId="0" applyNumberFormat="true" applyFill="true" applyBorder="true" applyFont="true"/>
    <xf xmlns:main="http://schemas.openxmlformats.org/spreadsheetml/2006/main" numFmtId="0" fontId="791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11" fillId="0" borderId="0" xfId="0" applyAlignment="1" applyFill="true" applyBorder="true" applyNumberFormat="true" applyFont="true">
      <main:alignment horizontal="right"/>
    </xf>
    <xf numFmtId="0" fontId="7912" fillId="0" borderId="0" xfId="0" applyFont="true" applyFill="true" applyBorder="true" applyNumberFormat="true"/>
    <xf numFmtId="0" fontId="7913" fillId="0" borderId="0" xfId="0" applyFont="true" applyFill="true" applyBorder="true" applyNumberFormat="true"/>
    <xf numFmtId="0" fontId="7914" fillId="37" borderId="0" xfId="0" applyFont="true" applyFill="true" applyBorder="true" applyNumberFormat="true"/>
    <xf numFmtId="0" fontId="7915" fillId="37" borderId="0" xfId="0" applyFont="true" applyFill="true" applyBorder="true" applyNumberFormat="true"/>
    <xf numFmtId="0" fontId="7916" fillId="37" borderId="0" xfId="0" applyFont="true" applyFill="true" applyBorder="true" applyNumberFormat="true"/>
    <xf numFmtId="0" fontId="7917" fillId="37" borderId="0" xfId="0" applyFont="true" applyFill="true" applyBorder="true" applyNumberFormat="true"/>
    <xf numFmtId="0" fontId="7918" fillId="37" borderId="0" xfId="0" applyFont="true" applyFill="true" applyBorder="true" applyNumberFormat="true"/>
    <xf numFmtId="0" fontId="7919" fillId="37" borderId="0" xfId="0" applyFont="true" applyFill="true" applyBorder="true" applyNumberFormat="true"/>
    <xf numFmtId="0" fontId="7920" fillId="37" borderId="0" xfId="0" applyFont="true" applyFill="true" applyBorder="true" applyNumberFormat="true"/>
    <xf numFmtId="0" fontId="7921" fillId="37" borderId="0" xfId="0" applyFont="true" applyFill="true" applyBorder="true" applyNumberFormat="true"/>
    <xf numFmtId="0" fontId="7922" fillId="37" borderId="0" xfId="0" applyFont="true" applyFill="true" applyBorder="true" applyNumberFormat="true"/>
    <xf numFmtId="0" fontId="7923" fillId="37" borderId="0" xfId="0" applyFont="true" applyFill="true" applyBorder="true" applyNumberFormat="true"/>
    <xf numFmtId="175" fontId="7924" fillId="0" borderId="0" xfId="0" applyNumberFormat="true" applyFill="true" applyBorder="true" applyFont="true"/>
    <xf xmlns:main="http://schemas.openxmlformats.org/spreadsheetml/2006/main" numFmtId="0" fontId="792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26" fillId="0" borderId="0" xfId="0" applyAlignment="1" applyFill="true" applyBorder="true" applyNumberFormat="true" applyFont="true">
      <main:alignment horizontal="right"/>
    </xf>
    <xf numFmtId="176" fontId="7927" fillId="0" borderId="0" xfId="0" applyNumberFormat="true" applyFill="true" applyBorder="true" applyFont="true"/>
    <xf numFmtId="177" fontId="7928" fillId="0" borderId="0" xfId="0" applyNumberFormat="true" applyFill="true" applyBorder="true" applyFont="true"/>
    <xf numFmtId="177" fontId="7929" fillId="0" borderId="0" xfId="0" applyNumberFormat="true" applyFill="true" applyBorder="true" applyFont="true"/>
    <xf numFmtId="177" fontId="7930" fillId="0" borderId="0" xfId="0" applyNumberFormat="true" applyFill="true" applyBorder="true" applyFont="true"/>
    <xf numFmtId="175" fontId="7931" fillId="0" borderId="0" xfId="0" applyNumberFormat="true" applyFill="true" applyBorder="true" applyFont="true"/>
    <xf xmlns:main="http://schemas.openxmlformats.org/spreadsheetml/2006/main" numFmtId="0" fontId="793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33" fillId="0" borderId="0" xfId="0" applyAlignment="1" applyFill="true" applyBorder="true" applyNumberFormat="true" applyFont="true">
      <main:alignment horizontal="right"/>
    </xf>
    <xf numFmtId="175" fontId="7934" fillId="0" borderId="0" xfId="0" applyNumberFormat="true" applyFill="true" applyBorder="true" applyFont="true"/>
    <xf xmlns:main="http://schemas.openxmlformats.org/spreadsheetml/2006/main" numFmtId="0" fontId="793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36" fillId="0" borderId="0" xfId="0" applyAlignment="1" applyFill="true" applyBorder="true" applyNumberFormat="true" applyFont="true">
      <main:alignment horizontal="right"/>
    </xf>
    <xf numFmtId="176" fontId="7937" fillId="0" borderId="0" xfId="0" applyNumberFormat="true" applyFill="true" applyBorder="true" applyFont="true"/>
    <xf numFmtId="177" fontId="7938" fillId="0" borderId="0" xfId="0" applyNumberFormat="true" applyFill="true" applyBorder="true" applyFont="true"/>
    <xf numFmtId="177" fontId="7939" fillId="0" borderId="0" xfId="0" applyNumberFormat="true" applyFill="true" applyBorder="true" applyFont="true"/>
    <xf numFmtId="177" fontId="7940" fillId="0" borderId="0" xfId="0" applyNumberFormat="true" applyFill="true" applyBorder="true" applyFont="true"/>
    <xf numFmtId="175" fontId="7941" fillId="0" borderId="0" xfId="0" applyNumberFormat="true" applyFill="true" applyBorder="true" applyFont="true"/>
    <xf xmlns:main="http://schemas.openxmlformats.org/spreadsheetml/2006/main" numFmtId="0" fontId="794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43" fillId="0" borderId="0" xfId="0" applyAlignment="1" applyFill="true" applyBorder="true" applyNumberFormat="true" applyFont="true">
      <main:alignment horizontal="right"/>
    </xf>
    <xf numFmtId="175" fontId="7944" fillId="0" borderId="0" xfId="0" applyNumberFormat="true" applyFill="true" applyBorder="true" applyFont="true"/>
    <xf xmlns:main="http://schemas.openxmlformats.org/spreadsheetml/2006/main" numFmtId="0" fontId="7945" fillId="0" borderId="0" xfId="0" applyAlignment="1" applyFill="true" applyBorder="true" applyNumberFormat="true" applyFont="true">
      <main:alignment horizontal="right"/>
    </xf>
    <xf numFmtId="176" fontId="7946" fillId="0" borderId="0" xfId="0" applyNumberFormat="true" applyFill="true" applyBorder="true" applyFont="true"/>
    <xf numFmtId="177" fontId="7947" fillId="0" borderId="0" xfId="0" applyNumberFormat="true" applyFill="true" applyBorder="true" applyFont="true"/>
    <xf numFmtId="177" fontId="7948" fillId="0" borderId="0" xfId="0" applyNumberFormat="true" applyFill="true" applyBorder="true" applyFont="true"/>
    <xf numFmtId="177" fontId="7949" fillId="0" borderId="0" xfId="0" applyNumberFormat="true" applyFill="true" applyBorder="true" applyFont="true"/>
    <xf numFmtId="175" fontId="7950" fillId="0" borderId="0" xfId="0" applyNumberFormat="true" applyFill="true" applyBorder="true" applyFont="true"/>
    <xf numFmtId="175" fontId="7951" fillId="0" borderId="0" xfId="0" applyNumberFormat="true" applyFill="true" applyBorder="true" applyFont="true"/>
    <xf xmlns:main="http://schemas.openxmlformats.org/spreadsheetml/2006/main" numFmtId="0" fontId="7952" fillId="0" borderId="0" xfId="0" applyAlignment="1" applyFill="true" applyBorder="true" applyNumberFormat="true" applyFont="true">
      <main:alignment horizontal="right"/>
    </xf>
    <xf numFmtId="176" fontId="7953" fillId="0" borderId="0" xfId="0" applyNumberFormat="true" applyFill="true" applyBorder="true" applyFont="true"/>
    <xf numFmtId="177" fontId="7954" fillId="0" borderId="0" xfId="0" applyNumberFormat="true" applyFill="true" applyBorder="true" applyFont="true"/>
    <xf numFmtId="177" fontId="7955" fillId="0" borderId="0" xfId="0" applyNumberFormat="true" applyFill="true" applyBorder="true" applyFont="true"/>
    <xf numFmtId="177" fontId="7956" fillId="0" borderId="0" xfId="0" applyNumberFormat="true" applyFill="true" applyBorder="true" applyFont="true"/>
    <xf numFmtId="175" fontId="7957" fillId="0" borderId="0" xfId="0" applyNumberFormat="true" applyFill="true" applyBorder="true" applyFont="true"/>
    <xf numFmtId="175" fontId="7958" fillId="0" borderId="0" xfId="0" applyNumberFormat="true" applyFill="true" applyBorder="true" applyFont="true"/>
    <xf xmlns:main="http://schemas.openxmlformats.org/spreadsheetml/2006/main" numFmtId="0" fontId="795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60" fillId="0" borderId="0" xfId="0" applyAlignment="1" applyFill="true" applyBorder="true" applyNumberFormat="true" applyFont="true">
      <main:alignment horizontal="right"/>
    </xf>
    <xf numFmtId="176" fontId="7961" fillId="0" borderId="0" xfId="0" applyNumberFormat="true" applyFill="true" applyBorder="true" applyFont="true"/>
    <xf numFmtId="177" fontId="7962" fillId="0" borderId="0" xfId="0" applyNumberFormat="true" applyFill="true" applyBorder="true" applyFont="true"/>
    <xf numFmtId="177" fontId="7963" fillId="0" borderId="0" xfId="0" applyNumberFormat="true" applyFill="true" applyBorder="true" applyFont="true"/>
    <xf numFmtId="177" fontId="7964" fillId="0" borderId="0" xfId="0" applyNumberFormat="true" applyFill="true" applyBorder="true" applyFont="true"/>
    <xf numFmtId="175" fontId="7965" fillId="0" borderId="0" xfId="0" applyNumberFormat="true" applyFill="true" applyBorder="true" applyFont="true"/>
    <xf xmlns:main="http://schemas.openxmlformats.org/spreadsheetml/2006/main" numFmtId="0" fontId="7966" fillId="0" borderId="0" xfId="0" applyAlignment="1" applyFill="true" applyBorder="true" applyNumberFormat="true" applyFont="true">
      <main:alignment horizontal="right"/>
    </xf>
    <xf numFmtId="175" fontId="7967" fillId="0" borderId="0" xfId="0" applyNumberFormat="true" applyFill="true" applyBorder="true" applyFont="true"/>
    <xf xmlns:main="http://schemas.openxmlformats.org/spreadsheetml/2006/main" numFmtId="0" fontId="796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69" fillId="0" borderId="0" xfId="0" applyAlignment="1" applyFill="true" applyBorder="true" applyNumberFormat="true" applyFont="true">
      <main:alignment horizontal="right"/>
    </xf>
    <xf numFmtId="176" fontId="7970" fillId="0" borderId="0" xfId="0" applyNumberFormat="true" applyFill="true" applyBorder="true" applyFont="true"/>
    <xf numFmtId="177" fontId="7971" fillId="0" borderId="0" xfId="0" applyNumberFormat="true" applyFill="true" applyBorder="true" applyFont="true"/>
    <xf numFmtId="177" fontId="7972" fillId="0" borderId="0" xfId="0" applyNumberFormat="true" applyFill="true" applyBorder="true" applyFont="true"/>
    <xf numFmtId="177" fontId="7973" fillId="0" borderId="0" xfId="0" applyNumberFormat="true" applyFill="true" applyBorder="true" applyFont="true"/>
    <xf numFmtId="175" fontId="7974" fillId="0" borderId="0" xfId="0" applyNumberFormat="true" applyFill="true" applyBorder="true" applyFont="true"/>
    <xf xmlns:main="http://schemas.openxmlformats.org/spreadsheetml/2006/main" numFmtId="0" fontId="7975" fillId="0" borderId="0" xfId="0" applyAlignment="1" applyFill="true" applyBorder="true" applyNumberFormat="true" applyFont="true">
      <main:alignment horizontal="right"/>
    </xf>
    <xf numFmtId="175" fontId="7976" fillId="0" borderId="0" xfId="0" applyNumberFormat="true" applyFill="true" applyBorder="true" applyFont="true"/>
    <xf xmlns:main="http://schemas.openxmlformats.org/spreadsheetml/2006/main" numFmtId="0" fontId="797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78" fillId="0" borderId="0" xfId="0" applyAlignment="1" applyFill="true" applyBorder="true" applyNumberFormat="true" applyFont="true">
      <main:alignment horizontal="right"/>
    </xf>
    <xf numFmtId="176" fontId="7979" fillId="0" borderId="0" xfId="0" applyNumberFormat="true" applyFill="true" applyBorder="true" applyFont="true"/>
    <xf numFmtId="177" fontId="7980" fillId="0" borderId="0" xfId="0" applyNumberFormat="true" applyFill="true" applyBorder="true" applyFont="true"/>
    <xf numFmtId="177" fontId="7981" fillId="0" borderId="0" xfId="0" applyNumberFormat="true" applyFill="true" applyBorder="true" applyFont="true"/>
    <xf numFmtId="177" fontId="7982" fillId="0" borderId="0" xfId="0" applyNumberFormat="true" applyFill="true" applyBorder="true" applyFont="true"/>
    <xf numFmtId="175" fontId="7983" fillId="0" borderId="0" xfId="0" applyNumberFormat="true" applyFill="true" applyBorder="true" applyFont="true"/>
    <xf xmlns:main="http://schemas.openxmlformats.org/spreadsheetml/2006/main" numFmtId="0" fontId="7984" fillId="0" borderId="0" xfId="0" applyAlignment="1" applyFill="true" applyBorder="true" applyNumberFormat="true" applyFont="true">
      <main:alignment horizontal="right"/>
    </xf>
    <xf numFmtId="175" fontId="7985" fillId="0" borderId="0" xfId="0" applyNumberFormat="true" applyFill="true" applyBorder="true" applyFont="true"/>
    <xf xmlns:main="http://schemas.openxmlformats.org/spreadsheetml/2006/main" numFmtId="0" fontId="798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87" fillId="0" borderId="0" xfId="0" applyAlignment="1" applyFill="true" applyBorder="true" applyNumberFormat="true" applyFont="true">
      <main:alignment horizontal="right"/>
    </xf>
    <xf numFmtId="176" fontId="7988" fillId="0" borderId="0" xfId="0" applyNumberFormat="true" applyFill="true" applyBorder="true" applyFont="true"/>
    <xf numFmtId="177" fontId="7989" fillId="0" borderId="0" xfId="0" applyNumberFormat="true" applyFill="true" applyBorder="true" applyFont="true"/>
    <xf numFmtId="177" fontId="7990" fillId="0" borderId="0" xfId="0" applyNumberFormat="true" applyFill="true" applyBorder="true" applyFont="true"/>
    <xf numFmtId="177" fontId="7991" fillId="0" borderId="0" xfId="0" applyNumberFormat="true" applyFill="true" applyBorder="true" applyFont="true"/>
    <xf numFmtId="175" fontId="7992" fillId="0" borderId="0" xfId="0" applyNumberFormat="true" applyFill="true" applyBorder="true" applyFont="true"/>
    <xf xmlns:main="http://schemas.openxmlformats.org/spreadsheetml/2006/main" numFmtId="0" fontId="799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94" fillId="0" borderId="0" xfId="0" applyAlignment="1" applyFill="true" applyBorder="true" applyNumberFormat="true" applyFont="true">
      <main:alignment horizontal="right"/>
    </xf>
    <xf numFmtId="175" fontId="7995" fillId="0" borderId="0" xfId="0" applyNumberFormat="true" applyFill="true" applyBorder="true" applyFont="true"/>
    <xf xmlns:main="http://schemas.openxmlformats.org/spreadsheetml/2006/main" numFmtId="0" fontId="799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7997" fillId="0" borderId="0" xfId="0" applyAlignment="1" applyFill="true" applyBorder="true" applyNumberFormat="true" applyFont="true">
      <main:alignment horizontal="right"/>
    </xf>
    <xf numFmtId="176" fontId="7998" fillId="0" borderId="0" xfId="0" applyNumberFormat="true" applyFill="true" applyBorder="true" applyFont="true"/>
    <xf numFmtId="177" fontId="7999" fillId="0" borderId="0" xfId="0" applyNumberFormat="true" applyFill="true" applyBorder="true" applyFont="true"/>
    <xf numFmtId="177" fontId="8000" fillId="0" borderId="0" xfId="0" applyNumberFormat="true" applyFill="true" applyBorder="true" applyFont="true"/>
    <xf numFmtId="177" fontId="8001" fillId="0" borderId="0" xfId="0" applyNumberFormat="true" applyFill="true" applyBorder="true" applyFont="true"/>
    <xf numFmtId="175" fontId="8002" fillId="0" borderId="0" xfId="0" applyNumberFormat="true" applyFill="true" applyBorder="true" applyFont="true"/>
    <xf xmlns:main="http://schemas.openxmlformats.org/spreadsheetml/2006/main" numFmtId="0" fontId="800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04" fillId="0" borderId="0" xfId="0" applyAlignment="1" applyFill="true" applyBorder="true" applyNumberFormat="true" applyFont="true">
      <main:alignment horizontal="right"/>
    </xf>
    <xf numFmtId="175" fontId="8005" fillId="0" borderId="0" xfId="0" applyNumberFormat="true" applyFill="true" applyBorder="true" applyFont="true"/>
    <xf xmlns:main="http://schemas.openxmlformats.org/spreadsheetml/2006/main" numFmtId="0" fontId="800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07" fillId="0" borderId="0" xfId="0" applyAlignment="1" applyFill="true" applyBorder="true" applyNumberFormat="true" applyFont="true">
      <main:alignment horizontal="right"/>
    </xf>
    <xf numFmtId="176" fontId="8008" fillId="0" borderId="0" xfId="0" applyNumberFormat="true" applyFill="true" applyBorder="true" applyFont="true"/>
    <xf numFmtId="177" fontId="8009" fillId="0" borderId="0" xfId="0" applyNumberFormat="true" applyFill="true" applyBorder="true" applyFont="true"/>
    <xf numFmtId="177" fontId="8010" fillId="0" borderId="0" xfId="0" applyNumberFormat="true" applyFill="true" applyBorder="true" applyFont="true"/>
    <xf numFmtId="177" fontId="8011" fillId="0" borderId="0" xfId="0" applyNumberFormat="true" applyFill="true" applyBorder="true" applyFont="true"/>
    <xf numFmtId="175" fontId="8012" fillId="0" borderId="0" xfId="0" applyNumberFormat="true" applyFill="true" applyBorder="true" applyFont="true"/>
    <xf xmlns:main="http://schemas.openxmlformats.org/spreadsheetml/2006/main" numFmtId="0" fontId="801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14" fillId="0" borderId="0" xfId="0" applyAlignment="1" applyFill="true" applyBorder="true" applyNumberFormat="true" applyFont="true">
      <main:alignment horizontal="right"/>
    </xf>
    <xf numFmtId="175" fontId="8015" fillId="0" borderId="0" xfId="0" applyNumberFormat="true" applyFill="true" applyBorder="true" applyFont="true"/>
    <xf xmlns:main="http://schemas.openxmlformats.org/spreadsheetml/2006/main" numFmtId="0" fontId="801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17" fillId="0" borderId="0" xfId="0" applyAlignment="1" applyFill="true" applyBorder="true" applyNumberFormat="true" applyFont="true">
      <main:alignment horizontal="right"/>
    </xf>
    <xf numFmtId="176" fontId="8018" fillId="0" borderId="0" xfId="0" applyNumberFormat="true" applyFill="true" applyBorder="true" applyFont="true"/>
    <xf numFmtId="177" fontId="8019" fillId="0" borderId="0" xfId="0" applyNumberFormat="true" applyFill="true" applyBorder="true" applyFont="true"/>
    <xf numFmtId="177" fontId="8020" fillId="0" borderId="0" xfId="0" applyNumberFormat="true" applyFill="true" applyBorder="true" applyFont="true"/>
    <xf numFmtId="177" fontId="8021" fillId="0" borderId="0" xfId="0" applyNumberFormat="true" applyFill="true" applyBorder="true" applyFont="true"/>
    <xf numFmtId="175" fontId="8022" fillId="0" borderId="0" xfId="0" applyNumberFormat="true" applyFill="true" applyBorder="true" applyFont="true"/>
    <xf xmlns:main="http://schemas.openxmlformats.org/spreadsheetml/2006/main" numFmtId="0" fontId="802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24" fillId="0" borderId="0" xfId="0" applyAlignment="1" applyFill="true" applyBorder="true" applyNumberFormat="true" applyFont="true">
      <main:alignment horizontal="right"/>
    </xf>
    <xf numFmtId="175" fontId="8025" fillId="0" borderId="0" xfId="0" applyNumberFormat="true" applyFill="true" applyBorder="true" applyFont="true"/>
    <xf xmlns:main="http://schemas.openxmlformats.org/spreadsheetml/2006/main" numFmtId="0" fontId="8026" fillId="0" borderId="0" xfId="0" applyAlignment="1" applyFill="true" applyBorder="true" applyNumberFormat="true" applyFont="true">
      <main:alignment horizontal="right"/>
    </xf>
    <xf numFmtId="176" fontId="8027" fillId="0" borderId="0" xfId="0" applyNumberFormat="true" applyFill="true" applyBorder="true" applyFont="true"/>
    <xf numFmtId="177" fontId="8028" fillId="0" borderId="0" xfId="0" applyNumberFormat="true" applyFill="true" applyBorder="true" applyFont="true"/>
    <xf numFmtId="177" fontId="8029" fillId="0" borderId="0" xfId="0" applyNumberFormat="true" applyFill="true" applyBorder="true" applyFont="true"/>
    <xf numFmtId="177" fontId="8030" fillId="0" borderId="0" xfId="0" applyNumberFormat="true" applyFill="true" applyBorder="true" applyFont="true"/>
    <xf numFmtId="175" fontId="8031" fillId="0" borderId="0" xfId="0" applyNumberFormat="true" applyFill="true" applyBorder="true" applyFont="true"/>
    <xf numFmtId="175" fontId="8032" fillId="0" borderId="0" xfId="0" applyNumberFormat="true" applyFill="true" applyBorder="true" applyFont="true"/>
    <xf xmlns:main="http://schemas.openxmlformats.org/spreadsheetml/2006/main" numFmtId="0" fontId="8033" fillId="0" borderId="0" xfId="0" applyAlignment="1" applyFill="true" applyBorder="true" applyNumberFormat="true" applyFont="true">
      <main:alignment horizontal="right"/>
    </xf>
    <xf numFmtId="176" fontId="8034" fillId="0" borderId="0" xfId="0" applyNumberFormat="true" applyFill="true" applyBorder="true" applyFont="true"/>
    <xf numFmtId="177" fontId="8035" fillId="0" borderId="0" xfId="0" applyNumberFormat="true" applyFill="true" applyBorder="true" applyFont="true"/>
    <xf numFmtId="177" fontId="8036" fillId="0" borderId="0" xfId="0" applyNumberFormat="true" applyFill="true" applyBorder="true" applyFont="true"/>
    <xf numFmtId="177" fontId="8037" fillId="0" borderId="0" xfId="0" applyNumberFormat="true" applyFill="true" applyBorder="true" applyFont="true"/>
    <xf numFmtId="175" fontId="8038" fillId="0" borderId="0" xfId="0" applyNumberFormat="true" applyFill="true" applyBorder="true" applyFont="true"/>
    <xf numFmtId="175" fontId="8039" fillId="0" borderId="0" xfId="0" applyNumberFormat="true" applyFill="true" applyBorder="true" applyFont="true"/>
    <xf xmlns:main="http://schemas.openxmlformats.org/spreadsheetml/2006/main" numFmtId="0" fontId="8040" fillId="0" borderId="0" xfId="0" applyAlignment="1" applyFill="true" applyBorder="true" applyNumberFormat="true" applyFont="true">
      <main:alignment horizontal="right"/>
    </xf>
    <xf numFmtId="176" fontId="8041" fillId="0" borderId="0" xfId="0" applyNumberFormat="true" applyFill="true" applyBorder="true" applyFont="true"/>
    <xf numFmtId="177" fontId="8042" fillId="0" borderId="0" xfId="0" applyNumberFormat="true" applyFill="true" applyBorder="true" applyFont="true"/>
    <xf numFmtId="177" fontId="8043" fillId="0" borderId="0" xfId="0" applyNumberFormat="true" applyFill="true" applyBorder="true" applyFont="true"/>
    <xf numFmtId="177" fontId="8044" fillId="0" borderId="0" xfId="0" applyNumberFormat="true" applyFill="true" applyBorder="true" applyFont="true"/>
    <xf numFmtId="175" fontId="8045" fillId="0" borderId="0" xfId="0" applyNumberFormat="true" applyFill="true" applyBorder="true" applyFont="true"/>
    <xf numFmtId="175" fontId="8046" fillId="0" borderId="0" xfId="0" applyNumberFormat="true" applyFill="true" applyBorder="true" applyFont="true"/>
    <xf xmlns:main="http://schemas.openxmlformats.org/spreadsheetml/2006/main" numFmtId="0" fontId="804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48" fillId="0" borderId="0" xfId="0" applyAlignment="1" applyFill="true" applyBorder="true" applyNumberFormat="true" applyFont="true">
      <main:alignment horizontal="right"/>
    </xf>
    <xf numFmtId="176" fontId="8049" fillId="0" borderId="0" xfId="0" applyNumberFormat="true" applyFill="true" applyBorder="true" applyFont="true"/>
    <xf numFmtId="177" fontId="8050" fillId="0" borderId="0" xfId="0" applyNumberFormat="true" applyFill="true" applyBorder="true" applyFont="true"/>
    <xf numFmtId="177" fontId="8051" fillId="0" borderId="0" xfId="0" applyNumberFormat="true" applyFill="true" applyBorder="true" applyFont="true"/>
    <xf numFmtId="177" fontId="8052" fillId="0" borderId="0" xfId="0" applyNumberFormat="true" applyFill="true" applyBorder="true" applyFont="true"/>
    <xf numFmtId="175" fontId="8053" fillId="0" borderId="0" xfId="0" applyNumberFormat="true" applyFill="true" applyBorder="true" applyFont="true"/>
    <xf xmlns:main="http://schemas.openxmlformats.org/spreadsheetml/2006/main" numFmtId="0" fontId="8054" fillId="0" borderId="0" xfId="0" applyAlignment="1" applyFill="true" applyBorder="true" applyNumberFormat="true" applyFont="true">
      <main:alignment horizontal="right"/>
    </xf>
    <xf numFmtId="175" fontId="8055" fillId="0" borderId="0" xfId="0" applyNumberFormat="true" applyFill="true" applyBorder="true" applyFont="true"/>
    <xf xmlns:main="http://schemas.openxmlformats.org/spreadsheetml/2006/main" numFmtId="0" fontId="8056" fillId="0" borderId="0" xfId="0" applyAlignment="1" applyFill="true" applyBorder="true" applyNumberFormat="true" applyFont="true">
      <main:alignment horizontal="right"/>
    </xf>
    <xf numFmtId="176" fontId="8057" fillId="0" borderId="0" xfId="0" applyNumberFormat="true" applyFill="true" applyBorder="true" applyFont="true"/>
    <xf numFmtId="177" fontId="8058" fillId="0" borderId="0" xfId="0" applyNumberFormat="true" applyFill="true" applyBorder="true" applyFont="true"/>
    <xf numFmtId="177" fontId="8059" fillId="0" borderId="0" xfId="0" applyNumberFormat="true" applyFill="true" applyBorder="true" applyFont="true"/>
    <xf numFmtId="177" fontId="8060" fillId="0" borderId="0" xfId="0" applyNumberFormat="true" applyFill="true" applyBorder="true" applyFont="true"/>
    <xf numFmtId="175" fontId="8061" fillId="0" borderId="0" xfId="0" applyNumberFormat="true" applyFill="true" applyBorder="true" applyFont="true"/>
    <xf numFmtId="175" fontId="8062" fillId="0" borderId="0" xfId="0" applyNumberFormat="true" applyFill="true" applyBorder="true" applyFont="true"/>
    <xf xmlns:main="http://schemas.openxmlformats.org/spreadsheetml/2006/main" numFmtId="0" fontId="8063" fillId="0" borderId="0" xfId="0" applyAlignment="1" applyFill="true" applyBorder="true" applyNumberFormat="true" applyFont="true">
      <main:alignment horizontal="right"/>
    </xf>
    <xf numFmtId="176" fontId="8064" fillId="0" borderId="0" xfId="0" applyNumberFormat="true" applyFill="true" applyBorder="true" applyFont="true"/>
    <xf numFmtId="177" fontId="8065" fillId="0" borderId="0" xfId="0" applyNumberFormat="true" applyFill="true" applyBorder="true" applyFont="true"/>
    <xf numFmtId="177" fontId="8066" fillId="0" borderId="0" xfId="0" applyNumberFormat="true" applyFill="true" applyBorder="true" applyFont="true"/>
    <xf numFmtId="177" fontId="8067" fillId="0" borderId="0" xfId="0" applyNumberFormat="true" applyFill="true" applyBorder="true" applyFont="true"/>
    <xf numFmtId="175" fontId="8068" fillId="0" borderId="0" xfId="0" applyNumberFormat="true" applyFill="true" applyBorder="true" applyFont="true"/>
    <xf numFmtId="175" fontId="8069" fillId="0" borderId="0" xfId="0" applyNumberFormat="true" applyFill="true" applyBorder="true" applyFont="true"/>
    <xf xmlns:main="http://schemas.openxmlformats.org/spreadsheetml/2006/main" numFmtId="0" fontId="8070" fillId="0" borderId="0" xfId="0" applyAlignment="1" applyFill="true" applyBorder="true" applyNumberFormat="true" applyFont="true">
      <main:alignment horizontal="right"/>
    </xf>
    <xf numFmtId="176" fontId="8071" fillId="0" borderId="0" xfId="0" applyNumberFormat="true" applyFill="true" applyBorder="true" applyFont="true"/>
    <xf numFmtId="177" fontId="8072" fillId="0" borderId="0" xfId="0" applyNumberFormat="true" applyFill="true" applyBorder="true" applyFont="true"/>
    <xf numFmtId="177" fontId="8073" fillId="0" borderId="0" xfId="0" applyNumberFormat="true" applyFill="true" applyBorder="true" applyFont="true"/>
    <xf numFmtId="177" fontId="8074" fillId="0" borderId="0" xfId="0" applyNumberFormat="true" applyFill="true" applyBorder="true" applyFont="true"/>
    <xf numFmtId="175" fontId="8075" fillId="0" borderId="0" xfId="0" applyNumberFormat="true" applyFill="true" applyBorder="true" applyFont="true"/>
    <xf numFmtId="175" fontId="8076" fillId="0" borderId="0" xfId="0" applyNumberFormat="true" applyFill="true" applyBorder="true" applyFont="true"/>
    <xf xmlns:main="http://schemas.openxmlformats.org/spreadsheetml/2006/main" numFmtId="0" fontId="8077" fillId="0" borderId="0" xfId="0" applyAlignment="1" applyFill="true" applyBorder="true" applyNumberFormat="true" applyFont="true">
      <main:alignment horizontal="right"/>
    </xf>
    <xf numFmtId="176" fontId="8078" fillId="0" borderId="0" xfId="0" applyNumberFormat="true" applyFill="true" applyBorder="true" applyFont="true"/>
    <xf numFmtId="177" fontId="8079" fillId="0" borderId="0" xfId="0" applyNumberFormat="true" applyFill="true" applyBorder="true" applyFont="true"/>
    <xf numFmtId="177" fontId="8080" fillId="0" borderId="0" xfId="0" applyNumberFormat="true" applyFill="true" applyBorder="true" applyFont="true"/>
    <xf numFmtId="177" fontId="8081" fillId="0" borderId="0" xfId="0" applyNumberFormat="true" applyFill="true" applyBorder="true" applyFont="true"/>
    <xf numFmtId="175" fontId="8082" fillId="0" borderId="0" xfId="0" applyNumberFormat="true" applyFill="true" applyBorder="true" applyFont="true"/>
    <xf numFmtId="175" fontId="8083" fillId="0" borderId="0" xfId="0" applyNumberFormat="true" applyFill="true" applyBorder="true" applyFont="true"/>
    <xf xmlns:main="http://schemas.openxmlformats.org/spreadsheetml/2006/main" numFmtId="0" fontId="808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85" fillId="0" borderId="0" xfId="0" applyAlignment="1" applyFill="true" applyBorder="true" applyNumberFormat="true" applyFont="true">
      <main:alignment horizontal="right"/>
    </xf>
    <xf numFmtId="176" fontId="8086" fillId="0" borderId="0" xfId="0" applyNumberFormat="true" applyFill="true" applyBorder="true" applyFont="true"/>
    <xf numFmtId="177" fontId="8087" fillId="0" borderId="0" xfId="0" applyNumberFormat="true" applyFill="true" applyBorder="true" applyFont="true"/>
    <xf numFmtId="177" fontId="8088" fillId="0" borderId="0" xfId="0" applyNumberFormat="true" applyFill="true" applyBorder="true" applyFont="true"/>
    <xf numFmtId="177" fontId="8089" fillId="0" borderId="0" xfId="0" applyNumberFormat="true" applyFill="true" applyBorder="true" applyFont="true"/>
    <xf numFmtId="175" fontId="8090" fillId="0" borderId="0" xfId="0" applyNumberFormat="true" applyFill="true" applyBorder="true" applyFont="true"/>
    <xf xmlns:main="http://schemas.openxmlformats.org/spreadsheetml/2006/main" numFmtId="0" fontId="8091" fillId="0" borderId="0" xfId="0" applyAlignment="1" applyFill="true" applyBorder="true" applyNumberFormat="true" applyFont="true">
      <main:alignment horizontal="right"/>
    </xf>
    <xf numFmtId="175" fontId="8092" fillId="0" borderId="0" xfId="0" applyNumberFormat="true" applyFill="true" applyBorder="true" applyFont="true"/>
    <xf xmlns:main="http://schemas.openxmlformats.org/spreadsheetml/2006/main" numFmtId="0" fontId="809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094" fillId="0" borderId="0" xfId="0" applyAlignment="1" applyFill="true" applyBorder="true" applyNumberFormat="true" applyFont="true">
      <main:alignment horizontal="right"/>
    </xf>
    <xf numFmtId="176" fontId="8095" fillId="0" borderId="0" xfId="0" applyNumberFormat="true" applyFill="true" applyBorder="true" applyFont="true"/>
    <xf numFmtId="177" fontId="8096" fillId="0" borderId="0" xfId="0" applyNumberFormat="true" applyFill="true" applyBorder="true" applyFont="true"/>
    <xf numFmtId="177" fontId="8097" fillId="0" borderId="0" xfId="0" applyNumberFormat="true" applyFill="true" applyBorder="true" applyFont="true"/>
    <xf numFmtId="177" fontId="8098" fillId="0" borderId="0" xfId="0" applyNumberFormat="true" applyFill="true" applyBorder="true" applyFont="true"/>
    <xf numFmtId="175" fontId="8099" fillId="0" borderId="0" xfId="0" applyNumberFormat="true" applyFill="true" applyBorder="true" applyFont="true"/>
    <xf xmlns:main="http://schemas.openxmlformats.org/spreadsheetml/2006/main" numFmtId="0" fontId="8100" fillId="0" borderId="0" xfId="0" applyAlignment="1" applyFill="true" applyBorder="true" applyNumberFormat="true" applyFont="true">
      <main:alignment horizontal="right"/>
    </xf>
    <xf numFmtId="175" fontId="8101" fillId="0" borderId="0" xfId="0" applyNumberFormat="true" applyFill="true" applyBorder="true" applyFont="true"/>
    <xf xmlns:main="http://schemas.openxmlformats.org/spreadsheetml/2006/main" numFmtId="0" fontId="810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03" fillId="0" borderId="0" xfId="0" applyAlignment="1" applyFill="true" applyBorder="true" applyNumberFormat="true" applyFont="true">
      <main:alignment horizontal="right"/>
    </xf>
    <xf numFmtId="176" fontId="8104" fillId="0" borderId="0" xfId="0" applyNumberFormat="true" applyFill="true" applyBorder="true" applyFont="true"/>
    <xf numFmtId="177" fontId="8105" fillId="0" borderId="0" xfId="0" applyNumberFormat="true" applyFill="true" applyBorder="true" applyFont="true"/>
    <xf numFmtId="177" fontId="8106" fillId="0" borderId="0" xfId="0" applyNumberFormat="true" applyFill="true" applyBorder="true" applyFont="true"/>
    <xf numFmtId="177" fontId="8107" fillId="0" borderId="0" xfId="0" applyNumberFormat="true" applyFill="true" applyBorder="true" applyFont="true"/>
    <xf numFmtId="175" fontId="8108" fillId="0" borderId="0" xfId="0" applyNumberFormat="true" applyFill="true" applyBorder="true" applyFont="true"/>
    <xf xmlns:main="http://schemas.openxmlformats.org/spreadsheetml/2006/main" numFmtId="0" fontId="8109" fillId="0" borderId="0" xfId="0" applyAlignment="1" applyFill="true" applyBorder="true" applyNumberFormat="true" applyFont="true">
      <main:alignment horizontal="right"/>
    </xf>
    <xf numFmtId="175" fontId="8110" fillId="0" borderId="0" xfId="0" applyNumberFormat="true" applyFill="true" applyBorder="true" applyFont="true"/>
    <xf xmlns:main="http://schemas.openxmlformats.org/spreadsheetml/2006/main" numFmtId="0" fontId="8111" fillId="0" borderId="0" xfId="0" applyAlignment="1" applyFill="true" applyBorder="true" applyNumberFormat="true" applyFont="true">
      <main:alignment horizontal="right"/>
    </xf>
    <xf numFmtId="176" fontId="8112" fillId="0" borderId="0" xfId="0" applyNumberFormat="true" applyFill="true" applyBorder="true" applyFont="true"/>
    <xf numFmtId="177" fontId="8113" fillId="0" borderId="0" xfId="0" applyNumberFormat="true" applyFill="true" applyBorder="true" applyFont="true"/>
    <xf numFmtId="177" fontId="8114" fillId="0" borderId="0" xfId="0" applyNumberFormat="true" applyFill="true" applyBorder="true" applyFont="true"/>
    <xf numFmtId="177" fontId="8115" fillId="0" borderId="0" xfId="0" applyNumberFormat="true" applyFill="true" applyBorder="true" applyFont="true"/>
    <xf numFmtId="175" fontId="8116" fillId="0" borderId="0" xfId="0" applyNumberFormat="true" applyFill="true" applyBorder="true" applyFont="true"/>
    <xf numFmtId="175" fontId="8117" fillId="0" borderId="0" xfId="0" applyNumberFormat="true" applyFill="true" applyBorder="true" applyFont="true"/>
    <xf xmlns:main="http://schemas.openxmlformats.org/spreadsheetml/2006/main" numFmtId="0" fontId="811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19" fillId="0" borderId="0" xfId="0" applyAlignment="1" applyFill="true" applyBorder="true" applyNumberFormat="true" applyFont="true">
      <main:alignment horizontal="right"/>
    </xf>
    <xf numFmtId="176" fontId="8120" fillId="0" borderId="0" xfId="0" applyNumberFormat="true" applyFill="true" applyBorder="true" applyFont="true"/>
    <xf numFmtId="177" fontId="8121" fillId="0" borderId="0" xfId="0" applyNumberFormat="true" applyFill="true" applyBorder="true" applyFont="true"/>
    <xf numFmtId="177" fontId="8122" fillId="0" borderId="0" xfId="0" applyNumberFormat="true" applyFill="true" applyBorder="true" applyFont="true"/>
    <xf numFmtId="177" fontId="8123" fillId="0" borderId="0" xfId="0" applyNumberFormat="true" applyFill="true" applyBorder="true" applyFont="true"/>
    <xf numFmtId="175" fontId="8124" fillId="0" borderId="0" xfId="0" applyNumberFormat="true" applyFill="true" applyBorder="true" applyFont="true"/>
    <xf xmlns:main="http://schemas.openxmlformats.org/spreadsheetml/2006/main" numFmtId="0" fontId="812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26" fillId="0" borderId="0" xfId="0" applyAlignment="1" applyFill="true" applyBorder="true" applyNumberFormat="true" applyFont="true">
      <main:alignment horizontal="right"/>
    </xf>
    <xf numFmtId="175" fontId="8127" fillId="0" borderId="0" xfId="0" applyNumberFormat="true" applyFill="true" applyBorder="true" applyFont="true"/>
    <xf xmlns:main="http://schemas.openxmlformats.org/spreadsheetml/2006/main" numFmtId="0" fontId="8128" fillId="0" borderId="0" xfId="0" applyAlignment="1" applyFill="true" applyBorder="true" applyNumberFormat="true" applyFont="true">
      <main:alignment horizontal="right"/>
    </xf>
    <xf numFmtId="176" fontId="8129" fillId="0" borderId="0" xfId="0" applyNumberFormat="true" applyFill="true" applyBorder="true" applyFont="true"/>
    <xf numFmtId="177" fontId="8130" fillId="0" borderId="0" xfId="0" applyNumberFormat="true" applyFill="true" applyBorder="true" applyFont="true"/>
    <xf numFmtId="177" fontId="8131" fillId="0" borderId="0" xfId="0" applyNumberFormat="true" applyFill="true" applyBorder="true" applyFont="true"/>
    <xf numFmtId="177" fontId="8132" fillId="0" borderId="0" xfId="0" applyNumberFormat="true" applyFill="true" applyBorder="true" applyFont="true"/>
    <xf numFmtId="175" fontId="8133" fillId="0" borderId="0" xfId="0" applyNumberFormat="true" applyFill="true" applyBorder="true" applyFont="true"/>
    <xf numFmtId="175" fontId="8134" fillId="0" borderId="0" xfId="0" applyNumberFormat="true" applyFill="true" applyBorder="true" applyFont="true"/>
    <xf xmlns:main="http://schemas.openxmlformats.org/spreadsheetml/2006/main" numFmtId="0" fontId="8135" fillId="0" borderId="0" xfId="0" applyAlignment="1" applyFill="true" applyBorder="true" applyNumberFormat="true" applyFont="true">
      <main:alignment horizontal="right"/>
    </xf>
    <xf numFmtId="176" fontId="8136" fillId="0" borderId="0" xfId="0" applyNumberFormat="true" applyFill="true" applyBorder="true" applyFont="true"/>
    <xf numFmtId="177" fontId="8137" fillId="0" borderId="0" xfId="0" applyNumberFormat="true" applyFill="true" applyBorder="true" applyFont="true"/>
    <xf numFmtId="177" fontId="8138" fillId="0" borderId="0" xfId="0" applyNumberFormat="true" applyFill="true" applyBorder="true" applyFont="true"/>
    <xf numFmtId="177" fontId="8139" fillId="0" borderId="0" xfId="0" applyNumberFormat="true" applyFill="true" applyBorder="true" applyFont="true"/>
    <xf numFmtId="175" fontId="8140" fillId="0" borderId="0" xfId="0" applyNumberFormat="true" applyFill="true" applyBorder="true" applyFont="true"/>
    <xf numFmtId="175" fontId="8141" fillId="0" borderId="0" xfId="0" applyNumberFormat="true" applyFill="true" applyBorder="true" applyFont="true"/>
    <xf xmlns:main="http://schemas.openxmlformats.org/spreadsheetml/2006/main" numFmtId="0" fontId="814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43" fillId="0" borderId="0" xfId="0" applyAlignment="1" applyFill="true" applyBorder="true" applyNumberFormat="true" applyFont="true">
      <main:alignment horizontal="right"/>
    </xf>
    <xf numFmtId="176" fontId="8144" fillId="0" borderId="0" xfId="0" applyNumberFormat="true" applyFill="true" applyBorder="true" applyFont="true"/>
    <xf numFmtId="177" fontId="8145" fillId="0" borderId="0" xfId="0" applyNumberFormat="true" applyFill="true" applyBorder="true" applyFont="true"/>
    <xf numFmtId="177" fontId="8146" fillId="0" borderId="0" xfId="0" applyNumberFormat="true" applyFill="true" applyBorder="true" applyFont="true"/>
    <xf numFmtId="177" fontId="8147" fillId="0" borderId="0" xfId="0" applyNumberFormat="true" applyFill="true" applyBorder="true" applyFont="true"/>
    <xf numFmtId="175" fontId="8148" fillId="0" borderId="0" xfId="0" applyNumberFormat="true" applyFill="true" applyBorder="true" applyFont="true"/>
    <xf xmlns:main="http://schemas.openxmlformats.org/spreadsheetml/2006/main" numFmtId="0" fontId="814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50" fillId="0" borderId="0" xfId="0" applyAlignment="1" applyFill="true" applyBorder="true" applyNumberFormat="true" applyFont="true">
      <main:alignment horizontal="right"/>
    </xf>
    <xf numFmtId="175" fontId="8151" fillId="0" borderId="0" xfId="0" applyNumberFormat="true" applyFill="true" applyBorder="true" applyFont="true"/>
    <xf xmlns:main="http://schemas.openxmlformats.org/spreadsheetml/2006/main" numFmtId="0" fontId="815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53" fillId="0" borderId="0" xfId="0" applyAlignment="1" applyFill="true" applyBorder="true" applyNumberFormat="true" applyFont="true">
      <main:alignment horizontal="right"/>
    </xf>
    <xf numFmtId="176" fontId="8154" fillId="0" borderId="0" xfId="0" applyNumberFormat="true" applyFill="true" applyBorder="true" applyFont="true"/>
    <xf numFmtId="177" fontId="8155" fillId="0" borderId="0" xfId="0" applyNumberFormat="true" applyFill="true" applyBorder="true" applyFont="true"/>
    <xf numFmtId="177" fontId="8156" fillId="0" borderId="0" xfId="0" applyNumberFormat="true" applyFill="true" applyBorder="true" applyFont="true"/>
    <xf numFmtId="177" fontId="8157" fillId="0" borderId="0" xfId="0" applyNumberFormat="true" applyFill="true" applyBorder="true" applyFont="true"/>
    <xf numFmtId="175" fontId="8158" fillId="0" borderId="0" xfId="0" applyNumberFormat="true" applyFill="true" applyBorder="true" applyFont="true"/>
    <xf xmlns:main="http://schemas.openxmlformats.org/spreadsheetml/2006/main" numFmtId="0" fontId="815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60" fillId="0" borderId="0" xfId="0" applyAlignment="1" applyFill="true" applyBorder="true" applyNumberFormat="true" applyFont="true">
      <main:alignment horizontal="right"/>
    </xf>
    <xf numFmtId="175" fontId="8161" fillId="0" borderId="0" xfId="0" applyNumberFormat="true" applyFill="true" applyBorder="true" applyFont="true"/>
    <xf xmlns:main="http://schemas.openxmlformats.org/spreadsheetml/2006/main" numFmtId="0" fontId="816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8163" fillId="0" borderId="0" xfId="0" applyAlignment="1" applyFill="true" applyBorder="true" applyNumberFormat="true" applyFont="true">
      <main:alignment horizontal="right"/>
    </xf>
    <xf numFmtId="176" fontId="8164" fillId="0" borderId="0" xfId="0" applyNumberFormat="true" applyFill="true" applyBorder="true" applyFont="true"/>
    <xf numFmtId="177" fontId="8165" fillId="0" borderId="0" xfId="0" applyNumberFormat="true" applyFill="true" applyBorder="true" applyFont="true"/>
    <xf numFmtId="177" fontId="8166" fillId="0" borderId="0" xfId="0" applyNumberFormat="true" applyFill="true" applyBorder="true" applyFont="true"/>
    <xf numFmtId="177" fontId="8167" fillId="0" borderId="0" xfId="0" applyNumberFormat="true" applyFill="true" applyBorder="true" applyFont="true"/>
    <xf numFmtId="175" fontId="8168" fillId="0" borderId="0" xfId="0" applyNumberFormat="true" applyFill="true" applyBorder="true" applyFont="true"/>
    <xf xmlns:main="http://schemas.openxmlformats.org/spreadsheetml/2006/main" numFmtId="0" fontId="8169" fillId="0" borderId="0" xfId="0" applyAlignment="1" applyFill="true" applyBorder="true" applyNumberFormat="true" applyFont="true">
      <main:alignment horizontal="right"/>
    </xf>
    <xf numFmtId="175" fontId="8170" fillId="0" borderId="0" xfId="0" applyNumberFormat="true" applyFill="true" applyBorder="true" applyFont="true"/>
    <xf xmlns:main="http://schemas.openxmlformats.org/spreadsheetml/2006/main" numFmtId="0" fontId="8171" fillId="0" borderId="0" xfId="0" applyAlignment="1" applyFill="true" applyBorder="true" applyNumberFormat="true" applyFont="true">
      <main:alignment horizontal="right"/>
    </xf>
    <xf numFmtId="176" fontId="8172" fillId="0" borderId="0" xfId="0" applyNumberFormat="true" applyFill="true" applyBorder="true" applyFont="true"/>
    <xf numFmtId="177" fontId="8173" fillId="0" borderId="0" xfId="0" applyNumberFormat="true" applyFill="true" applyBorder="true" applyFont="true"/>
    <xf numFmtId="177" fontId="8174" fillId="0" borderId="0" xfId="0" applyNumberFormat="true" applyFill="true" applyBorder="true" applyFont="true"/>
    <xf numFmtId="177" fontId="8175" fillId="0" borderId="0" xfId="0" applyNumberFormat="true" applyFill="true" applyBorder="true" applyFont="true"/>
    <xf numFmtId="175" fontId="8176" fillId="0" borderId="0" xfId="0" applyNumberFormat="true" applyFill="true" applyBorder="true" applyFont="true"/>
    <xf numFmtId="175" fontId="8177" fillId="0" borderId="0" xfId="0" applyNumberFormat="true" applyFill="true" applyBorder="true" applyFont="true"/>
    <xf xmlns:main="http://schemas.openxmlformats.org/spreadsheetml/2006/main" numFmtId="0" fontId="8178" fillId="0" borderId="0" xfId="0" applyAlignment="1" applyFill="true" applyBorder="true" applyNumberFormat="true" applyFont="true">
      <main:alignment horizontal="right"/>
    </xf>
    <xf numFmtId="176" fontId="8179" fillId="0" borderId="0" xfId="0" applyNumberFormat="true" applyFill="true" applyBorder="true" applyFont="true"/>
    <xf numFmtId="177" fontId="8180" fillId="0" borderId="0" xfId="0" applyNumberFormat="true" applyFill="true" applyBorder="true" applyFont="true"/>
    <xf numFmtId="177" fontId="8181" fillId="0" borderId="0" xfId="0" applyNumberFormat="true" applyFill="true" applyBorder="true" applyFont="true"/>
    <xf numFmtId="177" fontId="8182" fillId="0" borderId="0" xfId="0" applyNumberFormat="true" applyFill="true" applyBorder="true" applyFont="true"/>
    <xf numFmtId="175" fontId="8183" fillId="0" borderId="0" xfId="0" applyNumberFormat="true" applyFill="true" applyBorder="true" applyFont="true"/>
    <xf numFmtId="175" fontId="8184" fillId="0" borderId="0" xfId="0" applyNumberFormat="true" applyFill="true" applyBorder="true" applyFont="true"/>
    <xf xmlns:main="http://schemas.openxmlformats.org/spreadsheetml/2006/main" numFmtId="0" fontId="8185" fillId="0" borderId="0" xfId="0" applyAlignment="1" applyFill="true" applyBorder="true" applyNumberFormat="true" applyFont="true">
      <main:alignment horizontal="right"/>
    </xf>
    <xf numFmtId="176" fontId="8186" fillId="0" borderId="0" xfId="0" applyNumberFormat="true" applyFill="true" applyBorder="true" applyFont="true"/>
    <xf numFmtId="177" fontId="8187" fillId="0" borderId="0" xfId="0" applyNumberFormat="true" applyFill="true" applyBorder="true" applyFont="true"/>
    <xf numFmtId="177" fontId="8188" fillId="0" borderId="0" xfId="0" applyNumberFormat="true" applyFill="true" applyBorder="true" applyFont="true"/>
    <xf numFmtId="177" fontId="8189" fillId="0" borderId="0" xfId="0" applyNumberFormat="true" applyFill="true" applyBorder="true" applyFont="true"/>
    <xf numFmtId="175" fontId="8190" fillId="0" borderId="0" xfId="0" applyNumberFormat="true" applyFill="true" applyBorder="true" applyFont="true"/>
    <xf numFmtId="175" fontId="8191" fillId="0" borderId="0" xfId="0" applyNumberFormat="true" applyFill="true" applyBorder="true" applyFont="true"/>
    <xf xmlns:main="http://schemas.openxmlformats.org/spreadsheetml/2006/main" numFmtId="0" fontId="8192" fillId="0" borderId="0" xfId="0" applyAlignment="1" applyFill="true" applyBorder="true" applyNumberFormat="true" applyFont="true">
      <main:alignment horizontal="right"/>
    </xf>
    <xf numFmtId="176" fontId="8193" fillId="0" borderId="0" xfId="0" applyNumberFormat="true" applyFill="true" applyBorder="true" applyFont="true"/>
    <xf numFmtId="177" fontId="8194" fillId="0" borderId="0" xfId="0" applyNumberFormat="true" applyFill="true" applyBorder="true" applyFont="true"/>
    <xf numFmtId="177" fontId="8195" fillId="0" borderId="0" xfId="0" applyNumberFormat="true" applyFill="true" applyBorder="true" applyFont="true"/>
    <xf numFmtId="177" fontId="8196" fillId="0" borderId="0" xfId="0" applyNumberFormat="true" applyFill="true" applyBorder="true" applyFont="true"/>
    <xf numFmtId="175" fontId="8197" fillId="0" borderId="0" xfId="0" applyNumberFormat="true" applyFill="true" applyBorder="true" applyFont="true"/>
    <xf numFmtId="175" fontId="8198" fillId="0" borderId="0" xfId="0" applyNumberFormat="true" applyFill="true" applyBorder="true" applyFont="true"/>
    <xf xmlns:main="http://schemas.openxmlformats.org/spreadsheetml/2006/main" numFmtId="0" fontId="8199" fillId="0" borderId="0" xfId="0" applyAlignment="1" applyFill="true" applyBorder="true" applyNumberFormat="true" applyFont="true">
      <main:alignment horizontal="right"/>
    </xf>
    <xf numFmtId="176" fontId="8200" fillId="0" borderId="0" xfId="0" applyNumberFormat="true" applyFill="true" applyBorder="true" applyFont="true"/>
    <xf numFmtId="177" fontId="8201" fillId="0" borderId="0" xfId="0" applyNumberFormat="true" applyFill="true" applyBorder="true" applyFont="true"/>
    <xf numFmtId="177" fontId="8202" fillId="0" borderId="0" xfId="0" applyNumberFormat="true" applyFill="true" applyBorder="true" applyFont="true"/>
    <xf numFmtId="177" fontId="8203" fillId="0" borderId="0" xfId="0" applyNumberFormat="true" applyFill="true" applyBorder="true" applyFont="true"/>
    <xf numFmtId="175" fontId="8204" fillId="0" borderId="0" xfId="0" applyNumberFormat="true" applyFill="true" applyBorder="true" applyFont="true"/>
    <xf numFmtId="175" fontId="8205" fillId="0" borderId="0" xfId="0" applyNumberFormat="true" applyFill="true" applyBorder="true" applyFont="true"/>
    <xf xmlns:main="http://schemas.openxmlformats.org/spreadsheetml/2006/main" numFmtId="0" fontId="8206" fillId="0" borderId="0" xfId="0" applyAlignment="1" applyFill="true" applyBorder="true" applyNumberFormat="true" applyFont="true">
      <main:alignment horizontal="right"/>
    </xf>
    <xf numFmtId="176" fontId="8207" fillId="0" borderId="0" xfId="0" applyNumberFormat="true" applyFill="true" applyBorder="true" applyFont="true"/>
    <xf numFmtId="177" fontId="8208" fillId="0" borderId="0" xfId="0" applyNumberFormat="true" applyFill="true" applyBorder="true" applyFont="true"/>
    <xf numFmtId="177" fontId="8209" fillId="0" borderId="0" xfId="0" applyNumberFormat="true" applyFill="true" applyBorder="true" applyFont="true"/>
    <xf numFmtId="177" fontId="8210" fillId="0" borderId="0" xfId="0" applyNumberFormat="true" applyFill="true" applyBorder="true" applyFont="true"/>
    <xf numFmtId="175" fontId="8211" fillId="0" borderId="0" xfId="0" applyNumberFormat="true" applyFill="true" applyBorder="true" applyFont="true"/>
    <xf numFmtId="175" fontId="8212" fillId="0" borderId="0" xfId="0" applyNumberFormat="true" applyFill="true" applyBorder="true" applyFont="true"/>
    <xf xmlns:main="http://schemas.openxmlformats.org/spreadsheetml/2006/main" numFmtId="0" fontId="8213" fillId="0" borderId="0" xfId="0" applyAlignment="1" applyFill="true" applyBorder="true" applyNumberFormat="true" applyFont="true">
      <main:alignment horizontal="right"/>
    </xf>
    <xf numFmtId="176" fontId="8214" fillId="0" borderId="0" xfId="0" applyNumberFormat="true" applyFill="true" applyBorder="true" applyFont="true"/>
    <xf numFmtId="177" fontId="8215" fillId="0" borderId="0" xfId="0" applyNumberFormat="true" applyFill="true" applyBorder="true" applyFont="true"/>
    <xf numFmtId="177" fontId="8216" fillId="0" borderId="0" xfId="0" applyNumberFormat="true" applyFill="true" applyBorder="true" applyFont="true"/>
    <xf numFmtId="177" fontId="8217" fillId="0" borderId="0" xfId="0" applyNumberFormat="true" applyFill="true" applyBorder="true" applyFont="true"/>
    <xf numFmtId="175" fontId="8218" fillId="0" borderId="0" xfId="0" applyNumberFormat="true" applyFill="true" applyBorder="true" applyFont="true"/>
    <xf numFmtId="0" fontId="8219" fillId="0" borderId="0" xfId="0" applyFill="true" applyBorder="true" applyNumberFormat="true" applyFont="true"/>
    <xf numFmtId="0" fontId="8220" fillId="0" borderId="0" xfId="0" applyFill="true" applyBorder="true" applyNumberFormat="true" applyFont="true"/>
    <xf numFmtId="0" fontId="8221" fillId="0" borderId="0" xfId="0" applyFill="true" applyBorder="true" applyNumberFormat="true" applyFont="true"/>
    <xf numFmtId="0" fontId="8222" fillId="0" borderId="0" xfId="0" applyFill="true" applyBorder="true" applyNumberFormat="true" applyFont="true"/>
    <xf numFmtId="0" fontId="8223" fillId="0" borderId="0" xfId="0" applyFill="true" applyBorder="true" applyNumberFormat="true" applyFont="true"/>
    <xf numFmtId="0" fontId="8224" fillId="0" borderId="0" xfId="0" applyFill="true" applyBorder="true" applyNumberFormat="true" applyFont="true"/>
    <xf numFmtId="0" fontId="8225" fillId="0" borderId="0" xfId="0" applyFill="true" applyBorder="true" applyNumberFormat="true" applyFont="true"/>
    <xf numFmtId="0" fontId="8226" fillId="0" borderId="0" xfId="0" applyFill="true" applyBorder="true" applyNumberFormat="true" applyFont="true"/>
    <xf numFmtId="0" fontId="8227" fillId="0" borderId="0" xfId="0" applyFill="true" applyBorder="true" applyNumberFormat="true" applyFont="true"/>
    <xf numFmtId="0" fontId="8228" fillId="0" borderId="0" xfId="0" applyFill="true" applyBorder="true" applyNumberFormat="true" applyFont="true"/>
    <xf numFmtId="0" fontId="8229" fillId="0" borderId="0" xfId="0" applyFill="true" applyBorder="true" applyNumberFormat="true" applyFont="true"/>
    <xf numFmtId="0" fontId="8230" fillId="0" borderId="0" xfId="0" applyFill="true" applyBorder="true" applyNumberFormat="true" applyFont="true"/>
    <xf numFmtId="0" fontId="8231" fillId="0" borderId="0" xfId="0" applyFill="true" applyBorder="true" applyNumberFormat="true" applyFont="true"/>
    <xf numFmtId="0" fontId="8232" fillId="0" borderId="0" xfId="0" applyFill="true" applyBorder="true" applyNumberFormat="true" applyFont="true"/>
    <xf numFmtId="0" fontId="8233" fillId="0" borderId="0" xfId="0" applyFill="true" applyBorder="true" applyNumberFormat="true" applyFont="true"/>
    <xf numFmtId="0" fontId="8234" fillId="0" borderId="0" xfId="0" applyFill="true" applyBorder="true" applyNumberFormat="true" applyFont="true"/>
    <xf numFmtId="0" fontId="8235" fillId="0" borderId="0" xfId="0" applyFill="true" applyBorder="true" applyNumberFormat="true" applyFont="true"/>
    <xf numFmtId="0" fontId="8236" fillId="0" borderId="0" xfId="0" applyFill="true" applyBorder="true" applyNumberFormat="true" applyFont="true"/>
    <xf numFmtId="0" fontId="8237" fillId="0" borderId="0" xfId="0" applyFill="true" applyBorder="true" applyNumberFormat="true" applyFont="true"/>
    <xf numFmtId="0" fontId="8238" fillId="0" borderId="0" xfId="0" applyFill="true" applyBorder="true" applyNumberFormat="true" applyFont="true"/>
    <xf numFmtId="0" fontId="8239" fillId="0" borderId="0" xfId="0" applyFill="true" applyBorder="true" applyNumberFormat="true" applyFont="true"/>
    <xf numFmtId="0" fontId="8240" fillId="0" borderId="0" xfId="0" applyFill="true" applyBorder="true" applyNumberFormat="true" applyFont="true"/>
    <xf numFmtId="0" fontId="8241" fillId="0" borderId="0" xfId="0" applyFill="true" applyBorder="true" applyNumberFormat="true" applyFont="true"/>
    <xf numFmtId="0" fontId="8242" fillId="0" borderId="0" xfId="0" applyFill="true" applyBorder="true" applyNumberFormat="true" applyFont="true"/>
    <xf numFmtId="0" fontId="8243" fillId="0" borderId="0" xfId="0" applyFill="true" applyBorder="true" applyNumberFormat="true" applyFont="true"/>
    <xf numFmtId="0" fontId="8244" fillId="0" borderId="0" xfId="0" applyFill="true" applyBorder="true" applyNumberFormat="true" applyFont="true"/>
    <xf numFmtId="0" fontId="8245" fillId="0" borderId="0" xfId="0" applyFill="true" applyBorder="true" applyNumberFormat="true" applyFont="true"/>
    <xf numFmtId="0" fontId="8246" fillId="0" borderId="0" xfId="0" applyFill="true" applyBorder="true" applyNumberFormat="true" applyFont="true"/>
    <xf numFmtId="0" fontId="8247" fillId="0" borderId="0" xfId="0" applyFill="true" applyBorder="true" applyNumberFormat="true" applyFont="true"/>
    <xf numFmtId="0" fontId="8248" fillId="0" borderId="0" xfId="0" applyFill="true" applyBorder="true" applyNumberFormat="true" applyFont="true"/>
    <xf numFmtId="0" fontId="8249" fillId="0" borderId="0" xfId="0" applyFill="true" applyBorder="true" applyNumberFormat="true" applyFont="true"/>
    <xf numFmtId="0" fontId="8250" fillId="0" borderId="0" xfId="0" applyFill="true" applyBorder="true" applyNumberFormat="true" applyFont="true"/>
    <xf numFmtId="0" fontId="8251" fillId="0" borderId="0" xfId="0" applyFill="true" applyBorder="true" applyNumberFormat="true" applyFont="true"/>
    <xf numFmtId="0" fontId="8252" fillId="0" borderId="0" xfId="0" applyFill="true" applyBorder="true" applyNumberFormat="true" applyFont="true"/>
    <xf numFmtId="0" fontId="8253" fillId="0" borderId="0" xfId="0" applyFill="true" applyBorder="true" applyNumberFormat="true" applyFont="true"/>
    <xf numFmtId="0" fontId="8254" fillId="0" borderId="0" xfId="0" applyFill="true" applyBorder="true" applyNumberFormat="true" applyFont="true"/>
    <xf numFmtId="0" fontId="8255" fillId="0" borderId="0" xfId="0" applyFill="true" applyBorder="true" applyNumberFormat="true" applyFont="true"/>
    <xf numFmtId="0" fontId="8256" fillId="0" borderId="0" xfId="0" applyFill="true" applyBorder="true" applyNumberFormat="true" applyFont="true"/>
    <xf numFmtId="0" fontId="8257" fillId="0" borderId="0" xfId="0" applyFill="true" applyBorder="true" applyNumberFormat="true" applyFont="true"/>
    <xf numFmtId="0" fontId="8258" fillId="0" borderId="0" xfId="0" applyFill="true" applyBorder="true" applyNumberFormat="true" applyFont="true"/>
    <xf numFmtId="0" fontId="8259" fillId="0" borderId="0" xfId="0" applyFill="true" applyBorder="true" applyNumberFormat="true" applyFont="true"/>
    <xf numFmtId="0" fontId="8260" fillId="0" borderId="0" xfId="0" applyFill="true" applyBorder="true" applyNumberFormat="true" applyFont="true"/>
    <xf numFmtId="0" fontId="8261" fillId="0" borderId="0" xfId="0" applyFill="true" applyBorder="true" applyNumberFormat="true" applyFont="true"/>
    <xf numFmtId="0" fontId="8262" fillId="0" borderId="0" xfId="0" applyFill="true" applyBorder="true" applyNumberFormat="true" applyFont="true"/>
    <xf numFmtId="0" fontId="8263" fillId="0" borderId="0" xfId="0" applyFill="true" applyBorder="true" applyNumberFormat="true" applyFont="true"/>
    <xf numFmtId="0" fontId="8264" fillId="0" borderId="0" xfId="0" applyFill="true" applyBorder="true" applyNumberFormat="true" applyFont="true"/>
    <xf numFmtId="0" fontId="8265" fillId="0" borderId="0" xfId="0" applyFill="true" applyBorder="true" applyNumberFormat="true" applyFont="true"/>
    <xf numFmtId="0" fontId="8266" fillId="0" borderId="0" xfId="0" applyFill="true" applyBorder="true" applyNumberFormat="true" applyFont="true"/>
    <xf numFmtId="0" fontId="8267" fillId="0" borderId="0" xfId="0" applyFill="true" applyBorder="true" applyNumberFormat="true" applyFont="true"/>
    <xf numFmtId="0" fontId="8268" fillId="0" borderId="0" xfId="0" applyFill="true" applyBorder="true" applyNumberFormat="true" applyFont="true"/>
    <xf numFmtId="0" fontId="8269" fillId="0" borderId="0" xfId="0" applyFill="true" applyBorder="true" applyNumberFormat="true" applyFont="true"/>
    <xf numFmtId="0" fontId="8270" fillId="0" borderId="0" xfId="0" applyFill="true" applyBorder="true" applyNumberFormat="true" applyFont="true"/>
    <xf numFmtId="0" fontId="8271" fillId="0" borderId="0" xfId="0" applyFill="true" applyBorder="true" applyNumberFormat="true" applyFont="true"/>
    <xf numFmtId="0" fontId="8272" fillId="0" borderId="0" xfId="0" applyFill="true" applyBorder="true" applyNumberFormat="true" applyFont="true"/>
    <xf numFmtId="0" fontId="8273" fillId="0" borderId="0" xfId="0" applyFill="true" applyBorder="true" applyNumberFormat="true" applyFont="true"/>
    <xf numFmtId="0" fontId="8274" fillId="0" borderId="0" xfId="0" applyFill="true" applyBorder="true" applyNumberFormat="true" applyFont="true"/>
    <xf numFmtId="0" fontId="8275" fillId="0" borderId="0" xfId="0" applyFill="true" applyBorder="true" applyNumberFormat="true" applyFont="true"/>
    <xf numFmtId="0" fontId="8276" fillId="0" borderId="0" xfId="0" applyFill="true" applyBorder="true" applyNumberFormat="true" applyFont="true"/>
    <xf numFmtId="0" fontId="8277" fillId="0" borderId="0" xfId="0" applyFill="true" applyBorder="true" applyNumberFormat="true" applyFont="true"/>
    <xf numFmtId="0" fontId="8278" fillId="0" borderId="0" xfId="0" applyFill="true" applyBorder="true" applyNumberFormat="true" applyFont="true"/>
    <xf numFmtId="0" fontId="8279" fillId="0" borderId="0" xfId="0" applyFill="true" applyBorder="true" applyNumberFormat="true" applyFont="true"/>
    <xf numFmtId="0" fontId="8280" fillId="0" borderId="0" xfId="0" applyFill="true" applyBorder="true" applyNumberFormat="true" applyFont="true"/>
    <xf numFmtId="0" fontId="8281" fillId="0" borderId="0" xfId="0" applyFill="true" applyBorder="true" applyNumberFormat="true" applyFont="true"/>
    <xf numFmtId="0" fontId="8282" fillId="0" borderId="0" xfId="0" applyFill="true" applyBorder="true" applyNumberFormat="true" applyFont="true"/>
    <xf numFmtId="0" fontId="8283" fillId="0" borderId="0" xfId="0" applyFill="true" applyBorder="true" applyNumberFormat="true" applyFont="true"/>
    <xf numFmtId="0" fontId="8284" fillId="0" borderId="0" xfId="0" applyFill="true" applyBorder="true" applyNumberFormat="true" applyFont="true"/>
    <xf numFmtId="0" fontId="8285" fillId="0" borderId="0" xfId="0" applyFill="true" applyBorder="true" applyNumberFormat="true" applyFont="true"/>
    <xf numFmtId="0" fontId="8286" fillId="0" borderId="0" xfId="0" applyFill="true" applyBorder="true" applyNumberFormat="true" applyFont="true"/>
    <xf numFmtId="0" fontId="8287" fillId="0" borderId="0" xfId="0" applyFill="true" applyBorder="true" applyNumberFormat="true" applyFont="true"/>
    <xf numFmtId="0" fontId="8288" fillId="0" borderId="0" xfId="0" applyFill="true" applyBorder="true" applyNumberFormat="true" applyFont="true"/>
    <xf numFmtId="0" fontId="8289" fillId="0" borderId="0" xfId="0" applyFill="true" applyBorder="true" applyNumberFormat="true" applyFont="true"/>
    <xf numFmtId="0" fontId="8290" fillId="0" borderId="0" xfId="0" applyFill="true" applyBorder="true" applyNumberFormat="true" applyFont="true"/>
    <xf numFmtId="0" fontId="8291" fillId="0" borderId="0" xfId="0" applyFill="true" applyBorder="true" applyNumberFormat="true" applyFont="true"/>
    <xf numFmtId="0" fontId="8292" fillId="0" borderId="0" xfId="0" applyFill="true" applyBorder="true" applyNumberFormat="true" applyFont="true"/>
    <xf numFmtId="0" fontId="8293" fillId="0" borderId="0" xfId="0" applyFill="true" applyBorder="true" applyNumberFormat="true" applyFont="true"/>
    <xf numFmtId="0" fontId="8294" fillId="0" borderId="0" xfId="0" applyFill="true" applyBorder="true" applyNumberFormat="true" applyFont="true"/>
    <xf numFmtId="0" fontId="8295" fillId="0" borderId="0" xfId="0" applyFill="true" applyBorder="true" applyNumberFormat="true" applyFont="true"/>
    <xf numFmtId="0" fontId="8296" fillId="0" borderId="0" xfId="0" applyFill="true" applyBorder="true" applyNumberFormat="true" applyFont="true"/>
    <xf numFmtId="0" fontId="8297" fillId="0" borderId="0" xfId="0" applyFill="true" applyBorder="true" applyNumberFormat="true" applyFont="true"/>
    <xf numFmtId="0" fontId="8298" fillId="0" borderId="0" xfId="0" applyFill="true" applyBorder="true" applyNumberFormat="true" applyFont="true"/>
    <xf numFmtId="0" fontId="8299" fillId="0" borderId="0" xfId="0" applyFill="true" applyBorder="true" applyNumberFormat="true" applyFont="true"/>
    <xf numFmtId="0" fontId="8300" fillId="0" borderId="0" xfId="0" applyFill="true" applyBorder="true" applyNumberFormat="true" applyFont="true"/>
    <xf numFmtId="0" fontId="8301" fillId="0" borderId="0" xfId="0" applyFill="true" applyBorder="true" applyNumberFormat="true" applyFont="true"/>
    <xf numFmtId="0" fontId="8302" fillId="0" borderId="0" xfId="0" applyFill="true" applyBorder="true" applyNumberFormat="true" applyFont="true"/>
    <xf numFmtId="0" fontId="8303" fillId="0" borderId="0" xfId="0" applyFill="true" applyBorder="true" applyNumberFormat="true" applyFont="true"/>
    <xf numFmtId="0" fontId="8304" fillId="0" borderId="0" xfId="0" applyFill="true" applyBorder="true" applyNumberFormat="true" applyFont="true"/>
    <xf numFmtId="0" fontId="8305" fillId="0" borderId="0" xfId="0" applyFill="true" applyBorder="true" applyNumberFormat="true" applyFont="true"/>
    <xf numFmtId="0" fontId="8306" fillId="0" borderId="0" xfId="0" applyFill="true" applyBorder="true" applyNumberFormat="true" applyFont="true"/>
    <xf numFmtId="0" fontId="8307" fillId="0" borderId="0" xfId="0" applyFill="true" applyBorder="true" applyNumberFormat="true" applyFont="true"/>
    <xf numFmtId="0" fontId="8308" fillId="0" borderId="0" xfId="0" applyFill="true" applyBorder="true" applyNumberFormat="true" applyFont="true"/>
    <xf numFmtId="0" fontId="8309" fillId="0" borderId="0" xfId="0" applyFill="true" applyBorder="true" applyNumberFormat="true" applyFont="true"/>
    <xf numFmtId="0" fontId="8310" fillId="0" borderId="0" xfId="0" applyFill="true" applyBorder="true" applyNumberFormat="true" applyFont="true"/>
    <xf numFmtId="0" fontId="8311" fillId="0" borderId="0" xfId="0" applyFill="true" applyBorder="true" applyNumberFormat="true" applyFont="true"/>
    <xf numFmtId="0" fontId="8312" fillId="0" borderId="0" xfId="0" applyFill="true" applyBorder="true" applyNumberFormat="true" applyFont="true"/>
    <xf numFmtId="0" fontId="8313" fillId="0" borderId="0" xfId="0" applyFill="true" applyBorder="true" applyNumberFormat="true" applyFont="true"/>
    <xf numFmtId="0" fontId="8314" fillId="0" borderId="0" xfId="0" applyFill="true" applyBorder="true" applyNumberFormat="true" applyFont="true"/>
    <xf numFmtId="0" fontId="8315" fillId="0" borderId="0" xfId="0" applyFill="true" applyBorder="true" applyNumberFormat="true" applyFont="true"/>
    <xf numFmtId="0" fontId="8316" fillId="0" borderId="0" xfId="0" applyFill="true" applyBorder="true" applyNumberFormat="true" applyFont="true"/>
    <xf numFmtId="0" fontId="8317" fillId="0" borderId="0" xfId="0" applyFill="true" applyBorder="true" applyNumberFormat="true" applyFont="true"/>
    <xf numFmtId="0" fontId="8318" fillId="0" borderId="0" xfId="0" applyFill="true" applyBorder="true" applyNumberFormat="true" applyFont="true"/>
    <xf numFmtId="0" fontId="8319" fillId="0" borderId="0" xfId="0" applyFill="true" applyBorder="true" applyNumberFormat="true" applyFont="true"/>
    <xf numFmtId="0" fontId="8320" fillId="0" borderId="0" xfId="0" applyFill="true" applyBorder="true" applyNumberFormat="true" applyFont="true"/>
    <xf numFmtId="0" fontId="8321" fillId="0" borderId="0" xfId="0" applyFill="true" applyBorder="true" applyNumberFormat="true" applyFont="true"/>
    <xf numFmtId="0" fontId="8322" fillId="0" borderId="0" xfId="0" applyFill="true" applyBorder="true" applyNumberFormat="true" applyFont="true"/>
    <xf numFmtId="0" fontId="8323" fillId="0" borderId="0" xfId="0" applyFill="true" applyBorder="true" applyNumberFormat="true" applyFont="true"/>
    <xf numFmtId="0" fontId="8324" fillId="0" borderId="0" xfId="0" applyFill="true" applyBorder="true" applyNumberFormat="true" applyFont="true"/>
    <xf numFmtId="0" fontId="8325" fillId="0" borderId="0" xfId="0" applyFill="true" applyBorder="true" applyNumberFormat="true" applyFont="true"/>
    <xf numFmtId="0" fontId="8326" fillId="0" borderId="0" xfId="0" applyFill="true" applyBorder="true" applyNumberFormat="true" applyFont="true"/>
    <xf numFmtId="0" fontId="8327" fillId="0" borderId="0" xfId="0" applyFill="true" applyBorder="true" applyNumberFormat="true" applyFont="true"/>
    <xf numFmtId="0" fontId="8328" fillId="0" borderId="0" xfId="0" applyFill="true" applyBorder="true" applyNumberFormat="true" applyFont="true"/>
    <xf numFmtId="0" fontId="8329" fillId="0" borderId="0" xfId="0" applyFill="true" applyBorder="true" applyNumberFormat="true" applyFont="true"/>
    <xf numFmtId="0" fontId="8330" fillId="0" borderId="0" xfId="0" applyFill="true" applyBorder="true" applyNumberFormat="true" applyFont="true"/>
    <xf numFmtId="0" fontId="8331" fillId="0" borderId="0" xfId="0" applyFill="true" applyBorder="true" applyNumberFormat="true" applyFont="true"/>
    <xf numFmtId="0" fontId="8332" fillId="0" borderId="0" xfId="0" applyFill="true" applyBorder="true" applyNumberFormat="true" applyFont="true"/>
    <xf numFmtId="0" fontId="8333" fillId="0" borderId="0" xfId="0" applyFill="true" applyBorder="true" applyNumberFormat="true" applyFont="true"/>
    <xf numFmtId="0" fontId="8334" fillId="0" borderId="0" xfId="0" applyFill="true" applyBorder="true" applyNumberFormat="true" applyFont="true"/>
    <xf numFmtId="0" fontId="8335" fillId="0" borderId="0" xfId="0" applyFill="true" applyBorder="true" applyNumberFormat="true" applyFont="true"/>
    <xf numFmtId="0" fontId="8336" fillId="0" borderId="0" xfId="0" applyFill="true" applyBorder="true" applyNumberFormat="true" applyFont="true"/>
    <xf numFmtId="0" fontId="8337" fillId="0" borderId="0" xfId="0" applyFill="true" applyBorder="true" applyNumberFormat="true" applyFont="true"/>
    <xf numFmtId="0" fontId="8338" fillId="0" borderId="0" xfId="0" applyFill="true" applyBorder="true" applyNumberFormat="true" applyFont="true"/>
    <xf numFmtId="0" fontId="8339" fillId="0" borderId="0" xfId="0" applyFill="true" applyBorder="true" applyNumberFormat="true" applyFont="true"/>
    <xf numFmtId="0" fontId="8340" fillId="0" borderId="0" xfId="0" applyFill="true" applyBorder="true" applyNumberFormat="true" applyFont="true"/>
    <xf numFmtId="0" fontId="8341" fillId="0" borderId="0" xfId="0" applyFill="true" applyBorder="true" applyNumberFormat="true" applyFont="true"/>
    <xf numFmtId="0" fontId="8342" fillId="0" borderId="0" xfId="0" applyFill="true" applyBorder="true" applyNumberFormat="true" applyFont="true"/>
    <xf numFmtId="0" fontId="8343" fillId="0" borderId="0" xfId="0" applyFill="true" applyBorder="true" applyNumberFormat="true" applyFont="true"/>
    <xf numFmtId="0" fontId="8344" fillId="0" borderId="0" xfId="0" applyFill="true" applyBorder="true" applyNumberFormat="true" applyFont="true"/>
    <xf numFmtId="0" fontId="8345" fillId="0" borderId="0" xfId="0" applyFill="true" applyBorder="true" applyNumberFormat="true" applyFont="true"/>
    <xf numFmtId="0" fontId="8346" fillId="0" borderId="0" xfId="0" applyFill="true" applyBorder="true" applyNumberFormat="true" applyFont="true"/>
    <xf numFmtId="0" fontId="8347" fillId="0" borderId="0" xfId="0" applyFill="true" applyBorder="true" applyNumberFormat="true" applyFont="true"/>
    <xf numFmtId="0" fontId="8348" fillId="0" borderId="0" xfId="0" applyFill="true" applyBorder="true" applyNumberFormat="true" applyFont="true"/>
    <xf numFmtId="0" fontId="8349" fillId="0" borderId="0" xfId="0" applyFill="true" applyBorder="true" applyNumberFormat="true" applyFont="true"/>
    <xf numFmtId="0" fontId="8350" fillId="0" borderId="0" xfId="0" applyFill="true" applyBorder="true" applyNumberFormat="true" applyFont="true"/>
    <xf numFmtId="0" fontId="8351" fillId="0" borderId="0" xfId="0" applyFill="true" applyBorder="true" applyNumberFormat="true" applyFont="true"/>
    <xf numFmtId="0" fontId="8352" fillId="0" borderId="0" xfId="0" applyFill="true" applyBorder="true" applyNumberFormat="true" applyFont="true"/>
    <xf numFmtId="0" fontId="8353" fillId="0" borderId="0" xfId="0" applyFill="true" applyBorder="true" applyNumberFormat="true" applyFont="true"/>
    <xf numFmtId="0" fontId="8354" fillId="0" borderId="0" xfId="0" applyFill="true" applyBorder="true" applyNumberFormat="true" applyFont="true"/>
    <xf numFmtId="0" fontId="8355" fillId="0" borderId="0" xfId="0" applyFill="true" applyBorder="true" applyNumberFormat="true" applyFont="true"/>
    <xf numFmtId="0" fontId="8356" fillId="0" borderId="0" xfId="0" applyFill="true" applyBorder="true" applyNumberFormat="true" applyFont="true"/>
    <xf numFmtId="0" fontId="8357" fillId="0" borderId="0" xfId="0" applyFill="true" applyBorder="true" applyNumberFormat="true" applyFont="true"/>
    <xf numFmtId="0" fontId="8358" fillId="0" borderId="0" xfId="0" applyFill="true" applyBorder="true" applyNumberFormat="true" applyFont="true"/>
    <xf numFmtId="0" fontId="8359" fillId="0" borderId="0" xfId="0" applyFill="true" applyBorder="true" applyNumberFormat="true" applyFont="true"/>
    <xf numFmtId="0" fontId="8360" fillId="0" borderId="0" xfId="0" applyFill="true" applyBorder="true" applyNumberFormat="true" applyFont="true"/>
    <xf numFmtId="0" fontId="8361" fillId="0" borderId="0" xfId="0" applyFill="true" applyBorder="true" applyNumberFormat="true" applyFont="true"/>
    <xf numFmtId="0" fontId="8362" fillId="0" borderId="0" xfId="0" applyFill="true" applyBorder="true" applyNumberFormat="true" applyFont="true"/>
    <xf numFmtId="0" fontId="8363" fillId="0" borderId="0" xfId="0" applyFill="true" applyBorder="true" applyNumberFormat="true" applyFont="true"/>
    <xf numFmtId="0" fontId="8364" fillId="0" borderId="0" xfId="0" applyFill="true" applyBorder="true" applyNumberFormat="true" applyFont="true"/>
    <xf numFmtId="0" fontId="8365" fillId="0" borderId="0" xfId="0" applyFill="true" applyBorder="true" applyNumberFormat="true" applyFont="true"/>
    <xf numFmtId="0" fontId="8366" fillId="0" borderId="0" xfId="0" applyFill="true" applyBorder="true" applyNumberFormat="true" applyFont="true"/>
    <xf numFmtId="0" fontId="8367" fillId="0" borderId="0" xfId="0" applyFill="true" applyBorder="true" applyNumberFormat="true" applyFont="true"/>
    <xf numFmtId="0" fontId="8368" fillId="0" borderId="0" xfId="0" applyFill="true" applyBorder="true" applyNumberFormat="true" applyFont="true"/>
    <xf numFmtId="0" fontId="8369" fillId="0" borderId="0" xfId="0" applyFill="true" applyBorder="true" applyNumberFormat="true" applyFont="true"/>
    <xf numFmtId="0" fontId="8370" fillId="0" borderId="0" xfId="0" applyFill="true" applyBorder="true" applyNumberFormat="true" applyFont="true"/>
    <xf numFmtId="0" fontId="8371" fillId="0" borderId="0" xfId="0" applyFill="true" applyBorder="true" applyNumberFormat="true" applyFont="true"/>
    <xf numFmtId="0" fontId="8372" fillId="0" borderId="0" xfId="0" applyFill="true" applyBorder="true" applyNumberFormat="true" applyFont="true"/>
    <xf numFmtId="0" fontId="8373" fillId="0" borderId="0" xfId="0" applyFill="true" applyBorder="true" applyNumberFormat="true" applyFont="true"/>
    <xf numFmtId="0" fontId="8374" fillId="0" borderId="0" xfId="0" applyFill="true" applyBorder="true" applyNumberFormat="true" applyFont="true"/>
    <xf numFmtId="0" fontId="8375" fillId="0" borderId="0" xfId="0" applyFill="true" applyBorder="true" applyNumberFormat="true" applyFont="true"/>
    <xf numFmtId="0" fontId="8376" fillId="0" borderId="0" xfId="0" applyFill="true" applyBorder="true" applyNumberFormat="true" applyFont="true"/>
    <xf numFmtId="0" fontId="8377" fillId="0" borderId="0" xfId="0" applyFill="true" applyBorder="true" applyNumberFormat="true" applyFont="true"/>
    <xf numFmtId="0" fontId="8378" fillId="0" borderId="0" xfId="0" applyFill="true" applyBorder="true" applyNumberFormat="true" applyFont="true"/>
    <xf numFmtId="0" fontId="8379" fillId="0" borderId="0" xfId="0" applyFill="true" applyBorder="true" applyNumberFormat="true" applyFont="true"/>
    <xf numFmtId="0" fontId="8380" fillId="0" borderId="0" xfId="0" applyFill="true" applyBorder="true" applyNumberFormat="true" applyFont="true"/>
    <xf numFmtId="0" fontId="8381" fillId="0" borderId="0" xfId="0" applyFill="true" applyBorder="true" applyNumberFormat="true" applyFont="true"/>
    <xf numFmtId="0" fontId="8382" fillId="0" borderId="0" xfId="0" applyFill="true" applyBorder="true" applyNumberFormat="true" applyFont="true"/>
    <xf numFmtId="0" fontId="8383" fillId="0" borderId="0" xfId="0" applyFill="true" applyBorder="true" applyNumberFormat="true" applyFont="true"/>
    <xf numFmtId="0" fontId="8384" fillId="0" borderId="0" xfId="0" applyFill="true" applyBorder="true" applyNumberFormat="true" applyFont="true"/>
    <xf numFmtId="0" fontId="8385" fillId="0" borderId="0" xfId="0" applyFill="true" applyBorder="true" applyNumberFormat="true" applyFont="true"/>
    <xf numFmtId="0" fontId="8386" fillId="0" borderId="0" xfId="0" applyFill="true" applyBorder="true" applyNumberFormat="true" applyFont="true"/>
    <xf numFmtId="0" fontId="8387" fillId="0" borderId="0" xfId="0" applyFill="true" applyBorder="true" applyNumberFormat="true" applyFont="true"/>
    <xf numFmtId="0" fontId="8388" fillId="0" borderId="0" xfId="0" applyFill="true" applyBorder="true" applyNumberFormat="true" applyFont="true"/>
    <xf numFmtId="0" fontId="8389" fillId="0" borderId="0" xfId="0" applyFill="true" applyBorder="true" applyNumberFormat="true" applyFont="true"/>
    <xf numFmtId="0" fontId="8390" fillId="0" borderId="0" xfId="0" applyFill="true" applyBorder="true" applyNumberFormat="true" applyFont="true"/>
    <xf numFmtId="0" fontId="8391" fillId="0" borderId="0" xfId="0" applyFill="true" applyBorder="true" applyNumberFormat="true" applyFont="true"/>
    <xf numFmtId="0" fontId="8392" fillId="0" borderId="0" xfId="0" applyFill="true" applyBorder="true" applyNumberFormat="true" applyFont="true"/>
    <xf numFmtId="0" fontId="8393" fillId="0" borderId="0" xfId="0" applyFill="true" applyBorder="true" applyNumberFormat="true" applyFont="true"/>
    <xf numFmtId="0" fontId="8394" fillId="0" borderId="0" xfId="0" applyFill="true" applyBorder="true" applyNumberFormat="true" applyFont="true"/>
    <xf numFmtId="0" fontId="8395" fillId="0" borderId="0" xfId="0" applyFill="true" applyBorder="true" applyNumberFormat="true" applyFont="true"/>
    <xf numFmtId="0" fontId="8396" fillId="0" borderId="0" xfId="0" applyFill="true" applyBorder="true" applyNumberFormat="true" applyFont="true"/>
    <xf numFmtId="0" fontId="8397" fillId="0" borderId="0" xfId="0" applyFill="true" applyBorder="true" applyNumberFormat="true" applyFont="true"/>
    <xf numFmtId="0" fontId="8398" fillId="0" borderId="0" xfId="0" applyFill="true" applyBorder="true" applyNumberFormat="true" applyFont="true"/>
    <xf numFmtId="0" fontId="8399" fillId="0" borderId="0" xfId="0" applyFill="true" applyBorder="true" applyNumberFormat="true" applyFont="true"/>
    <xf numFmtId="0" fontId="8400" fillId="0" borderId="0" xfId="0" applyFill="true" applyBorder="true" applyNumberFormat="true" applyFont="true"/>
    <xf numFmtId="0" fontId="8401" fillId="0" borderId="0" xfId="0" applyFill="true" applyBorder="true" applyNumberFormat="true" applyFont="true"/>
    <xf numFmtId="0" fontId="8402" fillId="0" borderId="0" xfId="0" applyFill="true" applyBorder="true" applyNumberFormat="true" applyFont="true"/>
    <xf numFmtId="0" fontId="8403" fillId="0" borderId="0" xfId="0" applyFill="true" applyBorder="true" applyNumberFormat="true" applyFont="true"/>
    <xf numFmtId="0" fontId="8404" fillId="0" borderId="0" xfId="0" applyFill="true" applyBorder="true" applyNumberFormat="true" applyFont="true"/>
    <xf numFmtId="0" fontId="8405" fillId="0" borderId="0" xfId="0" applyFill="true" applyBorder="true" applyNumberFormat="true" applyFont="true"/>
    <xf numFmtId="0" fontId="8406" fillId="0" borderId="0" xfId="0" applyFill="true" applyBorder="true" applyNumberFormat="true" applyFont="true"/>
    <xf numFmtId="0" fontId="8407" fillId="0" borderId="0" xfId="0" applyFill="true" applyBorder="true" applyNumberFormat="true" applyFont="true"/>
    <xf numFmtId="0" fontId="8408" fillId="0" borderId="0" xfId="0" applyFill="true" applyBorder="true" applyNumberFormat="true" applyFont="true"/>
    <xf numFmtId="0" fontId="8409" fillId="0" borderId="0" xfId="0" applyFill="true" applyBorder="true" applyNumberFormat="true" applyFont="true"/>
    <xf numFmtId="0" fontId="8410" fillId="0" borderId="0" xfId="0" applyFill="true" applyBorder="true" applyNumberFormat="true" applyFont="true"/>
    <xf numFmtId="0" fontId="8411" fillId="0" borderId="0" xfId="0" applyFill="true" applyBorder="true" applyNumberFormat="true" applyFont="true"/>
    <xf numFmtId="0" fontId="8412" fillId="0" borderId="0" xfId="0" applyFill="true" applyBorder="true" applyNumberFormat="true" applyFont="true"/>
    <xf numFmtId="0" fontId="8413" fillId="0" borderId="0" xfId="0" applyFill="true" applyBorder="true" applyNumberFormat="true" applyFont="true"/>
    <xf numFmtId="0" fontId="8414" fillId="0" borderId="0" xfId="0" applyFill="true" applyBorder="true" applyNumberFormat="true" applyFont="true"/>
    <xf numFmtId="0" fontId="8415" fillId="0" borderId="0" xfId="0" applyFill="true" applyBorder="true" applyNumberFormat="true" applyFont="true"/>
    <xf numFmtId="0" fontId="8416" fillId="0" borderId="0" xfId="0" applyFill="true" applyBorder="true" applyNumberFormat="true" applyFont="true"/>
    <xf numFmtId="0" fontId="8417" fillId="0" borderId="0" xfId="0" applyFill="true" applyBorder="true" applyNumberFormat="true" applyFont="true"/>
    <xf numFmtId="0" fontId="8418" fillId="0" borderId="0" xfId="0" applyFill="true" applyBorder="true" applyNumberFormat="true" applyFont="true"/>
    <xf numFmtId="0" fontId="8419" fillId="0" borderId="0" xfId="0" applyFill="true" applyBorder="true" applyNumberFormat="true" applyFont="true"/>
    <xf numFmtId="0" fontId="8420" fillId="0" borderId="0" xfId="0" applyFill="true" applyBorder="true" applyNumberFormat="true" applyFont="true"/>
    <xf numFmtId="0" fontId="8421" fillId="0" borderId="0" xfId="0" applyFill="true" applyBorder="true" applyNumberFormat="true" applyFont="true"/>
    <xf numFmtId="0" fontId="8422" fillId="0" borderId="0" xfId="0" applyFill="true" applyBorder="true" applyNumberFormat="true" applyFont="true"/>
    <xf numFmtId="0" fontId="8423" fillId="0" borderId="0" xfId="0" applyFill="true" applyBorder="true" applyNumberFormat="true" applyFont="true"/>
    <xf numFmtId="0" fontId="8424" fillId="0" borderId="0" xfId="0" applyFill="true" applyBorder="true" applyNumberFormat="true" applyFont="true"/>
    <xf numFmtId="0" fontId="8425" fillId="0" borderId="0" xfId="0" applyFill="true" applyBorder="true" applyNumberFormat="true" applyFont="true"/>
    <xf numFmtId="0" fontId="8426" fillId="0" borderId="0" xfId="0" applyFill="true" applyBorder="true" applyNumberFormat="true" applyFont="true"/>
    <xf numFmtId="0" fontId="8427" fillId="0" borderId="0" xfId="0" applyFill="true" applyBorder="true" applyNumberFormat="true" applyFont="true"/>
    <xf numFmtId="0" fontId="8428" fillId="0" borderId="0" xfId="0" applyFill="true" applyBorder="true" applyNumberFormat="true" applyFont="true"/>
    <xf numFmtId="0" fontId="8429" fillId="0" borderId="0" xfId="0" applyFill="true" applyBorder="true" applyNumberFormat="true" applyFont="true"/>
    <xf numFmtId="0" fontId="8430" fillId="0" borderId="0" xfId="0" applyFill="true" applyBorder="true" applyNumberFormat="true" applyFont="true"/>
    <xf numFmtId="0" fontId="8431" fillId="0" borderId="0" xfId="0" applyFill="true" applyBorder="true" applyNumberFormat="true" applyFont="true"/>
    <xf numFmtId="0" fontId="8432" fillId="0" borderId="0" xfId="0" applyFill="true" applyBorder="true" applyNumberFormat="true" applyFont="true"/>
    <xf numFmtId="0" fontId="8433" fillId="0" borderId="0" xfId="0" applyFill="true" applyBorder="true" applyNumberFormat="true" applyFont="true"/>
    <xf numFmtId="0" fontId="8434" fillId="0" borderId="0" xfId="0" applyFill="true" applyBorder="true" applyNumberFormat="true" applyFont="true"/>
    <xf numFmtId="0" fontId="8435" fillId="0" borderId="0" xfId="0" applyFill="true" applyBorder="true" applyNumberFormat="true" applyFont="true"/>
    <xf numFmtId="0" fontId="8436" fillId="0" borderId="0" xfId="0" applyFill="true" applyBorder="true" applyNumberFormat="true" applyFont="true"/>
    <xf numFmtId="0" fontId="8437" fillId="0" borderId="0" xfId="0" applyFill="true" applyBorder="true" applyNumberFormat="true" applyFont="true"/>
    <xf numFmtId="0" fontId="8438" fillId="0" borderId="0" xfId="0" applyFill="true" applyBorder="true" applyNumberFormat="true" applyFont="true"/>
    <xf numFmtId="0" fontId="8439" fillId="0" borderId="0" xfId="0" applyFill="true" applyBorder="true" applyNumberFormat="true" applyFont="true"/>
    <xf numFmtId="0" fontId="8440" fillId="0" borderId="0" xfId="0" applyFill="true" applyBorder="true" applyNumberFormat="true" applyFont="true"/>
    <xf numFmtId="0" fontId="8441" fillId="0" borderId="0" xfId="0" applyFill="true" applyBorder="true" applyNumberFormat="true" applyFont="true"/>
    <xf numFmtId="0" fontId="8442" fillId="0" borderId="0" xfId="0" applyFill="true" applyBorder="true" applyNumberFormat="true" applyFont="true"/>
    <xf numFmtId="0" fontId="8443" fillId="0" borderId="0" xfId="0" applyFill="true" applyBorder="true" applyNumberFormat="true" applyFont="true"/>
    <xf numFmtId="0" fontId="8444" fillId="0" borderId="0" xfId="0" applyFill="true" applyBorder="true" applyNumberFormat="true" applyFont="true"/>
    <xf numFmtId="0" fontId="8445" fillId="0" borderId="0" xfId="0" applyFill="true" applyBorder="true" applyNumberFormat="true" applyFont="true"/>
    <xf numFmtId="0" fontId="8446" fillId="0" borderId="0" xfId="0" applyFill="true" applyBorder="true" applyNumberFormat="true" applyFont="true"/>
    <xf numFmtId="0" fontId="8447" fillId="0" borderId="0" xfId="0" applyFill="true" applyBorder="true" applyNumberFormat="true" applyFont="true"/>
    <xf numFmtId="0" fontId="8448" fillId="0" borderId="0" xfId="0" applyFill="true" applyBorder="true" applyNumberFormat="true" applyFont="true"/>
    <xf numFmtId="0" fontId="8449" fillId="0" borderId="0" xfId="0" applyFill="true" applyBorder="true" applyNumberFormat="true" applyFont="true"/>
    <xf numFmtId="0" fontId="8450" fillId="0" borderId="0" xfId="0" applyFill="true" applyBorder="true" applyNumberFormat="true" applyFont="true"/>
    <xf numFmtId="0" fontId="8451" fillId="0" borderId="0" xfId="0" applyFill="true" applyBorder="true" applyNumberFormat="true" applyFont="true"/>
    <xf numFmtId="0" fontId="8452" fillId="0" borderId="0" xfId="0" applyFill="true" applyBorder="true" applyNumberFormat="true" applyFont="true"/>
    <xf numFmtId="0" fontId="8453" fillId="0" borderId="0" xfId="0" applyFill="true" applyBorder="true" applyNumberFormat="true" applyFont="true"/>
    <xf numFmtId="0" fontId="8454" fillId="0" borderId="0" xfId="0" applyFill="true" applyBorder="true" applyNumberFormat="true" applyFont="true"/>
    <xf numFmtId="0" fontId="8455" fillId="0" borderId="0" xfId="0" applyFill="true" applyBorder="true" applyNumberFormat="true" applyFont="true"/>
    <xf numFmtId="0" fontId="8456" fillId="0" borderId="0" xfId="0" applyFill="true" applyBorder="true" applyNumberFormat="true" applyFont="true"/>
    <xf numFmtId="0" fontId="8457" fillId="0" borderId="0" xfId="0" applyFill="true" applyBorder="true" applyNumberFormat="true" applyFont="true"/>
    <xf numFmtId="0" fontId="8458" fillId="0" borderId="0" xfId="0" applyFill="true" applyBorder="true" applyNumberFormat="true" applyFont="true"/>
    <xf numFmtId="0" fontId="8459" fillId="0" borderId="0" xfId="0" applyFill="true" applyBorder="true" applyNumberFormat="true" applyFont="true"/>
    <xf numFmtId="0" fontId="8460" fillId="0" borderId="0" xfId="0" applyFill="true" applyBorder="true" applyNumberFormat="true" applyFont="true"/>
    <xf numFmtId="0" fontId="8461" fillId="0" borderId="0" xfId="0" applyFill="true" applyBorder="true" applyNumberFormat="true" applyFont="true"/>
    <xf numFmtId="0" fontId="8462" fillId="0" borderId="0" xfId="0" applyFill="true" applyBorder="true" applyNumberFormat="true" applyFont="true"/>
    <xf numFmtId="0" fontId="8463" fillId="0" borderId="0" xfId="0" applyFill="true" applyBorder="true" applyNumberFormat="true" applyFont="true"/>
    <xf numFmtId="0" fontId="8464" fillId="0" borderId="0" xfId="0" applyFill="true" applyBorder="true" applyNumberFormat="true" applyFont="true"/>
    <xf numFmtId="0" fontId="8465" fillId="0" borderId="0" xfId="0" applyFill="true" applyBorder="true" applyNumberFormat="true" applyFont="true"/>
    <xf numFmtId="0" fontId="8466" fillId="0" borderId="0" xfId="0" applyFill="true" applyBorder="true" applyNumberFormat="true" applyFont="true"/>
    <xf numFmtId="0" fontId="8467" fillId="0" borderId="0" xfId="0" applyFill="true" applyBorder="true" applyNumberFormat="true" applyFont="true"/>
    <xf numFmtId="0" fontId="8468" fillId="0" borderId="0" xfId="0" applyFill="true" applyBorder="true" applyNumberFormat="true" applyFont="true"/>
    <xf numFmtId="0" fontId="8469" fillId="0" borderId="0" xfId="0" applyFill="true" applyBorder="true" applyNumberFormat="true" applyFont="true"/>
    <xf numFmtId="0" fontId="8470" fillId="0" borderId="0" xfId="0" applyFill="true" applyBorder="true" applyNumberFormat="true" applyFont="true"/>
    <xf numFmtId="0" fontId="8471" fillId="0" borderId="0" xfId="0" applyFill="true" applyBorder="true" applyNumberFormat="true" applyFont="true"/>
    <xf numFmtId="0" fontId="8472" fillId="0" borderId="0" xfId="0" applyFill="true" applyBorder="true" applyNumberFormat="true" applyFont="true"/>
    <xf numFmtId="0" fontId="8473" fillId="0" borderId="0" xfId="0" applyFill="true" applyBorder="true" applyNumberFormat="true" applyFont="true"/>
    <xf numFmtId="0" fontId="8474" fillId="0" borderId="0" xfId="0" applyFill="true" applyBorder="true" applyNumberFormat="true" applyFont="true"/>
    <xf numFmtId="0" fontId="8475" fillId="0" borderId="0" xfId="0" applyFill="true" applyBorder="true" applyNumberFormat="true" applyFont="true"/>
    <xf numFmtId="0" fontId="8476" fillId="0" borderId="0" xfId="0" applyFill="true" applyBorder="true" applyNumberFormat="true" applyFont="true"/>
    <xf numFmtId="0" fontId="8477" fillId="0" borderId="0" xfId="0" applyFill="true" applyBorder="true" applyNumberFormat="true" applyFont="true"/>
    <xf numFmtId="0" fontId="8478" fillId="0" borderId="0" xfId="0" applyFill="true" applyBorder="true" applyNumberFormat="true" applyFont="true"/>
    <xf numFmtId="0" fontId="8479" fillId="0" borderId="0" xfId="0" applyFill="true" applyBorder="true" applyNumberFormat="true" applyFont="true"/>
    <xf numFmtId="0" fontId="8480" fillId="0" borderId="0" xfId="0" applyFill="true" applyBorder="true" applyNumberFormat="true" applyFont="true"/>
    <xf numFmtId="0" fontId="8481" fillId="0" borderId="0" xfId="0" applyFill="true" applyBorder="true" applyNumberFormat="true" applyFont="true"/>
    <xf numFmtId="0" fontId="8482" fillId="0" borderId="0" xfId="0" applyFill="true" applyBorder="true" applyNumberFormat="true" applyFont="true"/>
    <xf numFmtId="0" fontId="8483" fillId="0" borderId="0" xfId="0" applyFill="true" applyBorder="true" applyNumberFormat="true" applyFont="true"/>
    <xf numFmtId="0" fontId="8484" fillId="0" borderId="0" xfId="0" applyFill="true" applyBorder="true" applyNumberFormat="true" applyFont="true"/>
    <xf numFmtId="0" fontId="8485" fillId="0" borderId="0" xfId="0" applyFill="true" applyBorder="true" applyNumberFormat="true" applyFont="true"/>
    <xf numFmtId="0" fontId="8486" fillId="0" borderId="0" xfId="0" applyFill="true" applyBorder="true" applyNumberFormat="true" applyFont="true"/>
    <xf numFmtId="0" fontId="8487" fillId="0" borderId="0" xfId="0" applyFill="true" applyBorder="true" applyNumberFormat="true" applyFont="true"/>
    <xf numFmtId="0" fontId="8488" fillId="0" borderId="0" xfId="0" applyFill="true" applyBorder="true" applyNumberFormat="true" applyFont="true"/>
    <xf numFmtId="0" fontId="8489" fillId="0" borderId="0" xfId="0" applyFill="true" applyBorder="true" applyNumberFormat="true" applyFont="true"/>
    <xf numFmtId="0" fontId="8490" fillId="0" borderId="0" xfId="0" applyFill="true" applyBorder="true" applyNumberFormat="true" applyFont="true"/>
    <xf numFmtId="0" fontId="8491" fillId="0" borderId="0" xfId="0" applyFill="true" applyBorder="true" applyNumberFormat="true" applyFont="true"/>
    <xf numFmtId="0" fontId="8492" fillId="0" borderId="0" xfId="0" applyFill="true" applyBorder="true" applyNumberFormat="true" applyFont="true"/>
    <xf numFmtId="0" fontId="8493" fillId="0" borderId="0" xfId="0" applyFill="true" applyBorder="true" applyNumberFormat="true" applyFont="true"/>
    <xf numFmtId="0" fontId="8494" fillId="0" borderId="0" xfId="0" applyFill="true" applyBorder="true" applyNumberFormat="true" applyFont="true"/>
    <xf numFmtId="0" fontId="8495" fillId="0" borderId="0" xfId="0" applyFill="true" applyBorder="true" applyNumberFormat="true" applyFont="true"/>
    <xf numFmtId="0" fontId="8496" fillId="0" borderId="0" xfId="0" applyFill="true" applyBorder="true" applyNumberFormat="true" applyFont="true"/>
    <xf numFmtId="0" fontId="8497" fillId="0" borderId="0" xfId="0" applyFill="true" applyBorder="true" applyNumberFormat="true" applyFont="true"/>
    <xf numFmtId="0" fontId="8498" fillId="0" borderId="0" xfId="0" applyFill="true" applyBorder="true" applyNumberFormat="true" applyFont="true"/>
    <xf numFmtId="0" fontId="8499" fillId="0" borderId="0" xfId="0" applyFill="true" applyBorder="true" applyNumberFormat="true" applyFont="true"/>
    <xf numFmtId="0" fontId="8500" fillId="0" borderId="0" xfId="0" applyFill="true" applyBorder="true" applyNumberFormat="true" applyFont="true"/>
    <xf numFmtId="0" fontId="8501" fillId="0" borderId="0" xfId="0" applyFill="true" applyBorder="true" applyNumberFormat="true" applyFont="true"/>
    <xf numFmtId="0" fontId="8502" fillId="0" borderId="0" xfId="0" applyFill="true" applyBorder="true" applyNumberFormat="true" applyFont="true"/>
    <xf numFmtId="0" fontId="8503" fillId="0" borderId="0" xfId="0" applyFill="true" applyBorder="true" applyNumberFormat="true" applyFont="true"/>
    <xf numFmtId="0" fontId="8504" fillId="0" borderId="0" xfId="0" applyFill="true" applyBorder="true" applyNumberFormat="true" applyFont="true"/>
    <xf numFmtId="0" fontId="8505" fillId="0" borderId="0" xfId="0" applyFill="true" applyBorder="true" applyNumberFormat="true" applyFont="true"/>
    <xf numFmtId="0" fontId="8506" fillId="0" borderId="0" xfId="0" applyFill="true" applyBorder="true" applyNumberFormat="true" applyFont="true"/>
    <xf numFmtId="0" fontId="8507" fillId="0" borderId="0" xfId="0" applyFill="true" applyBorder="true" applyNumberFormat="true" applyFont="true"/>
    <xf numFmtId="0" fontId="8508" fillId="0" borderId="0" xfId="0" applyFill="true" applyBorder="true" applyNumberFormat="true" applyFont="true"/>
    <xf numFmtId="0" fontId="8509" fillId="0" borderId="0" xfId="0" applyFill="true" applyBorder="true" applyNumberFormat="true" applyFont="true"/>
    <xf numFmtId="0" fontId="8510" fillId="0" borderId="0" xfId="0" applyFill="true" applyBorder="true" applyNumberFormat="true" applyFont="true"/>
    <xf numFmtId="0" fontId="8511" fillId="0" borderId="0" xfId="0" applyFill="true" applyBorder="true" applyNumberFormat="true" applyFont="true"/>
    <xf numFmtId="0" fontId="8512" fillId="0" borderId="0" xfId="0" applyFill="true" applyBorder="true" applyNumberFormat="true" applyFont="true"/>
    <xf numFmtId="0" fontId="8513" fillId="0" borderId="0" xfId="0" applyFill="true" applyBorder="true" applyNumberFormat="true" applyFont="true"/>
    <xf numFmtId="0" fontId="8514" fillId="0" borderId="0" xfId="0" applyFill="true" applyBorder="true" applyNumberFormat="true" applyFont="true"/>
    <xf numFmtId="0" fontId="8515" fillId="0" borderId="0" xfId="0" applyFill="true" applyBorder="true" applyNumberFormat="true" applyFont="true"/>
    <xf numFmtId="0" fontId="8516" fillId="0" borderId="0" xfId="0" applyFill="true" applyBorder="true" applyNumberFormat="true" applyFont="true"/>
    <xf numFmtId="0" fontId="8517" fillId="0" borderId="0" xfId="0" applyFill="true" applyBorder="true" applyNumberFormat="true" applyFont="true"/>
    <xf numFmtId="0" fontId="8518" fillId="0" borderId="0" xfId="0" applyFill="true" applyBorder="true" applyNumberFormat="true" applyFont="true"/>
    <xf numFmtId="0" fontId="8519" fillId="0" borderId="0" xfId="0" applyFill="true" applyBorder="true" applyNumberFormat="true" applyFont="true"/>
    <xf numFmtId="0" fontId="8520" fillId="0" borderId="0" xfId="0" applyFill="true" applyBorder="true" applyNumberFormat="true" applyFont="true"/>
    <xf numFmtId="0" fontId="8521" fillId="0" borderId="0" xfId="0" applyFill="true" applyBorder="true" applyNumberFormat="true" applyFont="true"/>
    <xf numFmtId="0" fontId="8522" fillId="0" borderId="0" xfId="0" applyFill="true" applyBorder="true" applyNumberFormat="true" applyFont="true"/>
    <xf numFmtId="0" fontId="8523" fillId="0" borderId="0" xfId="0" applyFill="true" applyBorder="true" applyNumberFormat="true" applyFont="true"/>
    <xf numFmtId="0" fontId="8524" fillId="0" borderId="0" xfId="0" applyFill="true" applyBorder="true" applyNumberFormat="true" applyFont="true"/>
    <xf numFmtId="0" fontId="8525" fillId="0" borderId="0" xfId="0" applyFill="true" applyBorder="true" applyNumberFormat="true" applyFont="true"/>
    <xf numFmtId="0" fontId="8526" fillId="0" borderId="0" xfId="0" applyFill="true" applyBorder="true" applyNumberFormat="true" applyFont="true"/>
    <xf numFmtId="0" fontId="8527" fillId="0" borderId="0" xfId="0" applyFill="true" applyBorder="true" applyNumberFormat="true" applyFont="true"/>
    <xf numFmtId="0" fontId="8528" fillId="0" borderId="0" xfId="0" applyFill="true" applyBorder="true" applyNumberFormat="true" applyFont="true"/>
    <xf numFmtId="0" fontId="8529" fillId="0" borderId="0" xfId="0" applyFill="true" applyBorder="true" applyNumberFormat="true" applyFont="true"/>
    <xf numFmtId="0" fontId="8530" fillId="0" borderId="0" xfId="0" applyFill="true" applyBorder="true" applyNumberFormat="true" applyFont="true"/>
    <xf numFmtId="0" fontId="8531" fillId="0" borderId="0" xfId="0" applyFill="true" applyBorder="true" applyNumberFormat="true" applyFont="true"/>
    <xf numFmtId="0" fontId="8532" fillId="0" borderId="0" xfId="0" applyFill="true" applyBorder="true" applyNumberFormat="true" applyFont="true"/>
    <xf numFmtId="0" fontId="8533" fillId="0" borderId="0" xfId="0" applyFill="true" applyBorder="true" applyNumberFormat="true" applyFont="true"/>
    <xf numFmtId="0" fontId="8534" fillId="0" borderId="0" xfId="0" applyFill="true" applyBorder="true" applyNumberFormat="true" applyFont="true"/>
    <xf numFmtId="0" fontId="8535" fillId="0" borderId="0" xfId="0" applyFill="true" applyBorder="true" applyNumberFormat="true" applyFont="true"/>
    <xf numFmtId="0" fontId="8536" fillId="0" borderId="0" xfId="0" applyFill="true" applyBorder="true" applyNumberFormat="true" applyFont="true"/>
    <xf numFmtId="0" fontId="8537" fillId="0" borderId="0" xfId="0" applyFill="true" applyBorder="true" applyNumberFormat="true" applyFont="true"/>
    <xf numFmtId="0" fontId="8538" fillId="0" borderId="0" xfId="0" applyFill="true" applyBorder="true" applyNumberFormat="true" applyFont="true"/>
    <xf numFmtId="0" fontId="8539" fillId="0" borderId="0" xfId="0" applyFill="true" applyBorder="true" applyNumberFormat="true" applyFont="true"/>
    <xf numFmtId="0" fontId="8540" fillId="0" borderId="0" xfId="0" applyFill="true" applyBorder="true" applyNumberFormat="true" applyFont="true"/>
    <xf numFmtId="0" fontId="8541" fillId="0" borderId="0" xfId="0" applyFill="true" applyBorder="true" applyNumberFormat="true" applyFont="true"/>
    <xf numFmtId="0" fontId="8542" fillId="0" borderId="0" xfId="0" applyFill="true" applyBorder="true" applyNumberFormat="true" applyFont="true"/>
    <xf numFmtId="0" fontId="8543" fillId="0" borderId="0" xfId="0" applyFill="true" applyBorder="true" applyNumberFormat="true" applyFont="true"/>
    <xf numFmtId="0" fontId="8544" fillId="0" borderId="0" xfId="0" applyFill="true" applyBorder="true" applyNumberFormat="true" applyFont="true"/>
    <xf numFmtId="0" fontId="8545" fillId="0" borderId="0" xfId="0" applyFill="true" applyBorder="true" applyNumberFormat="true" applyFont="true"/>
    <xf numFmtId="0" fontId="8546" fillId="0" borderId="0" xfId="0" applyFill="true" applyBorder="true" applyNumberFormat="true" applyFont="true"/>
    <xf numFmtId="0" fontId="8547" fillId="0" borderId="0" xfId="0" applyFill="true" applyBorder="true" applyNumberFormat="true" applyFont="true"/>
    <xf numFmtId="0" fontId="8548" fillId="0" borderId="0" xfId="0" applyFill="true" applyBorder="true" applyNumberFormat="true" applyFont="true"/>
    <xf numFmtId="0" fontId="8549" fillId="0" borderId="0" xfId="0" applyFill="true" applyBorder="true" applyNumberFormat="true" applyFont="true"/>
    <xf numFmtId="0" fontId="8550" fillId="0" borderId="0" xfId="0" applyFill="true" applyBorder="true" applyNumberFormat="true" applyFont="true"/>
    <xf numFmtId="0" fontId="8551" fillId="0" borderId="0" xfId="0" applyFill="true" applyBorder="true" applyNumberFormat="true" applyFont="true"/>
    <xf numFmtId="0" fontId="8552" fillId="0" borderId="0" xfId="0" applyFill="true" applyBorder="true" applyNumberFormat="true" applyFont="true"/>
    <xf numFmtId="0" fontId="8553" fillId="0" borderId="0" xfId="0" applyFill="true" applyBorder="true" applyNumberFormat="true" applyFont="true"/>
    <xf numFmtId="0" fontId="8554" fillId="0" borderId="0" xfId="0" applyFill="true" applyBorder="true" applyNumberFormat="true" applyFont="true"/>
    <xf numFmtId="0" fontId="8555" fillId="0" borderId="0" xfId="0" applyFill="true" applyBorder="true" applyNumberFormat="true" applyFont="true"/>
    <xf numFmtId="0" fontId="8556" fillId="0" borderId="0" xfId="0" applyFill="true" applyBorder="true" applyNumberFormat="true" applyFont="true"/>
    <xf numFmtId="0" fontId="8557" fillId="0" borderId="0" xfId="0" applyFill="true" applyBorder="true" applyNumberFormat="true" applyFont="true"/>
    <xf numFmtId="0" fontId="8558" fillId="0" borderId="0" xfId="0" applyFill="true" applyBorder="true" applyNumberFormat="true" applyFont="true"/>
    <xf numFmtId="0" fontId="8559" fillId="0" borderId="0" xfId="0" applyFill="true" applyBorder="true" applyNumberFormat="true" applyFont="true"/>
    <xf numFmtId="0" fontId="8560" fillId="0" borderId="0" xfId="0" applyFill="true" applyBorder="true" applyNumberFormat="true" applyFont="true"/>
    <xf numFmtId="0" fontId="8561" fillId="0" borderId="0" xfId="0" applyFill="true" applyBorder="true" applyNumberFormat="true" applyFont="true"/>
    <xf numFmtId="0" fontId="8562" fillId="0" borderId="0" xfId="0" applyFill="true" applyBorder="true" applyNumberFormat="true" applyFont="true"/>
    <xf numFmtId="0" fontId="8563" fillId="0" borderId="0" xfId="0" applyFill="true" applyBorder="true" applyNumberFormat="true" applyFont="true"/>
    <xf numFmtId="0" fontId="8564" fillId="0" borderId="0" xfId="0" applyFill="true" applyBorder="true" applyNumberFormat="true" applyFont="true"/>
    <xf numFmtId="0" fontId="8565" fillId="0" borderId="0" xfId="0" applyFill="true" applyBorder="true" applyNumberFormat="true" applyFont="true"/>
    <xf numFmtId="0" fontId="8566" fillId="0" borderId="0" xfId="0" applyFill="true" applyBorder="true" applyNumberFormat="true" applyFont="true"/>
    <xf numFmtId="0" fontId="8567" fillId="0" borderId="0" xfId="0" applyFill="true" applyBorder="true" applyNumberFormat="true" applyFont="true"/>
    <xf numFmtId="0" fontId="8568" fillId="0" borderId="0" xfId="0" applyFill="true" applyBorder="true" applyNumberFormat="true" applyFont="true"/>
    <xf numFmtId="0" fontId="8569" fillId="0" borderId="0" xfId="0" applyFill="true" applyBorder="true" applyNumberFormat="true" applyFont="true"/>
    <xf numFmtId="0" fontId="8570" fillId="0" borderId="0" xfId="0" applyFill="true" applyBorder="true" applyNumberFormat="true" applyFont="true"/>
    <xf numFmtId="0" fontId="8571" fillId="0" borderId="0" xfId="0" applyFill="true" applyBorder="true" applyNumberFormat="true" applyFont="true"/>
    <xf numFmtId="0" fontId="8572" fillId="0" borderId="0" xfId="0" applyFill="true" applyBorder="true" applyNumberFormat="true" applyFont="true"/>
    <xf numFmtId="0" fontId="8573" fillId="0" borderId="0" xfId="0" applyFill="true" applyBorder="true" applyNumberFormat="true" applyFont="true"/>
    <xf numFmtId="0" fontId="8574" fillId="0" borderId="0" xfId="0" applyFill="true" applyBorder="true" applyNumberFormat="true" applyFont="true"/>
    <xf numFmtId="0" fontId="8575" fillId="0" borderId="0" xfId="0" applyFill="true" applyBorder="true" applyNumberFormat="true" applyFont="true"/>
    <xf numFmtId="0" fontId="8576" fillId="0" borderId="0" xfId="0" applyFill="true" applyBorder="true" applyNumberFormat="true" applyFont="true"/>
    <xf numFmtId="0" fontId="8577" fillId="0" borderId="0" xfId="0" applyFill="true" applyBorder="true" applyNumberFormat="true" applyFont="true"/>
    <xf numFmtId="0" fontId="8578" fillId="0" borderId="0" xfId="0" applyFill="true" applyBorder="true" applyNumberFormat="true" applyFont="true"/>
    <xf numFmtId="0" fontId="8579" fillId="0" borderId="0" xfId="0" applyFill="true" applyBorder="true" applyNumberFormat="true" applyFont="true"/>
    <xf numFmtId="0" fontId="8580" fillId="0" borderId="0" xfId="0" applyFill="true" applyBorder="true" applyNumberFormat="true" applyFont="true"/>
    <xf numFmtId="0" fontId="8581" fillId="0" borderId="0" xfId="0" applyFill="true" applyBorder="true" applyNumberFormat="true" applyFont="true"/>
    <xf numFmtId="0" fontId="8582" fillId="0" borderId="0" xfId="0" applyFill="true" applyBorder="true" applyNumberFormat="true" applyFont="true"/>
    <xf numFmtId="0" fontId="8583" fillId="0" borderId="0" xfId="0" applyFill="true" applyBorder="true" applyNumberFormat="true" applyFont="true"/>
    <xf numFmtId="0" fontId="8584" fillId="0" borderId="0" xfId="0" applyFill="true" applyBorder="true" applyNumberFormat="true" applyFont="true"/>
    <xf numFmtId="0" fontId="8585" fillId="0" borderId="0" xfId="0" applyFill="true" applyBorder="true" applyNumberFormat="true" applyFont="true"/>
    <xf numFmtId="0" fontId="8586" fillId="0" borderId="0" xfId="0" applyFill="true" applyBorder="true" applyNumberFormat="true" applyFont="true"/>
    <xf numFmtId="0" fontId="8587" fillId="0" borderId="0" xfId="0" applyFill="true" applyBorder="true" applyNumberFormat="true" applyFont="true"/>
    <xf numFmtId="0" fontId="8588" fillId="0" borderId="0" xfId="0" applyFill="true" applyBorder="true" applyNumberFormat="true" applyFont="true"/>
    <xf numFmtId="0" fontId="8589" fillId="0" borderId="0" xfId="0" applyFill="true" applyBorder="true" applyNumberFormat="true" applyFont="true"/>
    <xf numFmtId="0" fontId="8590" fillId="0" borderId="0" xfId="0" applyFill="true" applyBorder="true" applyNumberFormat="true" applyFont="true"/>
    <xf numFmtId="0" fontId="8591" fillId="0" borderId="0" xfId="0" applyFill="true" applyBorder="true" applyNumberFormat="true" applyFont="true"/>
    <xf numFmtId="0" fontId="8592" fillId="0" borderId="0" xfId="0" applyFill="true" applyBorder="true" applyNumberFormat="true" applyFont="true"/>
    <xf numFmtId="0" fontId="8593" fillId="0" borderId="0" xfId="0" applyFill="true" applyBorder="true" applyNumberFormat="true" applyFont="true"/>
    <xf numFmtId="0" fontId="8594" fillId="0" borderId="0" xfId="0" applyFill="true" applyBorder="true" applyNumberFormat="true" applyFont="true"/>
    <xf numFmtId="0" fontId="8595" fillId="0" borderId="0" xfId="0" applyFill="true" applyBorder="true" applyNumberFormat="true" applyFont="true"/>
    <xf numFmtId="0" fontId="8596" fillId="0" borderId="0" xfId="0" applyFill="true" applyBorder="true" applyNumberFormat="true" applyFont="true"/>
    <xf numFmtId="0" fontId="8597" fillId="0" borderId="0" xfId="0" applyFill="true" applyBorder="true" applyNumberFormat="true" applyFont="true"/>
    <xf numFmtId="0" fontId="8598" fillId="0" borderId="0" xfId="0" applyFill="true" applyBorder="true" applyNumberFormat="true" applyFont="true"/>
    <xf numFmtId="0" fontId="8599" fillId="0" borderId="0" xfId="0" applyFill="true" applyBorder="true" applyNumberFormat="true" applyFont="true"/>
    <xf numFmtId="0" fontId="8600" fillId="0" borderId="0" xfId="0" applyFill="true" applyBorder="true" applyNumberFormat="true" applyFont="true"/>
    <xf numFmtId="0" fontId="8601" fillId="0" borderId="0" xfId="0" applyFill="true" applyBorder="true" applyNumberFormat="true" applyFont="true"/>
    <xf numFmtId="0" fontId="8602" fillId="0" borderId="0" xfId="0" applyFill="true" applyBorder="true" applyNumberFormat="true" applyFont="true"/>
    <xf numFmtId="0" fontId="8603" fillId="0" borderId="0" xfId="0" applyFill="true" applyBorder="true" applyNumberFormat="true" applyFont="true"/>
    <xf numFmtId="0" fontId="8604" fillId="0" borderId="0" xfId="0" applyFill="true" applyBorder="true" applyNumberFormat="true" applyFont="true"/>
    <xf numFmtId="0" fontId="8605" fillId="0" borderId="0" xfId="0" applyFill="true" applyBorder="true" applyNumberFormat="true" applyFont="true"/>
    <xf numFmtId="0" fontId="8606" fillId="0" borderId="0" xfId="0" applyFill="true" applyBorder="true" applyNumberFormat="true" applyFont="true"/>
    <xf numFmtId="0" fontId="8607" fillId="0" borderId="0" xfId="0" applyFill="true" applyBorder="true" applyNumberFormat="true" applyFont="true"/>
    <xf numFmtId="0" fontId="8608" fillId="0" borderId="0" xfId="0" applyFill="true" applyBorder="true" applyNumberFormat="true" applyFont="true"/>
    <xf numFmtId="0" fontId="8609" fillId="0" borderId="0" xfId="0" applyFill="true" applyBorder="true" applyNumberFormat="true" applyFont="true"/>
    <xf numFmtId="0" fontId="8610" fillId="0" borderId="0" xfId="0" applyFill="true" applyBorder="true" applyNumberFormat="true" applyFont="true"/>
    <xf numFmtId="0" fontId="8611" fillId="0" borderId="0" xfId="0" applyFill="true" applyBorder="true" applyNumberFormat="true" applyFont="true"/>
    <xf numFmtId="0" fontId="8612" fillId="0" borderId="0" xfId="0" applyFill="true" applyBorder="true" applyNumberFormat="true" applyFont="true"/>
    <xf numFmtId="0" fontId="8613" fillId="0" borderId="0" xfId="0" applyFill="true" applyBorder="true" applyNumberFormat="true" applyFont="true"/>
    <xf numFmtId="0" fontId="8614" fillId="0" borderId="0" xfId="0" applyFill="true" applyBorder="true" applyNumberFormat="true" applyFont="true"/>
    <xf numFmtId="0" fontId="8615" fillId="0" borderId="0" xfId="0" applyFill="true" applyBorder="true" applyNumberFormat="true" applyFont="true"/>
    <xf numFmtId="0" fontId="8616" fillId="0" borderId="0" xfId="0" applyFill="true" applyBorder="true" applyNumberFormat="true" applyFont="true"/>
    <xf numFmtId="0" fontId="8617" fillId="0" borderId="0" xfId="0" applyFill="true" applyBorder="true" applyNumberFormat="true" applyFont="true"/>
    <xf numFmtId="0" fontId="8618" fillId="0" borderId="0" xfId="0" applyFill="true" applyBorder="true" applyNumberFormat="true" applyFont="true"/>
    <xf numFmtId="0" fontId="8619" fillId="0" borderId="0" xfId="0" applyFill="true" applyBorder="true" applyNumberFormat="true" applyFont="true"/>
    <xf numFmtId="0" fontId="8620" fillId="0" borderId="0" xfId="0" applyFill="true" applyBorder="true" applyNumberFormat="true" applyFont="true"/>
    <xf numFmtId="0" fontId="8621" fillId="0" borderId="0" xfId="0" applyFill="true" applyBorder="true" applyNumberFormat="true" applyFont="true"/>
    <xf numFmtId="0" fontId="8622" fillId="0" borderId="0" xfId="0" applyFill="true" applyBorder="true" applyNumberFormat="true" applyFont="true"/>
    <xf numFmtId="0" fontId="8623" fillId="0" borderId="0" xfId="0" applyFill="true" applyBorder="true" applyNumberFormat="true" applyFont="true"/>
    <xf numFmtId="0" fontId="8624" fillId="0" borderId="0" xfId="0" applyFill="true" applyBorder="true" applyNumberFormat="true" applyFont="true"/>
    <xf numFmtId="0" fontId="8625" fillId="0" borderId="0" xfId="0" applyFill="true" applyBorder="true" applyNumberFormat="true" applyFont="true"/>
    <xf numFmtId="0" fontId="8626" fillId="0" borderId="0" xfId="0" applyFill="true" applyBorder="true" applyNumberFormat="true" applyFont="true"/>
    <xf numFmtId="0" fontId="8627" fillId="0" borderId="0" xfId="0" applyFill="true" applyBorder="true" applyNumberFormat="true" applyFont="true"/>
    <xf numFmtId="0" fontId="8628" fillId="0" borderId="0" xfId="0" applyFill="true" applyBorder="true" applyNumberFormat="true" applyFont="true"/>
    <xf numFmtId="0" fontId="8629" fillId="0" borderId="0" xfId="0" applyFill="true" applyBorder="true" applyNumberFormat="true" applyFont="true"/>
    <xf numFmtId="0" fontId="8630" fillId="0" borderId="0" xfId="0" applyFill="true" applyBorder="true" applyNumberFormat="true" applyFont="true"/>
    <xf numFmtId="0" fontId="8631" fillId="0" borderId="0" xfId="0" applyFill="true" applyBorder="true" applyNumberFormat="true" applyFont="true"/>
    <xf numFmtId="0" fontId="8632" fillId="0" borderId="0" xfId="0" applyFill="true" applyBorder="true" applyNumberFormat="true" applyFont="true"/>
    <xf numFmtId="0" fontId="8633" fillId="0" borderId="0" xfId="0" applyFill="true" applyBorder="true" applyNumberFormat="true" applyFont="true"/>
    <xf numFmtId="0" fontId="8634" fillId="0" borderId="0" xfId="0" applyFill="true" applyBorder="true" applyNumberFormat="true" applyFont="true"/>
    <xf numFmtId="0" fontId="8635" fillId="0" borderId="0" xfId="0" applyFill="true" applyBorder="true" applyNumberFormat="true" applyFont="true"/>
    <xf numFmtId="0" fontId="8636" fillId="0" borderId="0" xfId="0" applyFill="true" applyBorder="true" applyNumberFormat="true" applyFont="true"/>
    <xf numFmtId="0" fontId="8637" fillId="0" borderId="0" xfId="0" applyFill="true" applyBorder="true" applyNumberFormat="true" applyFont="true"/>
    <xf numFmtId="0" fontId="8638" fillId="0" borderId="0" xfId="0" applyFill="true" applyBorder="true" applyNumberFormat="true" applyFont="true"/>
    <xf numFmtId="0" fontId="8639" fillId="0" borderId="0" xfId="0" applyFill="true" applyBorder="true" applyNumberFormat="true" applyFont="true"/>
    <xf numFmtId="0" fontId="8640" fillId="0" borderId="0" xfId="0" applyFill="true" applyBorder="true" applyNumberFormat="true" applyFont="true"/>
    <xf numFmtId="0" fontId="8641" fillId="0" borderId="0" xfId="0" applyFill="true" applyBorder="true" applyNumberFormat="true" applyFont="true"/>
    <xf numFmtId="0" fontId="8642" fillId="0" borderId="0" xfId="0" applyFill="true" applyBorder="true" applyNumberFormat="true" applyFont="true"/>
    <xf numFmtId="0" fontId="8643" fillId="0" borderId="0" xfId="0" applyFill="true" applyBorder="true" applyNumberFormat="true" applyFont="true"/>
    <xf numFmtId="0" fontId="8644" fillId="0" borderId="0" xfId="0" applyFill="true" applyBorder="true" applyNumberFormat="true" applyFont="true"/>
    <xf numFmtId="0" fontId="8645" fillId="0" borderId="0" xfId="0" applyFill="true" applyBorder="true" applyNumberFormat="true" applyFont="true"/>
    <xf numFmtId="0" fontId="8646" fillId="0" borderId="0" xfId="0" applyFill="true" applyBorder="true" applyNumberFormat="true" applyFont="true"/>
    <xf numFmtId="0" fontId="8647" fillId="0" borderId="0" xfId="0" applyFill="true" applyBorder="true" applyNumberFormat="true" applyFont="true"/>
    <xf numFmtId="0" fontId="8648" fillId="0" borderId="0" xfId="0" applyFill="true" applyBorder="true" applyNumberFormat="true" applyFont="true"/>
    <xf numFmtId="0" fontId="8649" fillId="0" borderId="0" xfId="0" applyFill="true" applyBorder="true" applyNumberFormat="true" applyFont="true"/>
    <xf numFmtId="0" fontId="8650" fillId="0" borderId="0" xfId="0" applyFill="true" applyBorder="true" applyNumberFormat="true" applyFont="true"/>
    <xf numFmtId="0" fontId="8651" fillId="0" borderId="0" xfId="0" applyFill="true" applyBorder="true" applyNumberFormat="true" applyFont="true"/>
    <xf numFmtId="0" fontId="8652" fillId="0" borderId="0" xfId="0" applyFill="true" applyBorder="true" applyNumberFormat="true" applyFont="true"/>
    <xf numFmtId="0" fontId="8653" fillId="0" borderId="0" xfId="0" applyFill="true" applyBorder="true" applyNumberFormat="true" applyFont="true"/>
    <xf numFmtId="0" fontId="8654" fillId="0" borderId="0" xfId="0" applyFill="true" applyBorder="true" applyNumberFormat="true" applyFont="true"/>
    <xf numFmtId="0" fontId="8655" fillId="0" borderId="0" xfId="0" applyFill="true" applyBorder="true" applyNumberFormat="true" applyFont="true"/>
    <xf numFmtId="0" fontId="8656" fillId="0" borderId="0" xfId="0" applyFill="true" applyBorder="true" applyNumberFormat="true" applyFont="true"/>
    <xf numFmtId="0" fontId="8657" fillId="0" borderId="0" xfId="0" applyFill="true" applyBorder="true" applyNumberFormat="true" applyFont="true"/>
    <xf numFmtId="0" fontId="8658" fillId="0" borderId="0" xfId="0" applyFill="true" applyBorder="true" applyNumberFormat="true" applyFont="true"/>
    <xf numFmtId="0" fontId="8659" fillId="0" borderId="0" xfId="0" applyFill="true" applyBorder="true" applyNumberFormat="true" applyFont="true"/>
    <xf numFmtId="0" fontId="8660" fillId="0" borderId="0" xfId="0" applyFill="true" applyBorder="true" applyNumberFormat="true" applyFont="true"/>
    <xf numFmtId="0" fontId="8661" fillId="0" borderId="0" xfId="0" applyFill="true" applyBorder="true" applyNumberFormat="true" applyFont="true"/>
    <xf numFmtId="0" fontId="8662" fillId="0" borderId="0" xfId="0" applyFill="true" applyBorder="true" applyNumberFormat="true" applyFont="true"/>
    <xf numFmtId="0" fontId="8663" fillId="0" borderId="0" xfId="0" applyFill="true" applyBorder="true" applyNumberFormat="true" applyFont="true"/>
    <xf numFmtId="0" fontId="8664" fillId="0" borderId="0" xfId="0" applyFill="true" applyBorder="true" applyNumberFormat="true" applyFont="true"/>
    <xf numFmtId="0" fontId="8665" fillId="0" borderId="0" xfId="0" applyFill="true" applyBorder="true" applyNumberFormat="true" applyFont="true"/>
    <xf numFmtId="0" fontId="8666" fillId="0" borderId="0" xfId="0" applyFill="true" applyBorder="true" applyNumberFormat="true" applyFont="true"/>
    <xf numFmtId="0" fontId="8667" fillId="0" borderId="0" xfId="0" applyFill="true" applyBorder="true" applyNumberFormat="true" applyFont="true"/>
    <xf numFmtId="0" fontId="8668" fillId="0" borderId="0" xfId="0" applyFill="true" applyBorder="true" applyNumberFormat="true" applyFont="true"/>
    <xf numFmtId="0" fontId="8669" fillId="0" borderId="0" xfId="0" applyFill="true" applyBorder="true" applyNumberFormat="true" applyFont="true"/>
    <xf numFmtId="0" fontId="8670" fillId="0" borderId="0" xfId="0" applyFill="true" applyBorder="true" applyNumberFormat="true" applyFont="true"/>
    <xf numFmtId="0" fontId="8671" fillId="0" borderId="0" xfId="0" applyFill="true" applyBorder="true" applyNumberFormat="true" applyFont="true"/>
    <xf numFmtId="0" fontId="8672" fillId="0" borderId="0" xfId="0" applyFill="true" applyBorder="true" applyNumberFormat="true" applyFont="true"/>
    <xf numFmtId="0" fontId="8673" fillId="0" borderId="0" xfId="0" applyFill="true" applyBorder="true" applyNumberFormat="true" applyFont="true"/>
    <xf numFmtId="0" fontId="8674" fillId="0" borderId="0" xfId="0" applyFill="true" applyBorder="true" applyNumberFormat="true" applyFont="true"/>
    <xf numFmtId="0" fontId="8675" fillId="0" borderId="0" xfId="0" applyFill="true" applyBorder="true" applyNumberFormat="true" applyFont="true"/>
    <xf numFmtId="0" fontId="8676" fillId="0" borderId="0" xfId="0" applyFill="true" applyBorder="true" applyNumberFormat="true" applyFont="true"/>
    <xf numFmtId="0" fontId="8677" fillId="0" borderId="0" xfId="0" applyFill="true" applyBorder="true" applyNumberFormat="true" applyFont="true"/>
    <xf numFmtId="0" fontId="8678" fillId="0" borderId="0" xfId="0" applyFill="true" applyBorder="true" applyNumberFormat="true" applyFont="true"/>
    <xf numFmtId="0" fontId="8679" fillId="0" borderId="0" xfId="0" applyFill="true" applyBorder="true" applyNumberFormat="true" applyFont="true"/>
    <xf numFmtId="0" fontId="8680" fillId="0" borderId="0" xfId="0" applyFill="true" applyBorder="true" applyNumberFormat="true" applyFont="true"/>
    <xf numFmtId="0" fontId="8681" fillId="0" borderId="0" xfId="0" applyFill="true" applyBorder="true" applyNumberFormat="true" applyFont="true"/>
    <xf numFmtId="0" fontId="8682" fillId="0" borderId="0" xfId="0" applyFill="true" applyBorder="true" applyNumberFormat="true" applyFont="true"/>
    <xf numFmtId="0" fontId="8683" fillId="0" borderId="0" xfId="0" applyFill="true" applyBorder="true" applyNumberFormat="true" applyFont="true"/>
    <xf numFmtId="0" fontId="8684" fillId="0" borderId="0" xfId="0" applyFill="true" applyBorder="true" applyNumberFormat="true" applyFont="true"/>
    <xf numFmtId="0" fontId="8685" fillId="0" borderId="0" xfId="0" applyFill="true" applyBorder="true" applyNumberFormat="true" applyFont="true"/>
    <xf numFmtId="0" fontId="8686" fillId="0" borderId="0" xfId="0" applyFill="true" applyBorder="true" applyNumberFormat="true" applyFont="true"/>
    <xf numFmtId="0" fontId="8687" fillId="0" borderId="0" xfId="0" applyFill="true" applyBorder="true" applyNumberFormat="true" applyFont="true"/>
    <xf numFmtId="0" fontId="8688" fillId="0" borderId="0" xfId="0" applyFill="true" applyBorder="true" applyNumberFormat="true" applyFont="true"/>
    <xf numFmtId="0" fontId="8689" fillId="0" borderId="0" xfId="0" applyFill="true" applyBorder="true" applyNumberFormat="true" applyFont="true"/>
    <xf numFmtId="0" fontId="8690" fillId="0" borderId="0" xfId="0" applyFill="true" applyBorder="true" applyNumberFormat="true" applyFont="true"/>
    <xf numFmtId="0" fontId="8691" fillId="0" borderId="0" xfId="0" applyFill="true" applyBorder="true" applyNumberFormat="true" applyFont="true"/>
    <xf numFmtId="0" fontId="8692" fillId="0" borderId="0" xfId="0" applyFill="true" applyBorder="true" applyNumberFormat="true" applyFont="true"/>
    <xf numFmtId="0" fontId="8693" fillId="0" borderId="0" xfId="0" applyFill="true" applyBorder="true" applyNumberFormat="true" applyFont="true"/>
    <xf numFmtId="0" fontId="8694" fillId="0" borderId="0" xfId="0" applyFill="true" applyBorder="true" applyNumberFormat="true" applyFont="true"/>
    <xf numFmtId="0" fontId="8695" fillId="0" borderId="0" xfId="0" applyFill="true" applyBorder="true" applyNumberFormat="true" applyFont="true"/>
    <xf numFmtId="0" fontId="8696" fillId="0" borderId="0" xfId="0" applyFill="true" applyBorder="true" applyNumberFormat="true" applyFont="true"/>
    <xf numFmtId="0" fontId="8697" fillId="0" borderId="0" xfId="0" applyFill="true" applyBorder="true" applyNumberFormat="true" applyFont="true"/>
    <xf numFmtId="0" fontId="8698" fillId="0" borderId="0" xfId="0" applyFill="true" applyBorder="true" applyNumberFormat="true" applyFont="true"/>
    <xf numFmtId="0" fontId="8699" fillId="0" borderId="0" xfId="0" applyFill="true" applyBorder="true" applyNumberFormat="true" applyFont="true"/>
    <xf numFmtId="0" fontId="8700" fillId="0" borderId="0" xfId="0" applyFill="true" applyBorder="true" applyNumberFormat="true" applyFont="true"/>
    <xf numFmtId="0" fontId="8701" fillId="0" borderId="0" xfId="0" applyFill="true" applyBorder="true" applyNumberFormat="true" applyFont="true"/>
    <xf numFmtId="0" fontId="8702" fillId="0" borderId="0" xfId="0" applyFill="true" applyBorder="true" applyNumberFormat="true" applyFont="true"/>
    <xf numFmtId="0" fontId="8703" fillId="0" borderId="0" xfId="0" applyFill="true" applyBorder="true" applyNumberFormat="true" applyFont="true"/>
    <xf numFmtId="0" fontId="8704" fillId="0" borderId="0" xfId="0" applyFill="true" applyBorder="true" applyNumberFormat="true" applyFont="true"/>
    <xf numFmtId="0" fontId="8705" fillId="0" borderId="0" xfId="0" applyFill="true" applyBorder="true" applyNumberFormat="true" applyFont="true"/>
    <xf numFmtId="0" fontId="8706" fillId="0" borderId="0" xfId="0" applyFill="true" applyBorder="true" applyNumberFormat="true" applyFont="true"/>
    <xf numFmtId="0" fontId="8707" fillId="0" borderId="0" xfId="0" applyFill="true" applyBorder="true" applyNumberFormat="true" applyFont="true"/>
    <xf numFmtId="0" fontId="8708" fillId="0" borderId="0" xfId="0" applyFill="true" applyBorder="true" applyNumberFormat="true" applyFont="true"/>
    <xf numFmtId="0" fontId="8709" fillId="0" borderId="0" xfId="0" applyFill="true" applyBorder="true" applyNumberFormat="true" applyFont="true"/>
    <xf numFmtId="0" fontId="8710" fillId="0" borderId="0" xfId="0" applyFill="true" applyBorder="true" applyNumberFormat="true" applyFont="true"/>
    <xf numFmtId="0" fontId="8711" fillId="0" borderId="0" xfId="0" applyFill="true" applyBorder="true" applyNumberFormat="true" applyFont="true"/>
    <xf numFmtId="0" fontId="8712" fillId="0" borderId="0" xfId="0" applyFill="true" applyBorder="true" applyNumberFormat="true" applyFont="true"/>
    <xf numFmtId="0" fontId="8713" fillId="0" borderId="0" xfId="0" applyFill="true" applyBorder="true" applyNumberFormat="true" applyFont="true"/>
    <xf numFmtId="0" fontId="8714" fillId="0" borderId="0" xfId="0" applyFill="true" applyBorder="true" applyNumberFormat="true" applyFont="true"/>
    <xf numFmtId="0" fontId="8715" fillId="0" borderId="0" xfId="0" applyFill="true" applyBorder="true" applyNumberFormat="true" applyFont="true"/>
    <xf numFmtId="0" fontId="8716" fillId="0" borderId="0" xfId="0" applyFill="true" applyBorder="true" applyNumberFormat="true" applyFont="true"/>
    <xf numFmtId="0" fontId="8717" fillId="0" borderId="0" xfId="0" applyFill="true" applyBorder="true" applyNumberFormat="true" applyFont="true"/>
    <xf numFmtId="0" fontId="8718" fillId="0" borderId="0" xfId="0" applyFill="true" applyBorder="true" applyNumberFormat="true" applyFont="true"/>
    <xf numFmtId="0" fontId="8719" fillId="0" borderId="0" xfId="0" applyFill="true" applyBorder="true" applyNumberFormat="true" applyFont="true"/>
    <xf numFmtId="0" fontId="8720" fillId="0" borderId="0" xfId="0" applyFill="true" applyBorder="true" applyNumberFormat="true" applyFont="true"/>
    <xf numFmtId="0" fontId="8721" fillId="0" borderId="0" xfId="0" applyFill="true" applyBorder="true" applyNumberFormat="true" applyFont="true"/>
    <xf numFmtId="0" fontId="8722" fillId="0" borderId="0" xfId="0" applyFill="true" applyBorder="true" applyNumberFormat="true" applyFont="true"/>
    <xf numFmtId="0" fontId="8723" fillId="0" borderId="0" xfId="0" applyFill="true" applyBorder="true" applyNumberFormat="true" applyFont="true"/>
    <xf numFmtId="0" fontId="8724" fillId="0" borderId="0" xfId="0" applyFill="true" applyBorder="true" applyNumberFormat="true" applyFont="true"/>
    <xf numFmtId="0" fontId="8725" fillId="0" borderId="0" xfId="0" applyFill="true" applyBorder="true" applyNumberFormat="true" applyFont="true"/>
    <xf numFmtId="0" fontId="8726" fillId="0" borderId="0" xfId="0" applyFill="true" applyBorder="true" applyNumberFormat="true" applyFont="true"/>
    <xf numFmtId="0" fontId="8727" fillId="0" borderId="0" xfId="0" applyFill="true" applyBorder="true" applyNumberFormat="true" applyFont="true"/>
    <xf numFmtId="0" fontId="8728" fillId="0" borderId="0" xfId="0" applyFill="true" applyBorder="true" applyNumberFormat="true" applyFont="true"/>
    <xf numFmtId="0" fontId="8729" fillId="0" borderId="0" xfId="0" applyFill="true" applyBorder="true" applyNumberFormat="true" applyFont="true"/>
    <xf numFmtId="0" fontId="8730" fillId="0" borderId="0" xfId="0" applyFill="true" applyBorder="true" applyNumberFormat="true" applyFont="true"/>
    <xf numFmtId="0" fontId="8731" fillId="0" borderId="0" xfId="0" applyFill="true" applyBorder="true" applyNumberFormat="true" applyFont="true"/>
    <xf numFmtId="0" fontId="8732" fillId="0" borderId="0" xfId="0" applyFill="true" applyBorder="true" applyNumberFormat="true" applyFont="true"/>
    <xf numFmtId="0" fontId="8733" fillId="0" borderId="0" xfId="0" applyFill="true" applyBorder="true" applyNumberFormat="true" applyFont="true"/>
    <xf numFmtId="0" fontId="8734" fillId="0" borderId="0" xfId="0" applyFill="true" applyBorder="true" applyNumberFormat="true" applyFont="true"/>
    <xf numFmtId="0" fontId="8735" fillId="0" borderId="0" xfId="0" applyFill="true" applyBorder="true" applyNumberFormat="true" applyFont="true"/>
    <xf numFmtId="0" fontId="8736" fillId="0" borderId="0" xfId="0" applyFill="true" applyBorder="true" applyNumberFormat="true" applyFont="true"/>
    <xf numFmtId="0" fontId="8737" fillId="0" borderId="0" xfId="0" applyFill="true" applyBorder="true" applyNumberFormat="true" applyFont="true"/>
    <xf numFmtId="0" fontId="8738" fillId="0" borderId="0" xfId="0" applyFill="true" applyBorder="true" applyNumberFormat="true" applyFont="true"/>
    <xf numFmtId="0" fontId="8739" fillId="0" borderId="0" xfId="0" applyFill="true" applyBorder="true" applyNumberFormat="true" applyFont="true"/>
    <xf numFmtId="0" fontId="8740" fillId="0" borderId="0" xfId="0" applyFill="true" applyBorder="true" applyNumberFormat="true" applyFont="true"/>
    <xf numFmtId="0" fontId="8741" fillId="0" borderId="0" xfId="0" applyFill="true" applyBorder="true" applyNumberFormat="true" applyFont="true"/>
    <xf numFmtId="0" fontId="8742" fillId="0" borderId="0" xfId="0" applyFill="true" applyBorder="true" applyNumberFormat="true" applyFont="true"/>
    <xf numFmtId="0" fontId="8743" fillId="0" borderId="0" xfId="0" applyFill="true" applyBorder="true" applyNumberFormat="true" applyFont="true"/>
    <xf numFmtId="0" fontId="8744" fillId="0" borderId="0" xfId="0" applyFill="true" applyBorder="true" applyNumberFormat="true" applyFont="true"/>
    <xf numFmtId="0" fontId="8745" fillId="0" borderId="0" xfId="0" applyFill="true" applyBorder="true" applyNumberFormat="true" applyFont="true"/>
    <xf numFmtId="0" fontId="8746" fillId="0" borderId="0" xfId="0" applyFill="true" applyBorder="true" applyNumberFormat="true" applyFont="true"/>
    <xf numFmtId="0" fontId="8747" fillId="0" borderId="0" xfId="0" applyFill="true" applyBorder="true" applyNumberFormat="true" applyFont="true"/>
    <xf numFmtId="0" fontId="8748" fillId="0" borderId="0" xfId="0" applyFill="true" applyBorder="true" applyNumberFormat="true" applyFont="true"/>
    <xf numFmtId="0" fontId="8749" fillId="0" borderId="0" xfId="0" applyFill="true" applyBorder="true" applyNumberFormat="true" applyFont="true"/>
    <xf numFmtId="0" fontId="8750" fillId="0" borderId="0" xfId="0" applyFill="true" applyBorder="true" applyNumberFormat="true" applyFont="true"/>
    <xf numFmtId="0" fontId="8751" fillId="0" borderId="0" xfId="0" applyFill="true" applyBorder="true" applyNumberFormat="true" applyFont="true"/>
    <xf numFmtId="0" fontId="8752" fillId="0" borderId="0" xfId="0" applyFill="true" applyBorder="true" applyNumberFormat="true" applyFont="true"/>
    <xf numFmtId="0" fontId="8753" fillId="0" borderId="0" xfId="0" applyFill="true" applyBorder="true" applyNumberFormat="true" applyFont="true"/>
    <xf numFmtId="0" fontId="8754" fillId="0" borderId="0" xfId="0" applyFill="true" applyBorder="true" applyNumberFormat="true" applyFont="true"/>
    <xf numFmtId="0" fontId="8755" fillId="0" borderId="0" xfId="0" applyFill="true" applyBorder="true" applyNumberFormat="true" applyFont="true"/>
    <xf numFmtId="0" fontId="8756" fillId="0" borderId="0" xfId="0" applyFill="true" applyBorder="true" applyNumberFormat="true" applyFont="true"/>
    <xf numFmtId="0" fontId="8757" fillId="0" borderId="0" xfId="0" applyFill="true" applyBorder="true" applyNumberFormat="true" applyFont="true"/>
    <xf numFmtId="0" fontId="8758" fillId="0" borderId="0" xfId="0" applyFill="true" applyBorder="true" applyNumberFormat="true" applyFont="true"/>
    <xf numFmtId="0" fontId="8759" fillId="0" borderId="0" xfId="0" applyFill="true" applyBorder="true" applyNumberFormat="true" applyFont="true"/>
    <xf numFmtId="0" fontId="8760" fillId="0" borderId="0" xfId="0" applyFill="true" applyBorder="true" applyNumberFormat="true" applyFont="true"/>
    <xf numFmtId="0" fontId="8761" fillId="0" borderId="0" xfId="0" applyFill="true" applyBorder="true" applyNumberFormat="true" applyFont="true"/>
    <xf numFmtId="0" fontId="8762" fillId="0" borderId="0" xfId="0" applyFill="true" applyBorder="true" applyNumberFormat="true" applyFont="true"/>
    <xf numFmtId="0" fontId="8763" fillId="0" borderId="0" xfId="0" applyFill="true" applyBorder="true" applyNumberFormat="true" applyFont="true"/>
    <xf numFmtId="0" fontId="8764" fillId="0" borderId="0" xfId="0" applyFill="true" applyBorder="true" applyNumberFormat="true" applyFont="true"/>
    <xf numFmtId="0" fontId="8765" fillId="0" borderId="0" xfId="0" applyFill="true" applyBorder="true" applyNumberFormat="true" applyFont="true"/>
    <xf numFmtId="0" fontId="8766" fillId="0" borderId="0" xfId="0" applyFill="true" applyBorder="true" applyNumberFormat="true" applyFont="true"/>
    <xf numFmtId="0" fontId="8767" fillId="0" borderId="0" xfId="0" applyFill="true" applyBorder="true" applyNumberFormat="true" applyFont="true"/>
    <xf numFmtId="0" fontId="8768" fillId="0" borderId="0" xfId="0" applyFill="true" applyBorder="true" applyNumberFormat="true" applyFont="true"/>
    <xf numFmtId="0" fontId="8769" fillId="0" borderId="0" xfId="0" applyFill="true" applyBorder="true" applyNumberFormat="true" applyFont="true"/>
    <xf numFmtId="0" fontId="8770" fillId="0" borderId="0" xfId="0" applyFill="true" applyBorder="true" applyNumberFormat="true" applyFont="true"/>
    <xf numFmtId="0" fontId="8771" fillId="0" borderId="0" xfId="0" applyFill="true" applyBorder="true" applyNumberFormat="true" applyFont="true"/>
    <xf numFmtId="0" fontId="8772" fillId="0" borderId="0" xfId="0" applyFill="true" applyBorder="true" applyNumberFormat="true" applyFont="true"/>
    <xf numFmtId="0" fontId="8773" fillId="0" borderId="0" xfId="0" applyFill="true" applyBorder="true" applyNumberFormat="true" applyFont="true"/>
    <xf numFmtId="0" fontId="8774" fillId="0" borderId="0" xfId="0" applyFill="true" applyBorder="true" applyNumberFormat="true" applyFont="true"/>
    <xf numFmtId="0" fontId="8775" fillId="0" borderId="0" xfId="0" applyFill="true" applyBorder="true" applyNumberFormat="true" applyFont="true"/>
    <xf numFmtId="0" fontId="8776" fillId="0" borderId="0" xfId="0" applyFill="true" applyBorder="true" applyNumberFormat="true" applyFont="true"/>
    <xf numFmtId="0" fontId="8777" fillId="0" borderId="0" xfId="0" applyFill="true" applyBorder="true" applyNumberFormat="true" applyFont="true"/>
    <xf numFmtId="0" fontId="8778" fillId="0" borderId="0" xfId="0" applyFill="true" applyBorder="true" applyNumberFormat="true" applyFont="true"/>
    <xf numFmtId="0" fontId="8779" fillId="0" borderId="0" xfId="0" applyFill="true" applyBorder="true" applyNumberFormat="true" applyFont="true"/>
    <xf numFmtId="0" fontId="8780" fillId="0" borderId="0" xfId="0" applyFill="true" applyBorder="true" applyNumberFormat="true" applyFont="true"/>
    <xf numFmtId="0" fontId="8781" fillId="0" borderId="0" xfId="0" applyFill="true" applyBorder="true" applyNumberFormat="true" applyFont="true"/>
    <xf numFmtId="0" fontId="8782" fillId="0" borderId="0" xfId="0" applyFill="true" applyBorder="true" applyNumberFormat="true" applyFont="true"/>
    <xf numFmtId="0" fontId="8783" fillId="0" borderId="0" xfId="0" applyFill="true" applyBorder="true" applyNumberFormat="true" applyFont="true"/>
    <xf numFmtId="0" fontId="8784" fillId="0" borderId="0" xfId="0" applyFill="true" applyBorder="true" applyNumberFormat="true" applyFont="true"/>
    <xf numFmtId="0" fontId="8785" fillId="0" borderId="0" xfId="0" applyFill="true" applyBorder="true" applyNumberFormat="true" applyFont="true"/>
    <xf numFmtId="0" fontId="8786" fillId="0" borderId="0" xfId="0" applyFill="true" applyBorder="true" applyNumberFormat="true" applyFont="true"/>
    <xf numFmtId="0" fontId="8787" fillId="0" borderId="0" xfId="0" applyFill="true" applyBorder="true" applyNumberFormat="true" applyFont="true"/>
    <xf numFmtId="0" fontId="8788" fillId="0" borderId="0" xfId="0" applyFill="true" applyBorder="true" applyNumberFormat="true" applyFont="true"/>
    <xf numFmtId="0" fontId="8789" fillId="0" borderId="0" xfId="0" applyFill="true" applyBorder="true" applyNumberFormat="true" applyFont="true"/>
    <xf numFmtId="0" fontId="8790" fillId="0" borderId="0" xfId="0" applyFill="true" applyBorder="true" applyNumberFormat="true" applyFont="true"/>
    <xf numFmtId="0" fontId="8791" fillId="0" borderId="0" xfId="0" applyFill="true" applyBorder="true" applyNumberFormat="true" applyFont="true"/>
    <xf numFmtId="0" fontId="8792" fillId="0" borderId="0" xfId="0" applyFill="true" applyBorder="true" applyNumberFormat="true" applyFont="true"/>
    <xf numFmtId="0" fontId="8793" fillId="0" borderId="0" xfId="0" applyFill="true" applyBorder="true" applyNumberFormat="true" applyFont="true"/>
    <xf numFmtId="0" fontId="8794" fillId="0" borderId="0" xfId="0" applyFill="true" applyBorder="true" applyNumberFormat="true" applyFont="true"/>
    <xf numFmtId="0" fontId="8795" fillId="0" borderId="0" xfId="0" applyFill="true" applyBorder="true" applyNumberFormat="true" applyFont="true"/>
    <xf numFmtId="0" fontId="8796" fillId="0" borderId="0" xfId="0" applyFill="true" applyBorder="true" applyNumberFormat="true" applyFont="true"/>
    <xf numFmtId="0" fontId="8797" fillId="0" borderId="0" xfId="0" applyFill="true" applyBorder="true" applyNumberFormat="true" applyFont="true"/>
    <xf numFmtId="0" fontId="8798" fillId="0" borderId="0" xfId="0" applyFill="true" applyBorder="true" applyNumberFormat="true" applyFont="true"/>
    <xf numFmtId="0" fontId="8799" fillId="0" borderId="0" xfId="0" applyFill="true" applyBorder="true" applyNumberFormat="true" applyFont="true"/>
    <xf numFmtId="0" fontId="8800" fillId="0" borderId="0" xfId="0" applyFill="true" applyBorder="true" applyNumberFormat="true" applyFont="true"/>
    <xf numFmtId="0" fontId="8801" fillId="0" borderId="0" xfId="0" applyFill="true" applyBorder="true" applyNumberFormat="true" applyFont="true"/>
    <xf numFmtId="0" fontId="8802" fillId="0" borderId="0" xfId="0" applyFill="true" applyBorder="true" applyNumberFormat="true" applyFont="true"/>
    <xf numFmtId="0" fontId="8803" fillId="0" borderId="0" xfId="0" applyFill="true" applyBorder="true" applyNumberFormat="true" applyFont="true"/>
    <xf numFmtId="0" fontId="8804" fillId="0" borderId="0" xfId="0" applyFill="true" applyBorder="true" applyNumberFormat="true" applyFont="true"/>
    <xf numFmtId="0" fontId="8805" fillId="0" borderId="0" xfId="0" applyFill="true" applyBorder="true" applyNumberFormat="true" applyFont="true"/>
    <xf numFmtId="0" fontId="8806" fillId="0" borderId="0" xfId="0" applyFill="true" applyBorder="true" applyNumberFormat="true" applyFont="true"/>
    <xf numFmtId="0" fontId="8807" fillId="0" borderId="0" xfId="0" applyFill="true" applyBorder="true" applyNumberFormat="true" applyFont="true"/>
    <xf numFmtId="0" fontId="8808" fillId="0" borderId="0" xfId="0" applyFill="true" applyBorder="true" applyNumberFormat="true" applyFont="true"/>
    <xf numFmtId="0" fontId="8809" fillId="0" borderId="0" xfId="0" applyFill="true" applyBorder="true" applyNumberFormat="true" applyFont="true"/>
    <xf numFmtId="0" fontId="8810" fillId="0" borderId="0" xfId="0" applyFill="true" applyBorder="true" applyNumberFormat="true" applyFont="true"/>
    <xf numFmtId="0" fontId="8811" fillId="0" borderId="0" xfId="0" applyFill="true" applyBorder="true" applyNumberFormat="true" applyFont="true"/>
    <xf numFmtId="0" fontId="8812" fillId="0" borderId="0" xfId="0" applyFill="true" applyBorder="true" applyNumberFormat="true" applyFont="true"/>
    <xf numFmtId="0" fontId="8813" fillId="0" borderId="0" xfId="0" applyFill="true" applyBorder="true" applyNumberFormat="true" applyFont="true"/>
    <xf numFmtId="0" fontId="8814" fillId="0" borderId="0" xfId="0" applyFill="true" applyBorder="true" applyNumberFormat="true" applyFont="true"/>
    <xf numFmtId="0" fontId="8815" fillId="0" borderId="0" xfId="0" applyFill="true" applyBorder="true" applyNumberFormat="true" applyFont="true"/>
    <xf numFmtId="0" fontId="8816" fillId="0" borderId="0" xfId="0" applyFill="true" applyBorder="true" applyNumberFormat="true" applyFont="true"/>
    <xf numFmtId="0" fontId="8817" fillId="0" borderId="0" xfId="0" applyFill="true" applyBorder="true" applyNumberFormat="true" applyFont="true"/>
    <xf numFmtId="0" fontId="8818" fillId="0" borderId="0" xfId="0" applyFill="true" applyBorder="true" applyNumberFormat="true" applyFont="true"/>
    <xf numFmtId="0" fontId="8819" fillId="0" borderId="0" xfId="0" applyFill="true" applyBorder="true" applyNumberFormat="true" applyFont="true"/>
    <xf numFmtId="0" fontId="8820" fillId="0" borderId="0" xfId="0" applyFill="true" applyBorder="true" applyNumberFormat="true" applyFont="true"/>
    <xf numFmtId="0" fontId="8821" fillId="0" borderId="0" xfId="0" applyFill="true" applyBorder="true" applyNumberFormat="true" applyFont="true"/>
    <xf numFmtId="0" fontId="8822" fillId="0" borderId="0" xfId="0" applyFill="true" applyBorder="true" applyNumberFormat="true" applyFont="true"/>
    <xf numFmtId="0" fontId="8823" fillId="0" borderId="0" xfId="0" applyFill="true" applyBorder="true" applyNumberFormat="true" applyFont="true"/>
    <xf numFmtId="0" fontId="8824" fillId="0" borderId="0" xfId="0" applyFill="true" applyBorder="true" applyNumberFormat="true" applyFont="true"/>
    <xf numFmtId="0" fontId="8825" fillId="0" borderId="0" xfId="0" applyFill="true" applyBorder="true" applyNumberFormat="true" applyFont="true"/>
    <xf numFmtId="0" fontId="8826" fillId="0" borderId="0" xfId="0" applyFill="true" applyBorder="true" applyNumberFormat="true" applyFont="true"/>
    <xf numFmtId="0" fontId="8827" fillId="0" borderId="0" xfId="0" applyFill="true" applyBorder="true" applyNumberFormat="true" applyFont="true"/>
    <xf numFmtId="0" fontId="8828" fillId="0" borderId="0" xfId="0" applyFill="true" applyBorder="true" applyNumberFormat="true" applyFont="true"/>
    <xf numFmtId="0" fontId="8829" fillId="0" borderId="0" xfId="0" applyFill="true" applyBorder="true" applyNumberFormat="true" applyFont="true"/>
    <xf numFmtId="0" fontId="8830" fillId="0" borderId="0" xfId="0" applyFill="true" applyBorder="true" applyNumberFormat="true" applyFont="true"/>
    <xf numFmtId="0" fontId="8831" fillId="0" borderId="0" xfId="0" applyFill="true" applyBorder="true" applyNumberFormat="true" applyFont="true"/>
    <xf numFmtId="0" fontId="8832" fillId="0" borderId="0" xfId="0" applyFill="true" applyBorder="true" applyNumberFormat="true" applyFont="true"/>
    <xf numFmtId="0" fontId="8833" fillId="0" borderId="0" xfId="0" applyFill="true" applyBorder="true" applyNumberFormat="true" applyFont="true"/>
    <xf numFmtId="0" fontId="8834" fillId="0" borderId="0" xfId="0" applyFill="true" applyBorder="true" applyNumberFormat="true" applyFont="true"/>
    <xf numFmtId="0" fontId="8835" fillId="0" borderId="0" xfId="0" applyFill="true" applyBorder="true" applyNumberFormat="true" applyFont="true"/>
    <xf numFmtId="0" fontId="8836" fillId="0" borderId="0" xfId="0" applyFill="true" applyBorder="true" applyNumberFormat="true" applyFont="true"/>
    <xf numFmtId="0" fontId="8837" fillId="0" borderId="0" xfId="0" applyFill="true" applyBorder="true" applyNumberFormat="true" applyFont="true"/>
    <xf numFmtId="0" fontId="8838" fillId="0" borderId="0" xfId="0" applyFill="true" applyBorder="true" applyNumberFormat="true" applyFont="true"/>
    <xf numFmtId="0" fontId="8839" fillId="0" borderId="0" xfId="0" applyFill="true" applyBorder="true" applyNumberFormat="true" applyFont="true"/>
    <xf numFmtId="0" fontId="8840" fillId="0" borderId="0" xfId="0" applyFill="true" applyBorder="true" applyNumberFormat="true" applyFont="true"/>
    <xf numFmtId="0" fontId="8841" fillId="0" borderId="0" xfId="0" applyFill="true" applyBorder="true" applyNumberFormat="true" applyFont="true"/>
    <xf numFmtId="0" fontId="8842" fillId="0" borderId="0" xfId="0" applyFill="true" applyBorder="true" applyNumberFormat="true" applyFont="true"/>
    <xf numFmtId="0" fontId="8843" fillId="0" borderId="0" xfId="0" applyFill="true" applyBorder="true" applyNumberFormat="true" applyFont="true"/>
    <xf numFmtId="0" fontId="8844" fillId="0" borderId="0" xfId="0" applyFill="true" applyBorder="true" applyNumberFormat="true" applyFont="true"/>
    <xf numFmtId="0" fontId="8845" fillId="0" borderId="0" xfId="0" applyFill="true" applyBorder="true" applyNumberFormat="true" applyFont="true"/>
    <xf numFmtId="0" fontId="8846" fillId="0" borderId="0" xfId="0" applyFill="true" applyBorder="true" applyNumberFormat="true" applyFont="true"/>
    <xf numFmtId="0" fontId="8847" fillId="0" borderId="0" xfId="0" applyFill="true" applyBorder="true" applyNumberFormat="true" applyFont="true"/>
    <xf numFmtId="0" fontId="8848" fillId="0" borderId="0" xfId="0" applyFill="true" applyBorder="true" applyNumberFormat="true" applyFont="true"/>
    <xf numFmtId="0" fontId="8849" fillId="0" borderId="0" xfId="0" applyFill="true" applyBorder="true" applyNumberFormat="true" applyFont="true"/>
    <xf numFmtId="0" fontId="8850" fillId="0" borderId="0" xfId="0" applyFill="true" applyBorder="true" applyNumberFormat="true" applyFont="true"/>
    <xf numFmtId="0" fontId="8851" fillId="0" borderId="0" xfId="0" applyFill="true" applyBorder="true" applyNumberFormat="true" applyFont="true"/>
    <xf numFmtId="0" fontId="8852" fillId="0" borderId="0" xfId="0" applyFill="true" applyBorder="true" applyNumberFormat="true" applyFont="true"/>
    <xf numFmtId="0" fontId="8853" fillId="0" borderId="0" xfId="0" applyFill="true" applyBorder="true" applyNumberFormat="true" applyFont="true"/>
    <xf numFmtId="0" fontId="8854" fillId="0" borderId="0" xfId="0" applyFill="true" applyBorder="true" applyNumberFormat="true" applyFont="true"/>
    <xf numFmtId="0" fontId="8855" fillId="0" borderId="0" xfId="0" applyFill="true" applyBorder="true" applyNumberFormat="true" applyFont="true"/>
    <xf numFmtId="0" fontId="8856" fillId="0" borderId="0" xfId="0" applyFill="true" applyBorder="true" applyNumberFormat="true" applyFont="true"/>
    <xf numFmtId="0" fontId="8857" fillId="0" borderId="0" xfId="0" applyFill="true" applyBorder="true" applyNumberFormat="true" applyFont="true"/>
    <xf numFmtId="0" fontId="8858" fillId="0" borderId="0" xfId="0" applyFill="true" applyBorder="true" applyNumberFormat="true" applyFont="true"/>
    <xf numFmtId="0" fontId="8859" fillId="0" borderId="0" xfId="0" applyFill="true" applyBorder="true" applyNumberFormat="true" applyFont="true"/>
    <xf numFmtId="0" fontId="8860" fillId="0" borderId="0" xfId="0" applyFill="true" applyBorder="true" applyNumberFormat="true" applyFont="true"/>
    <xf numFmtId="0" fontId="8861" fillId="0" borderId="0" xfId="0" applyFill="true" applyBorder="true" applyNumberFormat="true" applyFont="true"/>
    <xf numFmtId="0" fontId="8862" fillId="0" borderId="0" xfId="0" applyFill="true" applyBorder="true" applyNumberFormat="true" applyFont="true"/>
    <xf numFmtId="0" fontId="8863" fillId="0" borderId="0" xfId="0" applyFill="true" applyBorder="true" applyNumberFormat="true" applyFont="true"/>
    <xf numFmtId="0" fontId="8864" fillId="0" borderId="0" xfId="0" applyFill="true" applyBorder="true" applyNumberFormat="true" applyFont="true"/>
    <xf numFmtId="0" fontId="8865" fillId="0" borderId="0" xfId="0" applyFill="true" applyBorder="true" applyNumberFormat="true" applyFont="true"/>
    <xf numFmtId="0" fontId="8866" fillId="0" borderId="0" xfId="0" applyFill="true" applyBorder="true" applyNumberFormat="true" applyFont="true"/>
    <xf numFmtId="0" fontId="8867" fillId="0" borderId="0" xfId="0" applyFill="true" applyBorder="true" applyNumberFormat="true" applyFont="true"/>
    <xf numFmtId="0" fontId="8868" fillId="0" borderId="0" xfId="0" applyFill="true" applyBorder="true" applyNumberFormat="true" applyFont="true"/>
    <xf numFmtId="0" fontId="8869" fillId="0" borderId="0" xfId="0" applyFill="true" applyBorder="true" applyNumberFormat="true" applyFont="true"/>
    <xf numFmtId="0" fontId="8870" fillId="0" borderId="0" xfId="0" applyFill="true" applyBorder="true" applyNumberFormat="true" applyFont="true"/>
    <xf numFmtId="0" fontId="8871" fillId="0" borderId="0" xfId="0" applyFill="true" applyBorder="true" applyNumberFormat="true" applyFont="true"/>
    <xf numFmtId="0" fontId="8872" fillId="0" borderId="0" xfId="0" applyFill="true" applyBorder="true" applyNumberFormat="true" applyFont="true"/>
    <xf numFmtId="0" fontId="8873" fillId="0" borderId="0" xfId="0" applyFill="true" applyBorder="true" applyNumberFormat="true" applyFont="true"/>
    <xf numFmtId="0" fontId="8874" fillId="0" borderId="0" xfId="0" applyFill="true" applyBorder="true" applyNumberFormat="true" applyFont="true"/>
    <xf numFmtId="0" fontId="8875" fillId="0" borderId="0" xfId="0" applyFill="true" applyBorder="true" applyNumberFormat="true" applyFont="true"/>
    <xf numFmtId="0" fontId="8876" fillId="0" borderId="0" xfId="0" applyFill="true" applyBorder="true" applyNumberFormat="true" applyFont="true"/>
    <xf numFmtId="0" fontId="8877" fillId="0" borderId="0" xfId="0" applyFill="true" applyBorder="true" applyNumberFormat="true" applyFont="true"/>
    <xf numFmtId="0" fontId="8878" fillId="0" borderId="0" xfId="0" applyFill="true" applyBorder="true" applyNumberFormat="true" applyFont="true"/>
    <xf numFmtId="0" fontId="8879" fillId="0" borderId="0" xfId="0" applyFill="true" applyBorder="true" applyNumberFormat="true" applyFont="true"/>
    <xf numFmtId="0" fontId="8880" fillId="0" borderId="0" xfId="0" applyFill="true" applyBorder="true" applyNumberFormat="true" applyFont="true"/>
    <xf numFmtId="0" fontId="8881" fillId="0" borderId="0" xfId="0" applyFill="true" applyBorder="true" applyNumberFormat="true" applyFont="true"/>
    <xf numFmtId="0" fontId="8882" fillId="0" borderId="0" xfId="0" applyFill="true" applyBorder="true" applyNumberFormat="true" applyFont="true"/>
    <xf numFmtId="0" fontId="8883" fillId="0" borderId="0" xfId="0" applyFill="true" applyBorder="true" applyNumberFormat="true" applyFont="true"/>
    <xf numFmtId="0" fontId="8884" fillId="0" borderId="0" xfId="0" applyFill="true" applyBorder="true" applyNumberFormat="true" applyFont="true"/>
    <xf numFmtId="0" fontId="8885" fillId="0" borderId="0" xfId="0" applyFill="true" applyBorder="true" applyNumberFormat="true" applyFont="true"/>
    <xf numFmtId="0" fontId="8886" fillId="0" borderId="0" xfId="0" applyFill="true" applyBorder="true" applyNumberFormat="true" applyFont="true"/>
    <xf numFmtId="0" fontId="8887" fillId="0" borderId="0" xfId="0" applyFill="true" applyBorder="true" applyNumberFormat="true" applyFont="true"/>
    <xf numFmtId="0" fontId="8888" fillId="0" borderId="0" xfId="0" applyFill="true" applyBorder="true" applyNumberFormat="true" applyFont="true"/>
    <xf numFmtId="0" fontId="8889" fillId="0" borderId="0" xfId="0" applyFill="true" applyBorder="true" applyNumberFormat="true" applyFont="true"/>
    <xf numFmtId="0" fontId="8890" fillId="0" borderId="0" xfId="0" applyFill="true" applyBorder="true" applyNumberFormat="true" applyFont="true"/>
    <xf numFmtId="0" fontId="8891" fillId="0" borderId="0" xfId="0" applyFill="true" applyBorder="true" applyNumberFormat="true" applyFont="true"/>
    <xf numFmtId="0" fontId="8892" fillId="0" borderId="0" xfId="0" applyFill="true" applyBorder="true" applyNumberFormat="true" applyFont="true"/>
    <xf numFmtId="0" fontId="8893" fillId="0" borderId="0" xfId="0" applyFill="true" applyBorder="true" applyNumberFormat="true" applyFont="true"/>
    <xf numFmtId="0" fontId="8894" fillId="0" borderId="0" xfId="0" applyFill="true" applyBorder="true" applyNumberFormat="true" applyFont="true"/>
    <xf numFmtId="0" fontId="8895" fillId="0" borderId="0" xfId="0" applyFill="true" applyBorder="true" applyNumberFormat="true" applyFont="true"/>
    <xf numFmtId="0" fontId="8896" fillId="0" borderId="0" xfId="0" applyFill="true" applyBorder="true" applyNumberFormat="true" applyFont="true"/>
    <xf numFmtId="0" fontId="8897" fillId="0" borderId="0" xfId="0" applyFill="true" applyBorder="true" applyNumberFormat="true" applyFont="true"/>
    <xf numFmtId="0" fontId="8898" fillId="0" borderId="0" xfId="0" applyFill="true" applyBorder="true" applyNumberFormat="true" applyFont="true"/>
    <xf numFmtId="0" fontId="8899" fillId="0" borderId="0" xfId="0" applyFill="true" applyBorder="true" applyNumberFormat="true" applyFont="true"/>
    <xf numFmtId="0" fontId="8900" fillId="0" borderId="0" xfId="0" applyFill="true" applyBorder="true" applyNumberFormat="true" applyFont="true"/>
    <xf numFmtId="0" fontId="8901" fillId="0" borderId="0" xfId="0" applyFill="true" applyBorder="true" applyNumberFormat="true" applyFont="true"/>
    <xf numFmtId="0" fontId="8902" fillId="0" borderId="0" xfId="0" applyFill="true" applyBorder="true" applyNumberFormat="true" applyFont="true"/>
    <xf numFmtId="0" fontId="8903" fillId="0" borderId="0" xfId="0" applyFill="true" applyBorder="true" applyNumberFormat="true" applyFont="true"/>
    <xf numFmtId="0" fontId="8904" fillId="0" borderId="0" xfId="0" applyFill="true" applyBorder="true" applyNumberFormat="true" applyFont="true"/>
    <xf numFmtId="0" fontId="8905" fillId="0" borderId="0" xfId="0" applyFill="true" applyBorder="true" applyNumberFormat="true" applyFont="true"/>
    <xf numFmtId="0" fontId="8906" fillId="0" borderId="0" xfId="0" applyFill="true" applyBorder="true" applyNumberFormat="true" applyFont="true"/>
    <xf numFmtId="0" fontId="8907" fillId="0" borderId="0" xfId="0" applyFill="true" applyBorder="true" applyNumberFormat="true" applyFont="true"/>
    <xf numFmtId="0" fontId="8908" fillId="0" borderId="0" xfId="0" applyFill="true" applyBorder="true" applyNumberFormat="true" applyFont="true"/>
    <xf numFmtId="0" fontId="8909" fillId="0" borderId="0" xfId="0" applyFill="true" applyBorder="true" applyNumberFormat="true" applyFont="true"/>
    <xf numFmtId="0" fontId="8910" fillId="0" borderId="0" xfId="0" applyFill="true" applyBorder="true" applyNumberFormat="true" applyFont="true"/>
    <xf numFmtId="0" fontId="8911" fillId="0" borderId="0" xfId="0" applyFill="true" applyBorder="true" applyNumberFormat="true" applyFont="true"/>
    <xf numFmtId="0" fontId="8912" fillId="0" borderId="0" xfId="0" applyFill="true" applyBorder="true" applyNumberFormat="true" applyFont="true"/>
    <xf numFmtId="0" fontId="8913" fillId="0" borderId="0" xfId="0" applyFill="true" applyBorder="true" applyNumberFormat="true" applyFont="true"/>
    <xf numFmtId="0" fontId="8914" fillId="0" borderId="0" xfId="0" applyFill="true" applyBorder="true" applyNumberFormat="true" applyFont="true"/>
    <xf numFmtId="0" fontId="8915" fillId="0" borderId="0" xfId="0" applyFill="true" applyBorder="true" applyNumberFormat="true" applyFont="true"/>
    <xf numFmtId="0" fontId="8916" fillId="0" borderId="0" xfId="0" applyFill="true" applyBorder="true" applyNumberFormat="true" applyFont="true"/>
    <xf numFmtId="0" fontId="8917" fillId="0" borderId="0" xfId="0" applyFill="true" applyBorder="true" applyNumberFormat="true" applyFont="true"/>
    <xf numFmtId="0" fontId="8918" fillId="0" borderId="0" xfId="0" applyFill="true" applyBorder="true" applyNumberFormat="true" applyFont="true"/>
    <xf numFmtId="0" fontId="8919" fillId="0" borderId="0" xfId="0" applyFill="true" applyBorder="true" applyNumberFormat="true" applyFont="true"/>
    <xf numFmtId="0" fontId="8920" fillId="0" borderId="0" xfId="0" applyFill="true" applyBorder="true" applyNumberFormat="true" applyFont="true"/>
    <xf numFmtId="0" fontId="8921" fillId="0" borderId="0" xfId="0" applyFill="true" applyBorder="true" applyNumberFormat="true" applyFont="true"/>
    <xf numFmtId="0" fontId="8922" fillId="0" borderId="0" xfId="0" applyFill="true" applyBorder="true" applyNumberFormat="true" applyFont="true"/>
    <xf numFmtId="0" fontId="8923" fillId="0" borderId="0" xfId="0" applyFill="true" applyBorder="true" applyNumberFormat="true" applyFont="true"/>
    <xf numFmtId="0" fontId="8924" fillId="0" borderId="0" xfId="0" applyFill="true" applyBorder="true" applyNumberFormat="true" applyFont="true"/>
    <xf numFmtId="0" fontId="8925" fillId="0" borderId="0" xfId="0" applyFill="true" applyBorder="true" applyNumberFormat="true" applyFont="true"/>
    <xf numFmtId="0" fontId="8926" fillId="0" borderId="0" xfId="0" applyFill="true" applyBorder="true" applyNumberFormat="true" applyFont="true"/>
    <xf numFmtId="0" fontId="8927" fillId="0" borderId="0" xfId="0" applyFill="true" applyBorder="true" applyNumberFormat="true" applyFont="true"/>
    <xf numFmtId="0" fontId="8928" fillId="0" borderId="0" xfId="0" applyFill="true" applyBorder="true" applyNumberFormat="true" applyFont="true"/>
    <xf numFmtId="0" fontId="8929" fillId="0" borderId="0" xfId="0" applyFill="true" applyBorder="true" applyNumberFormat="true" applyFont="true"/>
    <xf numFmtId="0" fontId="8930" fillId="0" borderId="0" xfId="0" applyFill="true" applyBorder="true" applyNumberFormat="true" applyFont="true"/>
    <xf numFmtId="0" fontId="8931" fillId="0" borderId="0" xfId="0" applyFill="true" applyBorder="true" applyNumberFormat="true" applyFont="true"/>
    <xf numFmtId="0" fontId="8932" fillId="0" borderId="0" xfId="0" applyFill="true" applyBorder="true" applyNumberFormat="true" applyFont="true"/>
    <xf numFmtId="0" fontId="8933" fillId="0" borderId="0" xfId="0" applyFill="true" applyBorder="true" applyNumberFormat="true" applyFont="true"/>
    <xf numFmtId="0" fontId="8934" fillId="0" borderId="0" xfId="0" applyFill="true" applyBorder="true" applyNumberFormat="true" applyFont="true"/>
    <xf numFmtId="0" fontId="8935" fillId="0" borderId="0" xfId="0" applyFill="true" applyBorder="true" applyNumberFormat="true" applyFont="true"/>
    <xf numFmtId="0" fontId="8936" fillId="0" borderId="0" xfId="0" applyFill="true" applyBorder="true" applyNumberFormat="true" applyFont="true"/>
    <xf numFmtId="0" fontId="8937" fillId="0" borderId="0" xfId="0" applyFill="true" applyBorder="true" applyNumberFormat="true" applyFont="true"/>
    <xf numFmtId="0" fontId="8938" fillId="0" borderId="0" xfId="0" applyFill="true" applyBorder="true" applyNumberFormat="true" applyFont="true"/>
    <xf numFmtId="0" fontId="8939" fillId="0" borderId="0" xfId="0" applyFill="true" applyBorder="true" applyNumberFormat="true" applyFont="true"/>
    <xf numFmtId="0" fontId="8940" fillId="0" borderId="0" xfId="0" applyFill="true" applyBorder="true" applyNumberFormat="true" applyFont="true"/>
    <xf numFmtId="0" fontId="8941" fillId="0" borderId="0" xfId="0" applyFill="true" applyBorder="true" applyNumberFormat="true" applyFont="true"/>
    <xf numFmtId="0" fontId="8942" fillId="0" borderId="0" xfId="0" applyFill="true" applyBorder="true" applyNumberFormat="true" applyFont="true"/>
    <xf numFmtId="0" fontId="8943" fillId="0" borderId="0" xfId="0" applyFill="true" applyBorder="true" applyNumberFormat="true" applyFont="true"/>
    <xf numFmtId="0" fontId="8944" fillId="0" borderId="0" xfId="0" applyFill="true" applyBorder="true" applyNumberFormat="true" applyFont="true"/>
    <xf numFmtId="0" fontId="8945" fillId="0" borderId="0" xfId="0" applyFill="true" applyBorder="true" applyNumberFormat="true" applyFont="true"/>
    <xf numFmtId="0" fontId="8946" fillId="0" borderId="0" xfId="0" applyFill="true" applyBorder="true" applyNumberFormat="true" applyFont="true"/>
    <xf numFmtId="0" fontId="8947" fillId="0" borderId="0" xfId="0" applyFill="true" applyBorder="true" applyNumberFormat="true" applyFont="true"/>
    <xf numFmtId="0" fontId="8948" fillId="0" borderId="0" xfId="0" applyFill="true" applyBorder="true" applyNumberFormat="true" applyFont="true"/>
    <xf numFmtId="0" fontId="8949" fillId="0" borderId="0" xfId="0" applyFill="true" applyBorder="true" applyNumberFormat="true" applyFont="true"/>
    <xf numFmtId="0" fontId="8950" fillId="0" borderId="0" xfId="0" applyFill="true" applyBorder="true" applyNumberFormat="true" applyFont="true"/>
    <xf numFmtId="0" fontId="8951" fillId="0" borderId="0" xfId="0" applyFill="true" applyBorder="true" applyNumberFormat="true" applyFont="true"/>
    <xf numFmtId="0" fontId="8952" fillId="0" borderId="0" xfId="0" applyFill="true" applyBorder="true" applyNumberFormat="true" applyFont="true"/>
    <xf numFmtId="0" fontId="8953" fillId="0" borderId="0" xfId="0" applyFill="true" applyBorder="true" applyNumberFormat="true" applyFont="true"/>
    <xf numFmtId="0" fontId="8954" fillId="0" borderId="0" xfId="0" applyFill="true" applyBorder="true" applyNumberFormat="true" applyFont="true"/>
    <xf numFmtId="0" fontId="8955" fillId="0" borderId="0" xfId="0" applyFill="true" applyBorder="true" applyNumberFormat="true" applyFont="true"/>
    <xf numFmtId="0" fontId="8956" fillId="0" borderId="0" xfId="0" applyFill="true" applyBorder="true" applyNumberFormat="true" applyFont="true"/>
    <xf numFmtId="0" fontId="8957" fillId="0" borderId="0" xfId="0" applyFill="true" applyBorder="true" applyNumberFormat="true" applyFont="true"/>
    <xf numFmtId="0" fontId="8958" fillId="0" borderId="0" xfId="0" applyFill="true" applyBorder="true" applyNumberFormat="true" applyFont="true"/>
    <xf numFmtId="0" fontId="8959" fillId="0" borderId="0" xfId="0" applyFill="true" applyBorder="true" applyNumberFormat="true" applyFont="true"/>
    <xf numFmtId="0" fontId="8960" fillId="0" borderId="0" xfId="0" applyFill="true" applyBorder="true" applyNumberFormat="true" applyFont="true"/>
    <xf numFmtId="0" fontId="8961" fillId="0" borderId="0" xfId="0" applyFill="true" applyBorder="true" applyNumberFormat="true" applyFont="true"/>
    <xf numFmtId="0" fontId="8962" fillId="0" borderId="0" xfId="0" applyFill="true" applyBorder="true" applyNumberFormat="true" applyFont="true"/>
    <xf numFmtId="0" fontId="8963" fillId="0" borderId="0" xfId="0" applyFill="true" applyBorder="true" applyNumberFormat="true" applyFont="true"/>
    <xf numFmtId="0" fontId="8964" fillId="0" borderId="0" xfId="0" applyFill="true" applyBorder="true" applyNumberFormat="true" applyFont="true"/>
    <xf numFmtId="0" fontId="8965" fillId="0" borderId="0" xfId="0" applyFill="true" applyBorder="true" applyNumberFormat="true" applyFont="true"/>
    <xf numFmtId="0" fontId="8966" fillId="0" borderId="0" xfId="0" applyFill="true" applyBorder="true" applyNumberFormat="true" applyFont="true"/>
    <xf numFmtId="0" fontId="8967" fillId="0" borderId="0" xfId="0" applyFill="true" applyBorder="true" applyNumberFormat="true" applyFont="true"/>
    <xf numFmtId="0" fontId="8968" fillId="0" borderId="0" xfId="0" applyFill="true" applyBorder="true" applyNumberFormat="true" applyFont="true"/>
    <xf numFmtId="0" fontId="8969" fillId="0" borderId="0" xfId="0" applyFill="true" applyBorder="true" applyNumberFormat="true" applyFont="true"/>
    <xf numFmtId="0" fontId="8970" fillId="0" borderId="0" xfId="0" applyFill="true" applyBorder="true" applyNumberFormat="true" applyFont="true"/>
    <xf numFmtId="0" fontId="8971" fillId="0" borderId="0" xfId="0" applyFill="true" applyBorder="true" applyNumberFormat="true" applyFont="true"/>
    <xf numFmtId="0" fontId="8972" fillId="0" borderId="0" xfId="0" applyFill="true" applyBorder="true" applyNumberFormat="true" applyFont="true"/>
    <xf numFmtId="0" fontId="8973" fillId="0" borderId="0" xfId="0" applyFill="true" applyBorder="true" applyNumberFormat="true" applyFont="true"/>
    <xf numFmtId="0" fontId="8974" fillId="0" borderId="0" xfId="0" applyFill="true" applyBorder="true" applyNumberFormat="true" applyFont="true"/>
    <xf numFmtId="0" fontId="8975" fillId="0" borderId="0" xfId="0" applyFill="true" applyBorder="true" applyNumberFormat="true" applyFont="true"/>
    <xf numFmtId="0" fontId="8976" fillId="0" borderId="0" xfId="0" applyFill="true" applyBorder="true" applyNumberFormat="true" applyFont="true"/>
    <xf numFmtId="0" fontId="8977" fillId="0" borderId="0" xfId="0" applyFill="true" applyBorder="true" applyNumberFormat="true" applyFont="true"/>
    <xf numFmtId="0" fontId="8978" fillId="0" borderId="0" xfId="0" applyFill="true" applyBorder="true" applyNumberFormat="true" applyFont="true"/>
    <xf numFmtId="0" fontId="8979" fillId="0" borderId="0" xfId="0" applyFill="true" applyBorder="true" applyNumberFormat="true" applyFont="true"/>
    <xf numFmtId="0" fontId="8980" fillId="0" borderId="0" xfId="0" applyFill="true" applyBorder="true" applyNumberFormat="true" applyFont="true"/>
    <xf numFmtId="0" fontId="8981" fillId="0" borderId="0" xfId="0" applyFill="true" applyBorder="true" applyNumberFormat="true" applyFont="true"/>
    <xf numFmtId="0" fontId="8982" fillId="0" borderId="0" xfId="0" applyFill="true" applyBorder="true" applyNumberFormat="true" applyFont="true"/>
    <xf numFmtId="0" fontId="8983" fillId="0" borderId="0" xfId="0" applyFill="true" applyBorder="true" applyNumberFormat="true" applyFont="true"/>
    <xf numFmtId="0" fontId="8984" fillId="0" borderId="0" xfId="0" applyFill="true" applyBorder="true" applyNumberFormat="true" applyFont="true"/>
    <xf numFmtId="0" fontId="8985" fillId="0" borderId="0" xfId="0" applyFill="true" applyBorder="true" applyNumberFormat="true" applyFont="true"/>
    <xf numFmtId="0" fontId="8986" fillId="0" borderId="0" xfId="0" applyFill="true" applyBorder="true" applyNumberFormat="true" applyFont="true"/>
    <xf numFmtId="0" fontId="8987" fillId="0" borderId="0" xfId="0" applyFill="true" applyBorder="true" applyNumberFormat="true" applyFont="true"/>
    <xf numFmtId="0" fontId="8988" fillId="0" borderId="0" xfId="0" applyFill="true" applyBorder="true" applyNumberFormat="true" applyFont="true"/>
    <xf numFmtId="0" fontId="8989" fillId="0" borderId="0" xfId="0" applyFill="true" applyBorder="true" applyNumberFormat="true" applyFont="true"/>
    <xf numFmtId="0" fontId="8990" fillId="0" borderId="0" xfId="0" applyFill="true" applyBorder="true" applyNumberFormat="true" applyFont="true"/>
    <xf numFmtId="0" fontId="8991" fillId="0" borderId="0" xfId="0" applyFill="true" applyBorder="true" applyNumberFormat="true" applyFont="true"/>
    <xf numFmtId="0" fontId="8992" fillId="0" borderId="0" xfId="0" applyFill="true" applyBorder="true" applyNumberFormat="true" applyFont="true"/>
    <xf numFmtId="0" fontId="8993" fillId="0" borderId="0" xfId="0" applyFill="true" applyBorder="true" applyNumberFormat="true" applyFont="true"/>
    <xf numFmtId="0" fontId="8994" fillId="0" borderId="0" xfId="0" applyFill="true" applyBorder="true" applyNumberFormat="true" applyFont="true"/>
    <xf numFmtId="0" fontId="8995" fillId="0" borderId="0" xfId="0" applyFill="true" applyBorder="true" applyNumberFormat="true" applyFont="true"/>
    <xf numFmtId="0" fontId="8996" fillId="0" borderId="0" xfId="0" applyFill="true" applyBorder="true" applyNumberFormat="true" applyFont="true"/>
    <xf numFmtId="0" fontId="8997" fillId="0" borderId="0" xfId="0" applyFill="true" applyBorder="true" applyNumberFormat="true" applyFont="true"/>
    <xf numFmtId="0" fontId="8998" fillId="0" borderId="0" xfId="0" applyFill="true" applyBorder="true" applyNumberFormat="true" applyFont="true"/>
    <xf numFmtId="0" fontId="8999" fillId="0" borderId="0" xfId="0" applyFill="true" applyBorder="true" applyNumberFormat="true" applyFont="true"/>
    <xf numFmtId="0" fontId="9000" fillId="0" borderId="0" xfId="0" applyFill="true" applyBorder="true" applyNumberFormat="true" applyFont="true"/>
    <xf numFmtId="0" fontId="9001" fillId="0" borderId="0" xfId="0" applyFill="true" applyBorder="true" applyNumberFormat="true" applyFont="true"/>
    <xf numFmtId="0" fontId="9002" fillId="0" borderId="0" xfId="0" applyFill="true" applyBorder="true" applyNumberFormat="true" applyFont="true"/>
    <xf numFmtId="0" fontId="9003" fillId="0" borderId="0" xfId="0" applyFill="true" applyBorder="true" applyNumberFormat="true" applyFont="true"/>
    <xf numFmtId="0" fontId="9004" fillId="0" borderId="0" xfId="0" applyFill="true" applyBorder="true" applyNumberFormat="true" applyFont="true"/>
    <xf numFmtId="0" fontId="9005" fillId="0" borderId="0" xfId="0" applyFill="true" applyBorder="true" applyNumberFormat="true" applyFont="true"/>
    <xf numFmtId="0" fontId="9006" fillId="0" borderId="0" xfId="0" applyFill="true" applyBorder="true" applyNumberFormat="true" applyFont="true"/>
    <xf numFmtId="0" fontId="9007" fillId="0" borderId="0" xfId="0" applyFill="true" applyBorder="true" applyNumberFormat="true" applyFont="true"/>
    <xf numFmtId="0" fontId="9008" fillId="0" borderId="0" xfId="0" applyFill="true" applyBorder="true" applyNumberFormat="true" applyFont="true"/>
    <xf numFmtId="0" fontId="9009" fillId="0" borderId="0" xfId="0" applyFill="true" applyBorder="true" applyNumberFormat="true" applyFont="true"/>
    <xf numFmtId="0" fontId="9010" fillId="0" borderId="0" xfId="0" applyFill="true" applyBorder="true" applyNumberFormat="true" applyFont="true"/>
    <xf numFmtId="0" fontId="9011" fillId="0" borderId="0" xfId="0" applyFill="true" applyBorder="true" applyNumberFormat="true" applyFont="true"/>
    <xf numFmtId="0" fontId="9012" fillId="0" borderId="0" xfId="0" applyFill="true" applyBorder="true" applyNumberFormat="true" applyFont="true"/>
    <xf numFmtId="0" fontId="9013" fillId="0" borderId="0" xfId="0" applyFill="true" applyBorder="true" applyNumberFormat="true" applyFont="true"/>
    <xf numFmtId="0" fontId="9014" fillId="0" borderId="0" xfId="0" applyFill="true" applyBorder="true" applyNumberFormat="true" applyFont="true"/>
    <xf numFmtId="0" fontId="9015" fillId="0" borderId="0" xfId="0" applyFill="true" applyBorder="true" applyNumberFormat="true" applyFont="true"/>
    <xf numFmtId="0" fontId="9016" fillId="0" borderId="0" xfId="0" applyFill="true" applyBorder="true" applyNumberFormat="true" applyFont="true"/>
    <xf numFmtId="0" fontId="9017" fillId="0" borderId="0" xfId="0" applyFill="true" applyBorder="true" applyNumberFormat="true" applyFont="true"/>
    <xf numFmtId="0" fontId="9018" fillId="0" borderId="0" xfId="0" applyFill="true" applyBorder="true" applyNumberFormat="true" applyFont="true"/>
    <xf numFmtId="0" fontId="9019" fillId="0" borderId="0" xfId="0" applyFill="true" applyBorder="true" applyNumberFormat="true" applyFont="true"/>
    <xf numFmtId="0" fontId="9020" fillId="0" borderId="0" xfId="0" applyFill="true" applyBorder="true" applyNumberFormat="true" applyFont="true"/>
    <xf numFmtId="0" fontId="9021" fillId="0" borderId="0" xfId="0" applyFill="true" applyBorder="true" applyNumberFormat="true" applyFont="true"/>
    <xf numFmtId="0" fontId="9022" fillId="0" borderId="0" xfId="0" applyFill="true" applyBorder="true" applyNumberFormat="true" applyFont="true"/>
    <xf numFmtId="0" fontId="9023" fillId="0" borderId="0" xfId="0" applyFill="true" applyBorder="true" applyNumberFormat="true" applyFont="true"/>
    <xf numFmtId="0" fontId="9024" fillId="0" borderId="0" xfId="0" applyFill="true" applyBorder="true" applyNumberFormat="true" applyFont="true"/>
    <xf numFmtId="0" fontId="9025" fillId="0" borderId="0" xfId="0" applyFill="true" applyBorder="true" applyNumberFormat="true" applyFont="true"/>
    <xf numFmtId="0" fontId="9026" fillId="0" borderId="0" xfId="0" applyFill="true" applyBorder="true" applyNumberFormat="true" applyFont="true"/>
    <xf numFmtId="0" fontId="9027" fillId="0" borderId="0" xfId="0" applyFill="true" applyBorder="true" applyNumberFormat="true" applyFont="true"/>
    <xf numFmtId="0" fontId="9028" fillId="0" borderId="0" xfId="0" applyFill="true" applyBorder="true" applyNumberFormat="true" applyFont="true"/>
    <xf numFmtId="0" fontId="9029" fillId="0" borderId="0" xfId="0" applyFill="true" applyBorder="true" applyNumberFormat="true" applyFont="true"/>
    <xf numFmtId="0" fontId="9030" fillId="0" borderId="0" xfId="0" applyFill="true" applyBorder="true" applyNumberFormat="true" applyFont="true"/>
    <xf numFmtId="0" fontId="9031" fillId="0" borderId="0" xfId="0" applyFill="true" applyBorder="true" applyNumberFormat="true" applyFont="true"/>
    <xf numFmtId="0" fontId="9032" fillId="0" borderId="0" xfId="0" applyFill="true" applyBorder="true" applyNumberFormat="true" applyFont="true"/>
    <xf numFmtId="0" fontId="9033" fillId="0" borderId="0" xfId="0" applyFill="true" applyBorder="true" applyNumberFormat="true" applyFont="true"/>
    <xf numFmtId="0" fontId="9034" fillId="0" borderId="0" xfId="0" applyFill="true" applyBorder="true" applyNumberFormat="true" applyFont="true"/>
    <xf numFmtId="0" fontId="9035" fillId="0" borderId="0" xfId="0" applyFill="true" applyBorder="true" applyNumberFormat="true" applyFont="true"/>
    <xf numFmtId="0" fontId="9036" fillId="0" borderId="0" xfId="0" applyFill="true" applyBorder="true" applyNumberFormat="true" applyFont="true"/>
    <xf numFmtId="0" fontId="9037" fillId="0" borderId="0" xfId="0" applyFill="true" applyBorder="true" applyNumberFormat="true" applyFont="true"/>
    <xf numFmtId="0" fontId="9038" fillId="0" borderId="0" xfId="0" applyFill="true" applyBorder="true" applyNumberFormat="true" applyFont="true"/>
    <xf numFmtId="0" fontId="9039" fillId="0" borderId="0" xfId="0" applyFill="true" applyBorder="true" applyNumberFormat="true" applyFont="true"/>
    <xf numFmtId="0" fontId="9040" fillId="0" borderId="0" xfId="0" applyFill="true" applyBorder="true" applyNumberFormat="true" applyFont="true"/>
    <xf numFmtId="0" fontId="9041" fillId="0" borderId="0" xfId="0" applyFill="true" applyBorder="true" applyNumberFormat="true" applyFont="true"/>
    <xf numFmtId="0" fontId="9042" fillId="0" borderId="0" xfId="0" applyFill="true" applyBorder="true" applyNumberFormat="true" applyFont="true"/>
    <xf numFmtId="0" fontId="9043" fillId="0" borderId="0" xfId="0" applyFill="true" applyBorder="true" applyNumberFormat="true" applyFont="true"/>
    <xf numFmtId="0" fontId="9044" fillId="0" borderId="0" xfId="0" applyFill="true" applyBorder="true" applyNumberFormat="true" applyFont="true"/>
    <xf numFmtId="0" fontId="9045" fillId="0" borderId="0" xfId="0" applyFill="true" applyBorder="true" applyNumberFormat="true" applyFont="true"/>
    <xf numFmtId="0" fontId="9046" fillId="0" borderId="0" xfId="0" applyFill="true" applyBorder="true" applyNumberFormat="true" applyFont="true"/>
    <xf numFmtId="0" fontId="9047" fillId="0" borderId="0" xfId="0" applyFill="true" applyBorder="true" applyNumberFormat="true" applyFont="true"/>
    <xf numFmtId="0" fontId="9048" fillId="0" borderId="0" xfId="0" applyFill="true" applyBorder="true" applyNumberFormat="true" applyFont="true"/>
    <xf numFmtId="0" fontId="9049" fillId="0" borderId="0" xfId="0" applyFill="true" applyBorder="true" applyNumberFormat="true" applyFont="true"/>
    <xf numFmtId="0" fontId="9050" fillId="0" borderId="0" xfId="0" applyFill="true" applyBorder="true" applyNumberFormat="true" applyFont="true"/>
    <xf numFmtId="0" fontId="9051" fillId="0" borderId="0" xfId="0" applyFill="true" applyBorder="true" applyNumberFormat="true" applyFont="true"/>
    <xf numFmtId="0" fontId="9052" fillId="0" borderId="0" xfId="0" applyFill="true" applyBorder="true" applyNumberFormat="true" applyFont="true"/>
    <xf numFmtId="0" fontId="9053" fillId="0" borderId="0" xfId="0" applyFill="true" applyBorder="true" applyNumberFormat="true" applyFont="true"/>
    <xf numFmtId="0" fontId="9054" fillId="0" borderId="0" xfId="0" applyFill="true" applyBorder="true" applyNumberFormat="true" applyFont="true"/>
    <xf numFmtId="0" fontId="9055" fillId="0" borderId="0" xfId="0" applyFill="true" applyBorder="true" applyNumberFormat="true" applyFont="true"/>
    <xf numFmtId="0" fontId="9056" fillId="0" borderId="0" xfId="0" applyFill="true" applyBorder="true" applyNumberFormat="true" applyFont="true"/>
    <xf numFmtId="0" fontId="9057" fillId="0" borderId="0" xfId="0" applyFill="true" applyBorder="true" applyNumberFormat="true" applyFont="true"/>
    <xf numFmtId="0" fontId="9058" fillId="0" borderId="0" xfId="0" applyFill="true" applyBorder="true" applyNumberFormat="true" applyFont="true"/>
    <xf numFmtId="0" fontId="9059" fillId="0" borderId="0" xfId="0" applyFill="true" applyBorder="true" applyNumberFormat="true" applyFont="true"/>
    <xf numFmtId="0" fontId="9060" fillId="0" borderId="0" xfId="0" applyFill="true" applyBorder="true" applyNumberFormat="true" applyFont="true"/>
    <xf numFmtId="0" fontId="9061" fillId="0" borderId="0" xfId="0" applyFill="true" applyBorder="true" applyNumberFormat="true" applyFont="true"/>
    <xf numFmtId="0" fontId="9062" fillId="0" borderId="0" xfId="0" applyFill="true" applyBorder="true" applyNumberFormat="true" applyFont="true"/>
    <xf numFmtId="0" fontId="9063" fillId="0" borderId="0" xfId="0" applyFill="true" applyBorder="true" applyNumberFormat="true" applyFont="true"/>
    <xf numFmtId="0" fontId="9064" fillId="0" borderId="0" xfId="0" applyFill="true" applyBorder="true" applyNumberFormat="true" applyFont="true"/>
    <xf numFmtId="0" fontId="9065" fillId="0" borderId="0" xfId="0" applyFill="true" applyBorder="true" applyNumberFormat="true" applyFont="true"/>
    <xf numFmtId="0" fontId="9066" fillId="0" borderId="0" xfId="0" applyFill="true" applyBorder="true" applyNumberFormat="true" applyFont="true"/>
    <xf numFmtId="0" fontId="9067" fillId="0" borderId="0" xfId="0" applyFill="true" applyBorder="true" applyNumberFormat="true" applyFont="true"/>
    <xf numFmtId="0" fontId="9068" fillId="0" borderId="0" xfId="0" applyFill="true" applyBorder="true" applyNumberFormat="true" applyFont="true"/>
    <xf numFmtId="0" fontId="9069" fillId="0" borderId="0" xfId="0" applyFill="true" applyBorder="true" applyNumberFormat="true" applyFont="true"/>
    <xf numFmtId="0" fontId="9070" fillId="0" borderId="0" xfId="0" applyFill="true" applyBorder="true" applyNumberFormat="true" applyFont="true"/>
    <xf numFmtId="0" fontId="9071" fillId="0" borderId="0" xfId="0" applyFill="true" applyBorder="true" applyNumberFormat="true" applyFont="true"/>
    <xf numFmtId="0" fontId="9072" fillId="0" borderId="0" xfId="0" applyFill="true" applyBorder="true" applyNumberFormat="true" applyFont="true"/>
    <xf numFmtId="0" fontId="9073" fillId="0" borderId="0" xfId="0" applyFill="true" applyBorder="true" applyNumberFormat="true" applyFont="true"/>
    <xf numFmtId="0" fontId="9074" fillId="0" borderId="0" xfId="0" applyFill="true" applyBorder="true" applyNumberFormat="true" applyFont="true"/>
    <xf numFmtId="0" fontId="9075" fillId="0" borderId="0" xfId="0" applyFill="true" applyBorder="true" applyNumberFormat="true" applyFont="true"/>
    <xf numFmtId="0" fontId="9076" fillId="0" borderId="0" xfId="0" applyFill="true" applyBorder="true" applyNumberFormat="true" applyFont="true"/>
    <xf numFmtId="0" fontId="9077" fillId="0" borderId="0" xfId="0" applyFill="true" applyBorder="true" applyNumberFormat="true" applyFont="true"/>
    <xf numFmtId="0" fontId="9078" fillId="0" borderId="0" xfId="0" applyFill="true" applyBorder="true" applyNumberFormat="true" applyFont="true"/>
    <xf numFmtId="0" fontId="9079" fillId="0" borderId="0" xfId="0" applyFill="true" applyBorder="true" applyNumberFormat="true" applyFont="true"/>
    <xf numFmtId="0" fontId="9080" fillId="0" borderId="0" xfId="0" applyFill="true" applyBorder="true" applyNumberFormat="true" applyFont="true"/>
    <xf numFmtId="0" fontId="9081" fillId="0" borderId="0" xfId="0" applyFill="true" applyBorder="true" applyNumberFormat="true" applyFont="true"/>
    <xf numFmtId="0" fontId="9082" fillId="0" borderId="0" xfId="0" applyFill="true" applyBorder="true" applyNumberFormat="true" applyFont="true"/>
    <xf numFmtId="0" fontId="9083" fillId="0" borderId="0" xfId="0" applyFill="true" applyBorder="true" applyNumberFormat="true" applyFont="true"/>
    <xf numFmtId="0" fontId="9084" fillId="0" borderId="0" xfId="0" applyFill="true" applyBorder="true" applyNumberFormat="true" applyFont="true"/>
    <xf numFmtId="0" fontId="9085" fillId="0" borderId="0" xfId="0" applyFill="true" applyBorder="true" applyNumberFormat="true" applyFont="true"/>
    <xf numFmtId="0" fontId="9086" fillId="0" borderId="0" xfId="0" applyFill="true" applyBorder="true" applyNumberFormat="true" applyFont="true"/>
    <xf numFmtId="0" fontId="9087" fillId="0" borderId="0" xfId="0" applyFill="true" applyBorder="true" applyNumberFormat="true" applyFont="true"/>
    <xf numFmtId="0" fontId="9088" fillId="0" borderId="0" xfId="0" applyFill="true" applyBorder="true" applyNumberFormat="true" applyFont="true"/>
    <xf numFmtId="0" fontId="9089" fillId="0" borderId="0" xfId="0" applyFill="true" applyBorder="true" applyNumberFormat="true" applyFont="true"/>
    <xf numFmtId="0" fontId="9090" fillId="0" borderId="0" xfId="0" applyFill="true" applyBorder="true" applyNumberFormat="true" applyFont="true"/>
    <xf numFmtId="0" fontId="9091" fillId="0" borderId="0" xfId="0" applyFill="true" applyBorder="true" applyNumberFormat="true" applyFont="true"/>
    <xf numFmtId="0" fontId="9092" fillId="0" borderId="0" xfId="0" applyFill="true" applyBorder="true" applyNumberFormat="true" applyFont="true"/>
    <xf numFmtId="0" fontId="9093" fillId="0" borderId="0" xfId="0" applyFill="true" applyBorder="true" applyNumberFormat="true" applyFont="true"/>
    <xf numFmtId="0" fontId="9094" fillId="0" borderId="0" xfId="0" applyFill="true" applyBorder="true" applyNumberFormat="true" applyFont="true"/>
    <xf numFmtId="0" fontId="9095" fillId="0" borderId="0" xfId="0" applyFill="true" applyBorder="true" applyNumberFormat="true" applyFont="true"/>
    <xf numFmtId="0" fontId="9096" fillId="0" borderId="0" xfId="0" applyFill="true" applyBorder="true" applyNumberFormat="true" applyFont="true"/>
    <xf numFmtId="0" fontId="9097" fillId="0" borderId="0" xfId="0" applyFill="true" applyBorder="true" applyNumberFormat="true" applyFont="true"/>
    <xf numFmtId="0" fontId="9098" fillId="0" borderId="0" xfId="0" applyFill="true" applyBorder="true" applyNumberFormat="true" applyFont="true"/>
    <xf numFmtId="0" fontId="9099" fillId="0" borderId="0" xfId="0" applyFill="true" applyBorder="true" applyNumberFormat="true" applyFont="true"/>
    <xf numFmtId="0" fontId="9100" fillId="0" borderId="0" xfId="0" applyFill="true" applyBorder="true" applyNumberFormat="true" applyFont="true"/>
    <xf numFmtId="0" fontId="9101" fillId="0" borderId="0" xfId="0" applyFill="true" applyBorder="true" applyNumberFormat="true" applyFont="true"/>
    <xf numFmtId="0" fontId="9102" fillId="0" borderId="0" xfId="0" applyFill="true" applyBorder="true" applyNumberFormat="true" applyFont="true"/>
    <xf numFmtId="0" fontId="9103" fillId="0" borderId="0" xfId="0" applyFill="true" applyBorder="true" applyNumberFormat="true" applyFont="true"/>
    <xf numFmtId="0" fontId="9104" fillId="0" borderId="0" xfId="0" applyFill="true" applyBorder="true" applyNumberFormat="true" applyFont="true"/>
    <xf numFmtId="0" fontId="9105" fillId="0" borderId="0" xfId="0" applyFill="true" applyBorder="true" applyNumberFormat="true" applyFont="true"/>
    <xf numFmtId="0" fontId="9106" fillId="0" borderId="0" xfId="0" applyFill="true" applyBorder="true" applyNumberFormat="true" applyFont="true"/>
    <xf numFmtId="0" fontId="9107" fillId="0" borderId="0" xfId="0" applyFill="true" applyBorder="true" applyNumberFormat="true" applyFont="true"/>
    <xf numFmtId="0" fontId="9108" fillId="0" borderId="0" xfId="0" applyFill="true" applyBorder="true" applyNumberFormat="true" applyFont="true"/>
    <xf numFmtId="0" fontId="9109" fillId="0" borderId="0" xfId="0" applyFill="true" applyBorder="true" applyNumberFormat="true" applyFont="true"/>
    <xf numFmtId="0" fontId="9110" fillId="0" borderId="0" xfId="0" applyFill="true" applyBorder="true" applyNumberFormat="true" applyFont="true"/>
    <xf numFmtId="0" fontId="9111" fillId="0" borderId="0" xfId="0" applyFill="true" applyBorder="true" applyNumberFormat="true" applyFont="true"/>
    <xf numFmtId="0" fontId="9112" fillId="0" borderId="0" xfId="0" applyFill="true" applyBorder="true" applyNumberFormat="true" applyFont="true"/>
    <xf numFmtId="0" fontId="9113" fillId="0" borderId="0" xfId="0" applyFill="true" applyBorder="true" applyNumberFormat="true" applyFont="true"/>
    <xf numFmtId="0" fontId="9114" fillId="0" borderId="0" xfId="0" applyFill="true" applyBorder="true" applyNumberFormat="true" applyFont="true"/>
    <xf numFmtId="0" fontId="9115" fillId="0" borderId="0" xfId="0" applyFill="true" applyBorder="true" applyNumberFormat="true" applyFont="true"/>
    <xf numFmtId="0" fontId="9116" fillId="0" borderId="0" xfId="0" applyFill="true" applyBorder="true" applyNumberFormat="true" applyFont="true"/>
    <xf numFmtId="0" fontId="9117" fillId="0" borderId="0" xfId="0" applyFill="true" applyBorder="true" applyNumberFormat="true" applyFont="true"/>
    <xf numFmtId="0" fontId="9118" fillId="0" borderId="0" xfId="0" applyFill="true" applyBorder="true" applyNumberFormat="true" applyFont="true"/>
    <xf numFmtId="0" fontId="9119" fillId="0" borderId="0" xfId="0" applyFill="true" applyBorder="true" applyNumberFormat="true" applyFont="true"/>
    <xf numFmtId="0" fontId="9120" fillId="0" borderId="0" xfId="0" applyFill="true" applyBorder="true" applyNumberFormat="true" applyFont="true"/>
    <xf numFmtId="0" fontId="9121" fillId="0" borderId="0" xfId="0" applyFill="true" applyBorder="true" applyNumberFormat="true" applyFont="true"/>
    <xf numFmtId="0" fontId="9122" fillId="0" borderId="0" xfId="0" applyFill="true" applyBorder="true" applyNumberFormat="true" applyFont="true"/>
    <xf numFmtId="0" fontId="9123" fillId="0" borderId="0" xfId="0" applyFill="true" applyBorder="true" applyNumberFormat="true" applyFont="true"/>
    <xf numFmtId="0" fontId="9124" fillId="0" borderId="0" xfId="0" applyFill="true" applyBorder="true" applyNumberFormat="true" applyFont="true"/>
    <xf numFmtId="0" fontId="9125" fillId="0" borderId="0" xfId="0" applyFill="true" applyBorder="true" applyNumberFormat="true" applyFont="true"/>
    <xf numFmtId="0" fontId="9126" fillId="0" borderId="0" xfId="0" applyFill="true" applyBorder="true" applyNumberFormat="true" applyFont="true"/>
    <xf numFmtId="0" fontId="9127" fillId="0" borderId="0" xfId="0" applyFill="true" applyBorder="true" applyNumberFormat="true" applyFont="true"/>
    <xf numFmtId="0" fontId="9128" fillId="0" borderId="0" xfId="0" applyFill="true" applyBorder="true" applyNumberFormat="true" applyFont="true"/>
    <xf numFmtId="0" fontId="9129" fillId="0" borderId="0" xfId="0" applyFill="true" applyBorder="true" applyNumberFormat="true" applyFont="true"/>
    <xf numFmtId="0" fontId="9130" fillId="0" borderId="0" xfId="0" applyFill="true" applyBorder="true" applyNumberFormat="true" applyFont="true"/>
    <xf numFmtId="0" fontId="9131" fillId="0" borderId="0" xfId="0" applyFill="true" applyBorder="true" applyNumberFormat="true" applyFont="true"/>
    <xf numFmtId="0" fontId="9132" fillId="0" borderId="0" xfId="0" applyFill="true" applyBorder="true" applyNumberFormat="true" applyFont="true"/>
    <xf numFmtId="0" fontId="9133" fillId="0" borderId="0" xfId="0" applyFill="true" applyBorder="true" applyNumberFormat="true" applyFont="true"/>
    <xf numFmtId="0" fontId="9134" fillId="0" borderId="0" xfId="0" applyFill="true" applyBorder="true" applyNumberFormat="true" applyFont="true"/>
    <xf numFmtId="0" fontId="9135" fillId="0" borderId="0" xfId="0" applyFill="true" applyBorder="true" applyNumberFormat="true" applyFont="true"/>
    <xf numFmtId="0" fontId="9136" fillId="0" borderId="0" xfId="0" applyFill="true" applyBorder="true" applyNumberFormat="true" applyFont="true"/>
    <xf numFmtId="0" fontId="9137" fillId="0" borderId="0" xfId="0" applyFill="true" applyBorder="true" applyNumberFormat="true" applyFont="true"/>
    <xf numFmtId="0" fontId="9138" fillId="0" borderId="0" xfId="0" applyFill="true" applyBorder="true" applyNumberFormat="true" applyFont="true"/>
    <xf numFmtId="0" fontId="9139" fillId="0" borderId="0" xfId="0" applyFill="true" applyBorder="true" applyNumberFormat="true" applyFont="true"/>
    <xf numFmtId="0" fontId="9140" fillId="0" borderId="0" xfId="0" applyFill="true" applyBorder="true" applyNumberFormat="true" applyFont="true"/>
    <xf numFmtId="0" fontId="9141" fillId="0" borderId="0" xfId="0" applyFill="true" applyBorder="true" applyNumberFormat="true" applyFont="true"/>
    <xf numFmtId="0" fontId="9142" fillId="0" borderId="0" xfId="0" applyFill="true" applyBorder="true" applyNumberFormat="true" applyFont="true"/>
    <xf numFmtId="0" fontId="9143" fillId="0" borderId="0" xfId="0" applyFill="true" applyBorder="true" applyNumberFormat="true" applyFont="true"/>
    <xf numFmtId="0" fontId="9144" fillId="0" borderId="0" xfId="0" applyFill="true" applyBorder="true" applyNumberFormat="true" applyFont="true"/>
    <xf numFmtId="0" fontId="9145" fillId="0" borderId="0" xfId="0" applyFill="true" applyBorder="true" applyNumberFormat="true" applyFont="true"/>
    <xf numFmtId="0" fontId="9146" fillId="0" borderId="0" xfId="0" applyFill="true" applyBorder="true" applyNumberFormat="true" applyFont="true"/>
    <xf numFmtId="0" fontId="9147" fillId="0" borderId="0" xfId="0" applyFill="true" applyBorder="true" applyNumberFormat="true" applyFont="true"/>
    <xf numFmtId="0" fontId="9148" fillId="0" borderId="0" xfId="0" applyFill="true" applyBorder="true" applyNumberFormat="true" applyFont="true"/>
    <xf numFmtId="0" fontId="9149" fillId="0" borderId="0" xfId="0" applyFill="true" applyBorder="true" applyNumberFormat="true" applyFont="true"/>
    <xf numFmtId="0" fontId="9150" fillId="0" borderId="0" xfId="0" applyFill="true" applyBorder="true" applyNumberFormat="true" applyFont="true"/>
    <xf numFmtId="0" fontId="9151" fillId="0" borderId="0" xfId="0" applyFill="true" applyBorder="true" applyNumberFormat="true" applyFont="true"/>
    <xf numFmtId="0" fontId="9152" fillId="0" borderId="0" xfId="0" applyFill="true" applyBorder="true" applyNumberFormat="true" applyFont="true"/>
    <xf numFmtId="0" fontId="9153" fillId="0" borderId="0" xfId="0" applyFill="true" applyBorder="true" applyNumberFormat="true" applyFont="true"/>
    <xf numFmtId="0" fontId="9154" fillId="0" borderId="0" xfId="0" applyFill="true" applyBorder="true" applyNumberFormat="true" applyFont="true"/>
    <xf numFmtId="0" fontId="9155" fillId="0" borderId="0" xfId="0" applyFill="true" applyBorder="true" applyNumberFormat="true" applyFont="true"/>
    <xf numFmtId="0" fontId="9156" fillId="0" borderId="0" xfId="0" applyFill="true" applyBorder="true" applyNumberFormat="true" applyFont="true"/>
    <xf numFmtId="0" fontId="9157" fillId="0" borderId="0" xfId="0" applyFill="true" applyBorder="true" applyNumberFormat="true" applyFont="true"/>
    <xf numFmtId="0" fontId="9158" fillId="0" borderId="0" xfId="0" applyFill="true" applyBorder="true" applyNumberFormat="true" applyFont="true"/>
    <xf numFmtId="0" fontId="9159" fillId="0" borderId="0" xfId="0" applyFill="true" applyBorder="true" applyNumberFormat="true" applyFont="true"/>
    <xf numFmtId="0" fontId="9160" fillId="0" borderId="0" xfId="0" applyFill="true" applyBorder="true" applyNumberFormat="true" applyFont="true"/>
    <xf numFmtId="0" fontId="9161" fillId="0" borderId="0" xfId="0" applyFill="true" applyBorder="true" applyNumberFormat="true" applyFont="true"/>
    <xf numFmtId="0" fontId="9162" fillId="0" borderId="0" xfId="0" applyFill="true" applyBorder="true" applyNumberFormat="true" applyFont="true"/>
    <xf numFmtId="0" fontId="9163" fillId="0" borderId="0" xfId="0" applyFill="true" applyBorder="true" applyNumberFormat="true" applyFont="true"/>
    <xf numFmtId="0" fontId="9164" fillId="0" borderId="0" xfId="0" applyFill="true" applyBorder="true" applyNumberFormat="true" applyFont="true"/>
    <xf numFmtId="0" fontId="9165" fillId="0" borderId="0" xfId="0" applyFill="true" applyBorder="true" applyNumberFormat="true" applyFont="true"/>
    <xf numFmtId="0" fontId="9166" fillId="0" borderId="0" xfId="0" applyFill="true" applyBorder="true" applyNumberFormat="true" applyFont="true"/>
    <xf numFmtId="0" fontId="9167" fillId="0" borderId="0" xfId="0" applyFill="true" applyBorder="true" applyNumberFormat="true" applyFont="true"/>
    <xf numFmtId="0" fontId="9168" fillId="0" borderId="0" xfId="0" applyFill="true" applyBorder="true" applyNumberFormat="true" applyFont="true"/>
    <xf numFmtId="0" fontId="9169" fillId="0" borderId="0" xfId="0" applyFill="true" applyBorder="true" applyNumberFormat="true" applyFont="true"/>
    <xf numFmtId="0" fontId="9170" fillId="0" borderId="0" xfId="0" applyFill="true" applyBorder="true" applyNumberFormat="true" applyFont="true"/>
    <xf numFmtId="0" fontId="9171" fillId="0" borderId="0" xfId="0" applyFill="true" applyBorder="true" applyNumberFormat="true" applyFont="true"/>
    <xf numFmtId="0" fontId="9172" fillId="0" borderId="0" xfId="0" applyFill="true" applyBorder="true" applyNumberFormat="true" applyFont="true"/>
    <xf numFmtId="0" fontId="9173" fillId="0" borderId="0" xfId="0" applyFill="true" applyBorder="true" applyNumberFormat="true" applyFont="true"/>
    <xf numFmtId="0" fontId="9174" fillId="0" borderId="0" xfId="0" applyFill="true" applyBorder="true" applyNumberFormat="true" applyFont="true"/>
    <xf numFmtId="0" fontId="9175" fillId="0" borderId="0" xfId="0" applyFill="true" applyBorder="true" applyNumberFormat="true" applyFont="true"/>
    <xf numFmtId="0" fontId="9176" fillId="0" borderId="0" xfId="0" applyFill="true" applyBorder="true" applyNumberFormat="true" applyFont="true"/>
    <xf numFmtId="0" fontId="9177" fillId="0" borderId="0" xfId="0" applyFill="true" applyBorder="true" applyNumberFormat="true" applyFont="true"/>
    <xf numFmtId="0" fontId="9178" fillId="0" borderId="0" xfId="0" applyFill="true" applyBorder="true" applyNumberFormat="true" applyFont="true"/>
    <xf numFmtId="0" fontId="9179" fillId="0" borderId="0" xfId="0" applyFill="true" applyBorder="true" applyNumberFormat="true" applyFont="true"/>
    <xf numFmtId="0" fontId="9180" fillId="0" borderId="0" xfId="0" applyFill="true" applyBorder="true" applyNumberFormat="true" applyFont="true"/>
    <xf numFmtId="0" fontId="9181" fillId="0" borderId="0" xfId="0" applyFill="true" applyBorder="true" applyNumberFormat="true" applyFont="true"/>
    <xf numFmtId="0" fontId="9182" fillId="0" borderId="0" xfId="0" applyFill="true" applyBorder="true" applyNumberFormat="true" applyFont="true"/>
    <xf numFmtId="0" fontId="9183" fillId="0" borderId="0" xfId="0" applyFill="true" applyBorder="true" applyNumberFormat="true" applyFont="true"/>
    <xf numFmtId="0" fontId="9184" fillId="0" borderId="0" xfId="0" applyFill="true" applyBorder="true" applyNumberFormat="true" applyFont="true"/>
    <xf numFmtId="0" fontId="9185" fillId="0" borderId="0" xfId="0" applyFill="true" applyBorder="true" applyNumberFormat="true" applyFont="true"/>
    <xf numFmtId="0" fontId="9186" fillId="0" borderId="0" xfId="0" applyFill="true" applyBorder="true" applyNumberFormat="true" applyFont="true"/>
    <xf numFmtId="0" fontId="9187" fillId="0" borderId="0" xfId="0" applyFill="true" applyBorder="true" applyNumberFormat="true" applyFont="true"/>
    <xf numFmtId="0" fontId="9188" fillId="0" borderId="0" xfId="0" applyFill="true" applyBorder="true" applyNumberFormat="true" applyFont="true"/>
    <xf numFmtId="0" fontId="9189" fillId="0" borderId="0" xfId="0" applyFill="true" applyBorder="true" applyNumberFormat="true" applyFont="true"/>
    <xf numFmtId="0" fontId="9190" fillId="0" borderId="0" xfId="0" applyFill="true" applyBorder="true" applyNumberFormat="true" applyFont="true"/>
    <xf numFmtId="0" fontId="9191" fillId="0" borderId="0" xfId="0" applyFill="true" applyBorder="true" applyNumberFormat="true" applyFont="true"/>
    <xf numFmtId="0" fontId="9192" fillId="0" borderId="0" xfId="0" applyFill="true" applyBorder="true" applyNumberFormat="true" applyFont="true"/>
    <xf numFmtId="0" fontId="9193" fillId="0" borderId="0" xfId="0" applyFill="true" applyBorder="true" applyNumberFormat="true" applyFont="true"/>
    <xf numFmtId="0" fontId="9194" fillId="0" borderId="0" xfId="0" applyFill="true" applyBorder="true" applyNumberFormat="true" applyFont="true"/>
    <xf numFmtId="0" fontId="9195" fillId="0" borderId="0" xfId="0" applyFill="true" applyBorder="true" applyNumberFormat="true" applyFont="true"/>
    <xf numFmtId="0" fontId="9196" fillId="0" borderId="0" xfId="0" applyFill="true" applyBorder="true" applyNumberFormat="true" applyFont="true"/>
    <xf numFmtId="0" fontId="9197" fillId="0" borderId="0" xfId="0" applyFill="true" applyBorder="true" applyNumberFormat="true" applyFont="true"/>
    <xf numFmtId="0" fontId="9198" fillId="0" borderId="0" xfId="0" applyFill="true" applyBorder="true" applyNumberFormat="true" applyFont="true"/>
    <xf numFmtId="0" fontId="9199" fillId="0" borderId="0" xfId="0" applyFill="true" applyBorder="true" applyNumberFormat="true" applyFont="true"/>
    <xf numFmtId="0" fontId="9200" fillId="0" borderId="0" xfId="0" applyFill="true" applyBorder="true" applyNumberFormat="true" applyFont="true"/>
    <xf numFmtId="0" fontId="9201" fillId="0" borderId="0" xfId="0" applyFill="true" applyBorder="true" applyNumberFormat="true" applyFont="true"/>
    <xf numFmtId="0" fontId="9202" fillId="0" borderId="0" xfId="0" applyFill="true" applyBorder="true" applyNumberFormat="true" applyFont="true"/>
    <xf numFmtId="0" fontId="9203" fillId="0" borderId="0" xfId="0" applyFill="true" applyBorder="true" applyNumberFormat="true" applyFont="true"/>
    <xf numFmtId="0" fontId="9204" fillId="0" borderId="0" xfId="0" applyFill="true" applyBorder="true" applyNumberFormat="true" applyFont="true"/>
    <xf numFmtId="0" fontId="9205" fillId="0" borderId="0" xfId="0" applyFill="true" applyBorder="true" applyNumberFormat="true" applyFont="true"/>
    <xf numFmtId="0" fontId="9206" fillId="0" borderId="0" xfId="0" applyFill="true" applyBorder="true" applyNumberFormat="true" applyFont="true"/>
    <xf numFmtId="0" fontId="9207" fillId="0" borderId="0" xfId="0" applyFill="true" applyBorder="true" applyNumberFormat="true" applyFont="true"/>
    <xf numFmtId="0" fontId="9208" fillId="0" borderId="0" xfId="0" applyFill="true" applyBorder="true" applyNumberFormat="true" applyFont="true"/>
    <xf numFmtId="0" fontId="9209" fillId="0" borderId="0" xfId="0" applyFill="true" applyBorder="true" applyNumberFormat="true" applyFont="true"/>
    <xf numFmtId="0" fontId="9210" fillId="0" borderId="0" xfId="0" applyFill="true" applyBorder="true" applyNumberFormat="true" applyFont="true"/>
    <xf numFmtId="0" fontId="9211" fillId="0" borderId="0" xfId="0" applyFill="true" applyBorder="true" applyNumberFormat="true" applyFont="true"/>
    <xf numFmtId="0" fontId="9212" fillId="0" borderId="0" xfId="0" applyFill="true" applyBorder="true" applyNumberFormat="true" applyFont="true"/>
    <xf numFmtId="0" fontId="9213" fillId="0" borderId="0" xfId="0" applyFill="true" applyBorder="true" applyNumberFormat="true" applyFont="true"/>
    <xf numFmtId="0" fontId="9214" fillId="0" borderId="0" xfId="0" applyFill="true" applyBorder="true" applyNumberFormat="true" applyFont="true"/>
    <xf numFmtId="0" fontId="9215" fillId="0" borderId="0" xfId="0" applyFill="true" applyBorder="true" applyNumberFormat="true" applyFont="true"/>
    <xf numFmtId="0" fontId="9216" fillId="0" borderId="0" xfId="0" applyFill="true" applyBorder="true" applyNumberFormat="true" applyFont="true"/>
    <xf numFmtId="0" fontId="9217" fillId="0" borderId="0" xfId="0" applyFill="true" applyBorder="true" applyNumberFormat="true" applyFont="true"/>
    <xf numFmtId="0" fontId="9218" fillId="0" borderId="0" xfId="0" applyFill="true" applyBorder="true" applyNumberFormat="true" applyFont="true"/>
    <xf numFmtId="0" fontId="9219" fillId="0" borderId="0" xfId="0" applyFill="true" applyBorder="true" applyNumberFormat="true" applyFont="true"/>
    <xf numFmtId="0" fontId="9220" fillId="0" borderId="0" xfId="0" applyFill="true" applyBorder="true" applyNumberFormat="true" applyFont="true"/>
    <xf numFmtId="0" fontId="9221" fillId="0" borderId="0" xfId="0" applyFill="true" applyBorder="true" applyNumberFormat="true" applyFont="true"/>
    <xf numFmtId="0" fontId="9222" fillId="0" borderId="0" xfId="0" applyFill="true" applyBorder="true" applyNumberFormat="true" applyFont="true"/>
    <xf numFmtId="0" fontId="9223" fillId="0" borderId="0" xfId="0" applyFill="true" applyBorder="true" applyNumberFormat="true" applyFont="true"/>
    <xf numFmtId="0" fontId="9224" fillId="0" borderId="0" xfId="0" applyFill="true" applyBorder="true" applyNumberFormat="true" applyFont="true"/>
    <xf numFmtId="0" fontId="9225" fillId="0" borderId="0" xfId="0" applyFill="true" applyBorder="true" applyNumberFormat="true" applyFont="true"/>
    <xf numFmtId="0" fontId="9226" fillId="0" borderId="0" xfId="0" applyFill="true" applyBorder="true" applyNumberFormat="true" applyFont="true"/>
    <xf numFmtId="0" fontId="9227" fillId="0" borderId="0" xfId="0" applyFill="true" applyBorder="true" applyNumberFormat="true" applyFont="true"/>
    <xf numFmtId="0" fontId="9228" fillId="0" borderId="0" xfId="0" applyFill="true" applyBorder="true" applyNumberFormat="true" applyFont="true"/>
    <xf numFmtId="0" fontId="9229" fillId="0" borderId="0" xfId="0" applyFill="true" applyBorder="true" applyNumberFormat="true" applyFont="true"/>
    <xf numFmtId="0" fontId="9230" fillId="0" borderId="0" xfId="0" applyFill="true" applyBorder="true" applyNumberFormat="true" applyFont="true"/>
    <xf numFmtId="0" fontId="9231" fillId="0" borderId="0" xfId="0" applyFill="true" applyBorder="true" applyNumberFormat="true" applyFont="true"/>
    <xf numFmtId="0" fontId="9232" fillId="0" borderId="0" xfId="0" applyFill="true" applyBorder="true" applyNumberFormat="true" applyFont="true"/>
    <xf numFmtId="0" fontId="9233" fillId="0" borderId="0" xfId="0" applyFill="true" applyBorder="true" applyNumberFormat="true" applyFont="true"/>
    <xf numFmtId="0" fontId="9234" fillId="0" borderId="0" xfId="0" applyFill="true" applyBorder="true" applyNumberFormat="true" applyFont="true"/>
    <xf numFmtId="0" fontId="9235" fillId="0" borderId="0" xfId="0" applyFill="true" applyBorder="true" applyNumberFormat="true" applyFont="true"/>
    <xf numFmtId="0" fontId="9236" fillId="0" borderId="0" xfId="0" applyFill="true" applyBorder="true" applyNumberFormat="true" applyFont="true"/>
    <xf numFmtId="0" fontId="9237" fillId="0" borderId="0" xfId="0" applyFill="true" applyBorder="true" applyNumberFormat="true" applyFont="true"/>
    <xf numFmtId="0" fontId="9238" fillId="0" borderId="0" xfId="0" applyFill="true" applyBorder="true" applyNumberFormat="true" applyFont="true"/>
    <xf numFmtId="0" fontId="9239" fillId="0" borderId="0" xfId="0" applyFill="true" applyBorder="true" applyNumberFormat="true" applyFont="true"/>
    <xf numFmtId="0" fontId="9240" fillId="0" borderId="0" xfId="0" applyFill="true" applyBorder="true" applyNumberFormat="true" applyFont="true"/>
    <xf numFmtId="0" fontId="9241" fillId="0" borderId="0" xfId="0" applyFill="true" applyBorder="true" applyNumberFormat="true" applyFont="true"/>
    <xf numFmtId="0" fontId="9242" fillId="0" borderId="0" xfId="0" applyFill="true" applyBorder="true" applyNumberFormat="true" applyFont="true"/>
    <xf numFmtId="0" fontId="9243" fillId="0" borderId="0" xfId="0" applyFill="true" applyBorder="true" applyNumberFormat="true" applyFont="true"/>
    <xf numFmtId="0" fontId="9244" fillId="0" borderId="0" xfId="0" applyFill="true" applyBorder="true" applyNumberFormat="true" applyFont="true"/>
    <xf numFmtId="0" fontId="9245" fillId="0" borderId="0" xfId="0" applyFill="true" applyBorder="true" applyNumberFormat="true" applyFont="true"/>
    <xf numFmtId="0" fontId="9246" fillId="0" borderId="0" xfId="0" applyFill="true" applyBorder="true" applyNumberFormat="true" applyFont="true"/>
    <xf numFmtId="0" fontId="9247" fillId="0" borderId="0" xfId="0" applyFill="true" applyBorder="true" applyNumberFormat="true" applyFont="true"/>
    <xf numFmtId="0" fontId="9248" fillId="0" borderId="0" xfId="0" applyFill="true" applyBorder="true" applyNumberFormat="true" applyFont="true"/>
    <xf numFmtId="0" fontId="9249" fillId="0" borderId="0" xfId="0" applyFill="true" applyBorder="true" applyNumberFormat="true" applyFont="true"/>
    <xf numFmtId="0" fontId="9250" fillId="0" borderId="0" xfId="0" applyFill="true" applyBorder="true" applyNumberFormat="true" applyFont="true"/>
    <xf numFmtId="0" fontId="9251" fillId="0" borderId="0" xfId="0" applyFill="true" applyBorder="true" applyNumberFormat="true" applyFont="true"/>
    <xf numFmtId="0" fontId="9252" fillId="0" borderId="0" xfId="0" applyFill="true" applyBorder="true" applyNumberFormat="true" applyFont="true"/>
    <xf numFmtId="0" fontId="9253" fillId="0" borderId="0" xfId="0" applyFill="true" applyBorder="true" applyNumberFormat="true" applyFont="true"/>
    <xf numFmtId="0" fontId="9254" fillId="0" borderId="0" xfId="0" applyFill="true" applyBorder="true" applyNumberFormat="true" applyFont="true"/>
    <xf numFmtId="0" fontId="9255" fillId="0" borderId="0" xfId="0" applyFill="true" applyBorder="true" applyNumberFormat="true" applyFont="true"/>
    <xf numFmtId="0" fontId="9256" fillId="0" borderId="0" xfId="0" applyFill="true" applyBorder="true" applyNumberFormat="true" applyFont="true"/>
    <xf numFmtId="0" fontId="9257" fillId="0" borderId="0" xfId="0" applyFill="true" applyBorder="true" applyNumberFormat="true" applyFont="true"/>
    <xf numFmtId="0" fontId="9258" fillId="0" borderId="0" xfId="0" applyFill="true" applyBorder="true" applyNumberFormat="true" applyFont="true"/>
    <xf numFmtId="0" fontId="9259" fillId="0" borderId="0" xfId="0" applyFill="true" applyBorder="true" applyNumberFormat="true" applyFont="true"/>
    <xf numFmtId="0" fontId="9260" fillId="0" borderId="0" xfId="0" applyFill="true" applyBorder="true" applyNumberFormat="true" applyFont="true"/>
    <xf numFmtId="0" fontId="9261" fillId="0" borderId="0" xfId="0" applyFill="true" applyBorder="true" applyNumberFormat="true" applyFont="true"/>
    <xf numFmtId="0" fontId="9262" fillId="0" borderId="0" xfId="0" applyFill="true" applyBorder="true" applyNumberFormat="true" applyFont="true"/>
    <xf numFmtId="0" fontId="9263" fillId="0" borderId="0" xfId="0" applyFill="true" applyBorder="true" applyNumberFormat="true" applyFont="true"/>
    <xf numFmtId="0" fontId="9264" fillId="0" borderId="0" xfId="0" applyFill="true" applyBorder="true" applyNumberFormat="true" applyFont="true"/>
    <xf numFmtId="0" fontId="9265" fillId="0" borderId="0" xfId="0" applyFill="true" applyBorder="true" applyNumberFormat="true" applyFont="true"/>
    <xf numFmtId="0" fontId="9266" fillId="0" borderId="0" xfId="0" applyFill="true" applyBorder="true" applyNumberFormat="true" applyFont="true"/>
    <xf numFmtId="0" fontId="9267" fillId="0" borderId="0" xfId="0" applyFill="true" applyBorder="true" applyNumberFormat="true" applyFont="true"/>
    <xf numFmtId="0" fontId="9268" fillId="0" borderId="0" xfId="0" applyFill="true" applyBorder="true" applyNumberFormat="true" applyFont="true"/>
    <xf numFmtId="0" fontId="9269" fillId="0" borderId="0" xfId="0" applyFill="true" applyBorder="true" applyNumberFormat="true" applyFont="true"/>
    <xf numFmtId="0" fontId="9270" fillId="0" borderId="0" xfId="0" applyFill="true" applyBorder="true" applyNumberFormat="true" applyFont="true"/>
    <xf numFmtId="0" fontId="9271" fillId="0" borderId="0" xfId="0" applyFill="true" applyBorder="true" applyNumberFormat="true" applyFont="true"/>
    <xf numFmtId="0" fontId="9272" fillId="0" borderId="0" xfId="0" applyFill="true" applyBorder="true" applyNumberFormat="true" applyFont="true"/>
    <xf numFmtId="0" fontId="9273" fillId="0" borderId="0" xfId="0" applyFill="true" applyBorder="true" applyNumberFormat="true" applyFont="true"/>
    <xf numFmtId="0" fontId="9274" fillId="0" borderId="0" xfId="0" applyFill="true" applyBorder="true" applyNumberFormat="true" applyFont="true"/>
    <xf numFmtId="0" fontId="9275" fillId="0" borderId="0" xfId="0" applyFill="true" applyBorder="true" applyNumberFormat="true" applyFont="true"/>
    <xf numFmtId="0" fontId="9276" fillId="0" borderId="0" xfId="0" applyFill="true" applyBorder="true" applyNumberFormat="true" applyFont="true"/>
    <xf numFmtId="0" fontId="9277" fillId="0" borderId="0" xfId="0" applyFill="true" applyBorder="true" applyNumberFormat="true" applyFont="true"/>
    <xf numFmtId="0" fontId="9278" fillId="0" borderId="0" xfId="0" applyFill="true" applyBorder="true" applyNumberFormat="true" applyFont="true"/>
    <xf numFmtId="0" fontId="9279" fillId="0" borderId="0" xfId="0" applyFill="true" applyBorder="true" applyNumberFormat="true" applyFont="true"/>
    <xf numFmtId="0" fontId="9280" fillId="0" borderId="0" xfId="0" applyFill="true" applyBorder="true" applyNumberFormat="true" applyFont="true"/>
    <xf numFmtId="0" fontId="9281" fillId="0" borderId="0" xfId="0" applyFill="true" applyBorder="true" applyNumberFormat="true" applyFont="true"/>
    <xf numFmtId="0" fontId="9282" fillId="0" borderId="0" xfId="0" applyFill="true" applyBorder="true" applyNumberFormat="true" applyFont="true"/>
    <xf numFmtId="0" fontId="9283" fillId="0" borderId="0" xfId="0" applyFill="true" applyBorder="true" applyNumberFormat="true" applyFont="true"/>
    <xf numFmtId="0" fontId="9284" fillId="0" borderId="0" xfId="0" applyFill="true" applyBorder="true" applyNumberFormat="true" applyFont="true"/>
    <xf numFmtId="0" fontId="9285" fillId="0" borderId="0" xfId="0" applyFill="true" applyBorder="true" applyNumberFormat="true" applyFont="true"/>
    <xf numFmtId="0" fontId="9286" fillId="0" borderId="0" xfId="0" applyFill="true" applyBorder="true" applyNumberFormat="true" applyFont="true"/>
    <xf numFmtId="0" fontId="9287" fillId="0" borderId="0" xfId="0" applyFill="true" applyBorder="true" applyNumberFormat="true" applyFont="true"/>
    <xf numFmtId="0" fontId="9288" fillId="0" borderId="0" xfId="0" applyFill="true" applyBorder="true" applyNumberFormat="true" applyFont="true"/>
    <xf numFmtId="0" fontId="9289" fillId="0" borderId="0" xfId="0" applyFill="true" applyBorder="true" applyNumberFormat="true" applyFont="true"/>
    <xf numFmtId="0" fontId="9290" fillId="0" borderId="0" xfId="0" applyFill="true" applyBorder="true" applyNumberFormat="true" applyFont="true"/>
    <xf numFmtId="0" fontId="9291" fillId="0" borderId="0" xfId="0" applyFill="true" applyBorder="true" applyNumberFormat="true" applyFont="true"/>
    <xf numFmtId="0" fontId="9292" fillId="0" borderId="0" xfId="0" applyFill="true" applyBorder="true" applyNumberFormat="true" applyFont="true"/>
    <xf numFmtId="0" fontId="9293" fillId="0" borderId="0" xfId="0" applyFill="true" applyBorder="true" applyNumberFormat="true" applyFont="true"/>
    <xf numFmtId="0" fontId="9294" fillId="0" borderId="0" xfId="0" applyFill="true" applyBorder="true" applyNumberFormat="true" applyFont="true"/>
    <xf numFmtId="0" fontId="9295" fillId="0" borderId="0" xfId="0" applyFill="true" applyBorder="true" applyNumberFormat="true" applyFont="true"/>
    <xf numFmtId="0" fontId="9296" fillId="0" borderId="0" xfId="0" applyFill="true" applyBorder="true" applyNumberFormat="true" applyFont="true"/>
    <xf numFmtId="0" fontId="9297" fillId="0" borderId="0" xfId="0" applyFill="true" applyBorder="true" applyNumberFormat="true" applyFont="true"/>
    <xf numFmtId="0" fontId="9298" fillId="0" borderId="0" xfId="0" applyFill="true" applyBorder="true" applyNumberFormat="true" applyFont="true"/>
    <xf numFmtId="0" fontId="9299" fillId="0" borderId="0" xfId="0" applyFill="true" applyBorder="true" applyNumberFormat="true" applyFont="true"/>
    <xf numFmtId="0" fontId="9300" fillId="0" borderId="0" xfId="0" applyFill="true" applyBorder="true" applyNumberFormat="true" applyFont="true"/>
    <xf numFmtId="0" fontId="9301" fillId="0" borderId="0" xfId="0" applyFill="true" applyBorder="true" applyNumberFormat="true" applyFont="true"/>
    <xf numFmtId="0" fontId="9302" fillId="0" borderId="0" xfId="0" applyFill="true" applyBorder="true" applyNumberFormat="true" applyFont="true"/>
    <xf numFmtId="0" fontId="9303" fillId="0" borderId="0" xfId="0" applyFill="true" applyBorder="true" applyNumberFormat="true" applyFont="true"/>
    <xf numFmtId="0" fontId="9304" fillId="0" borderId="0" xfId="0" applyFill="true" applyBorder="true" applyNumberFormat="true" applyFont="true"/>
    <xf numFmtId="0" fontId="9305" fillId="0" borderId="0" xfId="0" applyFill="true" applyBorder="true" applyNumberFormat="true" applyFont="true"/>
    <xf numFmtId="0" fontId="9306" fillId="0" borderId="0" xfId="0" applyFill="true" applyBorder="true" applyNumberFormat="true" applyFont="true"/>
    <xf numFmtId="0" fontId="9307" fillId="0" borderId="0" xfId="0" applyFill="true" applyBorder="true" applyNumberFormat="true" applyFont="true"/>
    <xf numFmtId="0" fontId="9308" fillId="0" borderId="0" xfId="0" applyFill="true" applyBorder="true" applyNumberFormat="true" applyFont="true"/>
    <xf numFmtId="0" fontId="9309" fillId="0" borderId="0" xfId="0" applyFill="true" applyBorder="true" applyNumberFormat="true" applyFont="true"/>
    <xf numFmtId="0" fontId="9310" fillId="0" borderId="0" xfId="0" applyFill="true" applyBorder="true" applyNumberFormat="true" applyFont="true"/>
    <xf numFmtId="0" fontId="9311" fillId="0" borderId="0" xfId="0" applyFill="true" applyBorder="true" applyNumberFormat="true" applyFont="true"/>
    <xf numFmtId="0" fontId="9312" fillId="0" borderId="0" xfId="0" applyFill="true" applyBorder="true" applyNumberFormat="true" applyFont="true"/>
    <xf numFmtId="0" fontId="9313" fillId="0" borderId="0" xfId="0" applyFill="true" applyBorder="true" applyNumberFormat="true" applyFont="true"/>
    <xf numFmtId="0" fontId="9314" fillId="0" borderId="0" xfId="0" applyFill="true" applyBorder="true" applyNumberFormat="true" applyFont="true"/>
    <xf numFmtId="0" fontId="9315" fillId="0" borderId="0" xfId="0" applyFill="true" applyBorder="true" applyNumberFormat="true" applyFont="true"/>
    <xf numFmtId="0" fontId="9316" fillId="0" borderId="0" xfId="0" applyFill="true" applyBorder="true" applyNumberFormat="true" applyFont="true"/>
    <xf numFmtId="0" fontId="9317" fillId="0" borderId="0" xfId="0" applyFill="true" applyBorder="true" applyNumberFormat="true" applyFont="true"/>
    <xf numFmtId="0" fontId="9318" fillId="0" borderId="0" xfId="0" applyFill="true" applyBorder="true" applyNumberFormat="true" applyFont="true"/>
    <xf numFmtId="0" fontId="9319" fillId="0" borderId="0" xfId="0" applyFill="true" applyBorder="true" applyNumberFormat="true" applyFont="true"/>
    <xf numFmtId="0" fontId="9320" fillId="0" borderId="0" xfId="0" applyFill="true" applyBorder="true" applyNumberFormat="true" applyFont="true"/>
    <xf numFmtId="0" fontId="9321" fillId="0" borderId="0" xfId="0" applyFill="true" applyBorder="true" applyNumberFormat="true" applyFont="true"/>
    <xf numFmtId="0" fontId="9322" fillId="0" borderId="0" xfId="0" applyFill="true" applyBorder="true" applyNumberFormat="true" applyFont="true"/>
    <xf numFmtId="0" fontId="9323" fillId="0" borderId="0" xfId="0" applyFill="true" applyBorder="true" applyNumberFormat="true" applyFont="true"/>
    <xf numFmtId="0" fontId="9324" fillId="0" borderId="0" xfId="0" applyFill="true" applyBorder="true" applyNumberFormat="true" applyFont="true"/>
    <xf numFmtId="0" fontId="9325" fillId="0" borderId="0" xfId="0" applyFill="true" applyBorder="true" applyNumberFormat="true" applyFont="true"/>
    <xf numFmtId="0" fontId="9326" fillId="0" borderId="0" xfId="0" applyFill="true" applyBorder="true" applyNumberFormat="true" applyFont="true"/>
    <xf numFmtId="0" fontId="9327" fillId="0" borderId="0" xfId="0" applyFill="true" applyBorder="true" applyNumberFormat="true" applyFont="true"/>
    <xf numFmtId="0" fontId="9328" fillId="0" borderId="0" xfId="0" applyFill="true" applyBorder="true" applyNumberFormat="true" applyFont="true"/>
    <xf numFmtId="0" fontId="9329" fillId="0" borderId="0" xfId="0" applyFill="true" applyBorder="true" applyNumberFormat="true" applyFont="true"/>
    <xf numFmtId="0" fontId="9330" fillId="0" borderId="0" xfId="0" applyFill="true" applyBorder="true" applyNumberFormat="true" applyFont="true"/>
    <xf numFmtId="0" fontId="9331" fillId="0" borderId="0" xfId="0" applyFill="true" applyBorder="true" applyNumberFormat="true" applyFont="true"/>
    <xf numFmtId="0" fontId="9332" fillId="0" borderId="0" xfId="0" applyFill="true" applyBorder="true" applyNumberFormat="true" applyFont="true"/>
    <xf numFmtId="0" fontId="9333" fillId="0" borderId="0" xfId="0" applyFill="true" applyBorder="true" applyNumberFormat="true" applyFont="true"/>
    <xf numFmtId="0" fontId="9334" fillId="0" borderId="0" xfId="0" applyFill="true" applyBorder="true" applyNumberFormat="true" applyFont="true"/>
    <xf numFmtId="0" fontId="9335" fillId="0" borderId="0" xfId="0" applyFill="true" applyBorder="true" applyNumberFormat="true" applyFont="true"/>
    <xf numFmtId="0" fontId="9336" fillId="0" borderId="0" xfId="0" applyFill="true" applyBorder="true" applyNumberFormat="true" applyFont="true"/>
    <xf numFmtId="0" fontId="9337" fillId="0" borderId="0" xfId="0" applyFill="true" applyBorder="true" applyNumberFormat="true" applyFont="true"/>
    <xf numFmtId="0" fontId="9338" fillId="0" borderId="0" xfId="0" applyFill="true" applyBorder="true" applyNumberFormat="true" applyFont="true"/>
    <xf numFmtId="0" fontId="9339" fillId="0" borderId="0" xfId="0" applyFill="true" applyBorder="true" applyNumberFormat="true" applyFont="true"/>
    <xf numFmtId="0" fontId="9340" fillId="0" borderId="0" xfId="0" applyFill="true" applyBorder="true" applyNumberFormat="true" applyFont="true"/>
    <xf numFmtId="0" fontId="9341" fillId="0" borderId="0" xfId="0" applyFill="true" applyBorder="true" applyNumberFormat="true" applyFont="true"/>
    <xf numFmtId="0" fontId="9342" fillId="0" borderId="0" xfId="0" applyFill="true" applyBorder="true" applyNumberFormat="true" applyFont="true"/>
    <xf numFmtId="0" fontId="9343" fillId="0" borderId="0" xfId="0" applyFill="true" applyBorder="true" applyNumberFormat="true" applyFont="true"/>
    <xf numFmtId="0" fontId="9344" fillId="0" borderId="0" xfId="0" applyFill="true" applyBorder="true" applyNumberFormat="true" applyFont="true"/>
    <xf numFmtId="0" fontId="9345" fillId="0" borderId="0" xfId="0" applyFill="true" applyBorder="true" applyNumberFormat="true" applyFont="true"/>
    <xf numFmtId="0" fontId="9346" fillId="0" borderId="0" xfId="0" applyFill="true" applyBorder="true" applyNumberFormat="true" applyFont="true"/>
    <xf numFmtId="0" fontId="9347" fillId="0" borderId="0" xfId="0" applyFill="true" applyBorder="true" applyNumberFormat="true" applyFont="true"/>
    <xf numFmtId="0" fontId="9348" fillId="0" borderId="0" xfId="0" applyFill="true" applyBorder="true" applyNumberFormat="true" applyFont="true"/>
    <xf numFmtId="0" fontId="9349" fillId="0" borderId="0" xfId="0" applyFill="true" applyBorder="true" applyNumberFormat="true" applyFont="true"/>
    <xf numFmtId="0" fontId="9350" fillId="0" borderId="0" xfId="0" applyFill="true" applyBorder="true" applyNumberFormat="true" applyFont="true"/>
    <xf numFmtId="0" fontId="9351" fillId="0" borderId="0" xfId="0" applyFill="true" applyBorder="true" applyNumberFormat="true" applyFont="true"/>
    <xf numFmtId="0" fontId="9352" fillId="0" borderId="0" xfId="0" applyFill="true" applyBorder="true" applyNumberFormat="true" applyFont="true"/>
    <xf numFmtId="0" fontId="9353" fillId="0" borderId="0" xfId="0" applyFill="true" applyBorder="true" applyNumberFormat="true" applyFont="true"/>
    <xf numFmtId="0" fontId="9354" fillId="0" borderId="0" xfId="0" applyFill="true" applyBorder="true" applyNumberFormat="true" applyFont="true"/>
    <xf numFmtId="0" fontId="9355" fillId="0" borderId="0" xfId="0" applyFill="true" applyBorder="true" applyNumberFormat="true" applyFont="true"/>
    <xf numFmtId="0" fontId="9356" fillId="0" borderId="0" xfId="0" applyFill="true" applyBorder="true" applyNumberFormat="true" applyFont="true"/>
    <xf numFmtId="0" fontId="9357" fillId="0" borderId="0" xfId="0" applyFill="true" applyBorder="true" applyNumberFormat="true" applyFont="true"/>
    <xf numFmtId="0" fontId="9358" fillId="0" borderId="0" xfId="0" applyFill="true" applyBorder="true" applyNumberFormat="true" applyFont="true"/>
    <xf numFmtId="0" fontId="9359" fillId="0" borderId="0" xfId="0" applyFill="true" applyBorder="true" applyNumberFormat="true" applyFont="true"/>
    <xf numFmtId="0" fontId="9360" fillId="0" borderId="0" xfId="0" applyFill="true" applyBorder="true" applyNumberFormat="true" applyFont="true"/>
    <xf numFmtId="0" fontId="9361" fillId="0" borderId="0" xfId="0" applyFill="true" applyBorder="true" applyNumberFormat="true" applyFont="true"/>
    <xf numFmtId="0" fontId="9362" fillId="0" borderId="0" xfId="0" applyFill="true" applyBorder="true" applyNumberFormat="true" applyFont="true"/>
    <xf numFmtId="0" fontId="9363" fillId="0" borderId="0" xfId="0" applyFill="true" applyBorder="true" applyNumberFormat="true" applyFont="true"/>
    <xf numFmtId="0" fontId="9364" fillId="0" borderId="0" xfId="0" applyFill="true" applyBorder="true" applyNumberFormat="true" applyFont="true"/>
    <xf numFmtId="0" fontId="9365" fillId="0" borderId="0" xfId="0" applyFill="true" applyBorder="true" applyNumberFormat="true" applyFont="true"/>
    <xf numFmtId="0" fontId="9366" fillId="0" borderId="0" xfId="0" applyFill="true" applyBorder="true" applyNumberFormat="true" applyFont="true"/>
    <xf numFmtId="0" fontId="9367" fillId="0" borderId="0" xfId="0" applyFill="true" applyBorder="true" applyNumberFormat="true" applyFont="true"/>
    <xf numFmtId="0" fontId="9368" fillId="0" borderId="0" xfId="0" applyFill="true" applyBorder="true" applyNumberFormat="true" applyFont="true"/>
    <xf numFmtId="0" fontId="9369" fillId="0" borderId="0" xfId="0" applyFill="true" applyBorder="true" applyNumberFormat="true" applyFont="true"/>
    <xf numFmtId="0" fontId="9370" fillId="0" borderId="0" xfId="0" applyFill="true" applyBorder="true" applyNumberFormat="true" applyFont="true"/>
    <xf numFmtId="0" fontId="9371" fillId="0" borderId="0" xfId="0" applyFill="true" applyBorder="true" applyNumberFormat="true" applyFont="true"/>
    <xf numFmtId="0" fontId="9372" fillId="0" borderId="0" xfId="0" applyFill="true" applyBorder="true" applyNumberFormat="true" applyFont="true"/>
    <xf numFmtId="0" fontId="9373" fillId="0" borderId="0" xfId="0" applyFill="true" applyBorder="true" applyNumberFormat="true" applyFont="true"/>
    <xf numFmtId="0" fontId="9374" fillId="0" borderId="0" xfId="0" applyFill="true" applyBorder="true" applyNumberFormat="true" applyFont="true"/>
    <xf numFmtId="0" fontId="9375" fillId="0" borderId="0" xfId="0" applyFill="true" applyBorder="true" applyNumberFormat="true" applyFont="true"/>
    <xf numFmtId="0" fontId="9376" fillId="0" borderId="0" xfId="0" applyFill="true" applyBorder="true" applyNumberFormat="true" applyFont="true"/>
    <xf numFmtId="0" fontId="9377" fillId="0" borderId="0" xfId="0" applyFill="true" applyBorder="true" applyNumberFormat="true" applyFont="true"/>
    <xf numFmtId="0" fontId="9378" fillId="0" borderId="0" xfId="0" applyFill="true" applyBorder="true" applyNumberFormat="true" applyFont="true"/>
    <xf numFmtId="0" fontId="9379" fillId="0" borderId="0" xfId="0" applyFill="true" applyBorder="true" applyNumberFormat="true" applyFont="true"/>
    <xf numFmtId="0" fontId="9380" fillId="0" borderId="0" xfId="0" applyFill="true" applyBorder="true" applyNumberFormat="true" applyFont="true"/>
    <xf numFmtId="0" fontId="9381" fillId="0" borderId="0" xfId="0" applyFill="true" applyBorder="true" applyNumberFormat="true" applyFont="true"/>
    <xf numFmtId="0" fontId="9382" fillId="0" borderId="0" xfId="0" applyFill="true" applyBorder="true" applyNumberFormat="true" applyFont="true"/>
    <xf numFmtId="0" fontId="9383" fillId="0" borderId="0" xfId="0" applyFill="true" applyBorder="true" applyNumberFormat="true" applyFont="true"/>
    <xf numFmtId="0" fontId="9384" fillId="0" borderId="0" xfId="0" applyFill="true" applyBorder="true" applyNumberFormat="true" applyFont="true"/>
    <xf numFmtId="0" fontId="9385" fillId="0" borderId="0" xfId="0" applyFill="true" applyBorder="true" applyNumberFormat="true" applyFont="true"/>
    <xf numFmtId="0" fontId="9386" fillId="0" borderId="0" xfId="0" applyFill="true" applyBorder="true" applyNumberFormat="true" applyFont="true"/>
    <xf numFmtId="0" fontId="9387" fillId="0" borderId="0" xfId="0" applyFill="true" applyBorder="true" applyNumberFormat="true" applyFont="true"/>
    <xf numFmtId="0" fontId="9388" fillId="0" borderId="0" xfId="0" applyFill="true" applyBorder="true" applyNumberFormat="true" applyFont="true"/>
    <xf numFmtId="0" fontId="9389" fillId="0" borderId="0" xfId="0" applyFill="true" applyBorder="true" applyNumberFormat="true" applyFont="true"/>
    <xf numFmtId="0" fontId="9390" fillId="0" borderId="0" xfId="0" applyFill="true" applyBorder="true" applyNumberFormat="true" applyFont="true"/>
    <xf numFmtId="0" fontId="9391" fillId="0" borderId="0" xfId="0" applyFill="true" applyBorder="true" applyNumberFormat="true" applyFont="true"/>
    <xf numFmtId="0" fontId="9392" fillId="0" borderId="0" xfId="0" applyFill="true" applyBorder="true" applyNumberFormat="true" applyFont="true"/>
    <xf numFmtId="0" fontId="9393" fillId="0" borderId="0" xfId="0" applyFill="true" applyBorder="true" applyNumberFormat="true" applyFont="true"/>
    <xf numFmtId="0" fontId="9394" fillId="0" borderId="0" xfId="0" applyFill="true" applyBorder="true" applyNumberFormat="true" applyFont="true"/>
    <xf numFmtId="0" fontId="9395" fillId="0" borderId="0" xfId="0" applyFill="true" applyBorder="true" applyNumberFormat="true" applyFont="true"/>
    <xf numFmtId="0" fontId="9396" fillId="0" borderId="0" xfId="0" applyFill="true" applyBorder="true" applyNumberFormat="true" applyFont="true"/>
    <xf numFmtId="0" fontId="9397" fillId="0" borderId="0" xfId="0" applyFill="true" applyBorder="true" applyNumberFormat="true" applyFont="true"/>
    <xf numFmtId="0" fontId="9398" fillId="0" borderId="0" xfId="0" applyFill="true" applyBorder="true" applyNumberFormat="true" applyFont="true"/>
    <xf numFmtId="0" fontId="9399" fillId="0" borderId="0" xfId="0" applyFill="true" applyBorder="true" applyNumberFormat="true" applyFont="true"/>
    <xf numFmtId="0" fontId="9400" fillId="0" borderId="0" xfId="0" applyFill="true" applyBorder="true" applyNumberFormat="true" applyFont="true"/>
    <xf numFmtId="0" fontId="9401" fillId="0" borderId="0" xfId="0" applyFill="true" applyBorder="true" applyNumberFormat="true" applyFont="true"/>
    <xf numFmtId="0" fontId="9402" fillId="0" borderId="0" xfId="0" applyFill="true" applyBorder="true" applyNumberFormat="true" applyFont="true"/>
    <xf numFmtId="0" fontId="9403" fillId="0" borderId="0" xfId="0" applyFill="true" applyBorder="true" applyNumberFormat="true" applyFont="true"/>
    <xf numFmtId="0" fontId="9404" fillId="0" borderId="0" xfId="0" applyFill="true" applyBorder="true" applyNumberFormat="true" applyFont="true"/>
    <xf numFmtId="0" fontId="9405" fillId="0" borderId="0" xfId="0" applyFill="true" applyBorder="true" applyNumberFormat="true" applyFont="true"/>
    <xf numFmtId="0" fontId="9406" fillId="0" borderId="0" xfId="0" applyFill="true" applyBorder="true" applyNumberFormat="true" applyFont="true"/>
    <xf numFmtId="0" fontId="9407" fillId="0" borderId="0" xfId="0" applyFill="true" applyBorder="true" applyNumberFormat="true" applyFont="true"/>
    <xf numFmtId="0" fontId="9408" fillId="0" borderId="0" xfId="0" applyFill="true" applyBorder="true" applyNumberFormat="true" applyFont="true"/>
    <xf numFmtId="0" fontId="9409" fillId="0" borderId="0" xfId="0" applyFill="true" applyBorder="true" applyNumberFormat="true" applyFont="true"/>
    <xf numFmtId="0" fontId="9410" fillId="0" borderId="0" xfId="0" applyFill="true" applyBorder="true" applyNumberFormat="true" applyFont="true"/>
    <xf numFmtId="0" fontId="9411" fillId="0" borderId="0" xfId="0" applyFill="true" applyBorder="true" applyNumberFormat="true" applyFont="true"/>
    <xf numFmtId="0" fontId="9412" fillId="0" borderId="0" xfId="0" applyFill="true" applyBorder="true" applyNumberFormat="true" applyFont="true"/>
    <xf numFmtId="0" fontId="9413" fillId="0" borderId="0" xfId="0" applyFill="true" applyBorder="true" applyNumberFormat="true" applyFont="true"/>
    <xf numFmtId="0" fontId="9414" fillId="0" borderId="0" xfId="0" applyFill="true" applyBorder="true" applyNumberFormat="true" applyFont="true"/>
    <xf numFmtId="0" fontId="9415" fillId="0" borderId="0" xfId="0" applyFill="true" applyBorder="true" applyNumberFormat="true" applyFont="true"/>
    <xf numFmtId="0" fontId="9416" fillId="0" borderId="0" xfId="0" applyFill="true" applyBorder="true" applyNumberFormat="true" applyFont="true"/>
    <xf numFmtId="0" fontId="9417" fillId="0" borderId="0" xfId="0" applyFill="true" applyBorder="true" applyNumberFormat="true" applyFont="true"/>
    <xf numFmtId="0" fontId="9418" fillId="0" borderId="0" xfId="0" applyFill="true" applyBorder="true" applyNumberFormat="true" applyFont="true"/>
    <xf numFmtId="0" fontId="9419" fillId="0" borderId="0" xfId="0" applyFill="true" applyBorder="true" applyNumberFormat="true" applyFont="true"/>
    <xf numFmtId="0" fontId="9420" fillId="0" borderId="0" xfId="0" applyFill="true" applyBorder="true" applyNumberFormat="true" applyFont="true"/>
    <xf numFmtId="0" fontId="9421" fillId="0" borderId="0" xfId="0" applyFill="true" applyBorder="true" applyNumberFormat="true" applyFont="true"/>
    <xf numFmtId="0" fontId="9422" fillId="0" borderId="0" xfId="0" applyFill="true" applyBorder="true" applyNumberFormat="true" applyFont="true"/>
    <xf numFmtId="0" fontId="9423" fillId="0" borderId="0" xfId="0" applyFill="true" applyBorder="true" applyNumberFormat="true" applyFont="true"/>
    <xf numFmtId="0" fontId="9424" fillId="0" borderId="0" xfId="0" applyFill="true" applyBorder="true" applyNumberFormat="true" applyFont="true"/>
    <xf numFmtId="0" fontId="9425" fillId="0" borderId="0" xfId="0" applyFill="true" applyBorder="true" applyNumberFormat="true" applyFont="true"/>
    <xf numFmtId="0" fontId="9426" fillId="0" borderId="0" xfId="0" applyFill="true" applyBorder="true" applyNumberFormat="true" applyFont="true"/>
    <xf numFmtId="0" fontId="9427" fillId="0" borderId="0" xfId="0" applyFill="true" applyBorder="true" applyNumberFormat="true" applyFont="true"/>
    <xf numFmtId="0" fontId="9428" fillId="0" borderId="0" xfId="0" applyFill="true" applyBorder="true" applyNumberFormat="true" applyFont="true"/>
    <xf numFmtId="0" fontId="9429" fillId="0" borderId="0" xfId="0" applyFill="true" applyBorder="true" applyNumberFormat="true" applyFont="true"/>
    <xf numFmtId="0" fontId="9430" fillId="0" borderId="0" xfId="0" applyFill="true" applyBorder="true" applyNumberFormat="true" applyFont="true"/>
    <xf numFmtId="0" fontId="9431" fillId="0" borderId="0" xfId="0" applyFill="true" applyBorder="true" applyNumberFormat="true" applyFont="true"/>
    <xf numFmtId="0" fontId="9432" fillId="0" borderId="0" xfId="0" applyFill="true" applyBorder="true" applyNumberFormat="true" applyFont="true"/>
    <xf numFmtId="0" fontId="9433" fillId="0" borderId="0" xfId="0" applyFill="true" applyBorder="true" applyNumberFormat="true" applyFont="true"/>
    <xf numFmtId="0" fontId="9434" fillId="0" borderId="0" xfId="0" applyFill="true" applyBorder="true" applyNumberFormat="true" applyFont="true"/>
    <xf numFmtId="0" fontId="9435" fillId="0" borderId="0" xfId="0" applyFill="true" applyBorder="true" applyNumberFormat="true" applyFont="true"/>
    <xf numFmtId="0" fontId="9436" fillId="0" borderId="0" xfId="0" applyFill="true" applyBorder="true" applyNumberFormat="true" applyFont="true"/>
    <xf numFmtId="0" fontId="9437" fillId="0" borderId="0" xfId="0" applyFill="true" applyBorder="true" applyNumberFormat="true" applyFont="true"/>
    <xf numFmtId="0" fontId="9438" fillId="0" borderId="0" xfId="0" applyFill="true" applyBorder="true" applyNumberFormat="true" applyFont="true"/>
    <xf numFmtId="0" fontId="9439" fillId="0" borderId="0" xfId="0" applyFill="true" applyBorder="true" applyNumberFormat="true" applyFont="true"/>
    <xf numFmtId="0" fontId="9440" fillId="0" borderId="0" xfId="0" applyFill="true" applyBorder="true" applyNumberFormat="true" applyFont="true"/>
    <xf numFmtId="0" fontId="9441" fillId="0" borderId="0" xfId="0" applyFill="true" applyBorder="true" applyNumberFormat="true" applyFont="true"/>
    <xf numFmtId="0" fontId="9442" fillId="0" borderId="0" xfId="0" applyFill="true" applyBorder="true" applyNumberFormat="true" applyFont="true"/>
    <xf numFmtId="0" fontId="9443" fillId="0" borderId="0" xfId="0" applyFill="true" applyBorder="true" applyNumberFormat="true" applyFont="true"/>
    <xf numFmtId="0" fontId="9444" fillId="0" borderId="0" xfId="0" applyFill="true" applyBorder="true" applyNumberFormat="true" applyFont="true"/>
    <xf numFmtId="0" fontId="9445" fillId="0" borderId="0" xfId="0" applyFill="true" applyBorder="true" applyNumberFormat="true" applyFont="true"/>
    <xf numFmtId="0" fontId="9446" fillId="0" borderId="0" xfId="0" applyFill="true" applyBorder="true" applyNumberFormat="true" applyFont="true"/>
    <xf numFmtId="0" fontId="9447" fillId="0" borderId="0" xfId="0" applyFill="true" applyBorder="true" applyNumberFormat="true" applyFont="true"/>
    <xf numFmtId="0" fontId="9448" fillId="0" borderId="0" xfId="0" applyFill="true" applyBorder="true" applyNumberFormat="true" applyFont="true"/>
    <xf numFmtId="0" fontId="9449" fillId="0" borderId="0" xfId="0" applyFill="true" applyBorder="true" applyNumberFormat="true" applyFont="true"/>
    <xf numFmtId="0" fontId="9450" fillId="0" borderId="0" xfId="0" applyFill="true" applyBorder="true" applyNumberFormat="true" applyFont="true"/>
    <xf numFmtId="0" fontId="9451" fillId="0" borderId="0" xfId="0" applyFill="true" applyBorder="true" applyNumberFormat="true" applyFont="true"/>
    <xf numFmtId="0" fontId="9452" fillId="0" borderId="0" xfId="0" applyFill="true" applyBorder="true" applyNumberFormat="true" applyFont="true"/>
    <xf numFmtId="0" fontId="9453" fillId="0" borderId="0" xfId="0" applyFill="true" applyBorder="true" applyNumberFormat="true" applyFont="true"/>
    <xf numFmtId="0" fontId="9454" fillId="0" borderId="0" xfId="0" applyFill="true" applyBorder="true" applyNumberFormat="true" applyFont="true"/>
    <xf numFmtId="0" fontId="9455" fillId="0" borderId="0" xfId="0" applyFill="true" applyBorder="true" applyNumberFormat="true" applyFont="true"/>
    <xf numFmtId="0" fontId="9456" fillId="0" borderId="0" xfId="0" applyFill="true" applyBorder="true" applyNumberFormat="true" applyFont="true"/>
    <xf numFmtId="0" fontId="9457" fillId="0" borderId="0" xfId="0" applyFill="true" applyBorder="true" applyNumberFormat="true" applyFont="true"/>
    <xf numFmtId="0" fontId="9458" fillId="0" borderId="0" xfId="0" applyFill="true" applyBorder="true" applyNumberFormat="true" applyFont="true"/>
    <xf numFmtId="0" fontId="9459" fillId="0" borderId="0" xfId="0" applyFill="true" applyBorder="true" applyNumberFormat="true" applyFont="true"/>
    <xf numFmtId="0" fontId="9460" fillId="0" borderId="0" xfId="0" applyFill="true" applyBorder="true" applyNumberFormat="true" applyFont="true"/>
    <xf numFmtId="0" fontId="9461" fillId="0" borderId="0" xfId="0" applyFill="true" applyBorder="true" applyNumberFormat="true" applyFont="true"/>
    <xf numFmtId="0" fontId="9462" fillId="0" borderId="0" xfId="0" applyFill="true" applyBorder="true" applyNumberFormat="true" applyFont="true"/>
    <xf numFmtId="0" fontId="9463" fillId="0" borderId="0" xfId="0" applyFill="true" applyBorder="true" applyNumberFormat="true" applyFont="true"/>
    <xf numFmtId="0" fontId="9464" fillId="0" borderId="0" xfId="0" applyFill="true" applyBorder="true" applyNumberFormat="true" applyFont="true"/>
    <xf numFmtId="0" fontId="9465" fillId="0" borderId="0" xfId="0" applyFill="true" applyBorder="true" applyNumberFormat="true" applyFont="true"/>
    <xf numFmtId="0" fontId="9466" fillId="0" borderId="0" xfId="0" applyFill="true" applyBorder="true" applyNumberFormat="true" applyFont="true"/>
    <xf numFmtId="0" fontId="9467" fillId="0" borderId="0" xfId="0" applyFill="true" applyBorder="true" applyNumberFormat="true" applyFont="true"/>
    <xf numFmtId="0" fontId="9468" fillId="0" borderId="0" xfId="0" applyFill="true" applyBorder="true" applyNumberFormat="true" applyFont="true"/>
    <xf numFmtId="0" fontId="9469" fillId="0" borderId="0" xfId="0" applyFill="true" applyBorder="true" applyNumberFormat="true" applyFont="true"/>
    <xf numFmtId="0" fontId="9470" fillId="0" borderId="0" xfId="0" applyFill="true" applyBorder="true" applyNumberFormat="true" applyFont="true"/>
    <xf numFmtId="0" fontId="9471" fillId="0" borderId="0" xfId="0" applyFill="true" applyBorder="true" applyNumberFormat="true" applyFont="true"/>
    <xf numFmtId="0" fontId="9472" fillId="0" borderId="0" xfId="0" applyFill="true" applyBorder="true" applyNumberFormat="true" applyFont="true"/>
    <xf numFmtId="0" fontId="9473" fillId="0" borderId="0" xfId="0" applyFill="true" applyBorder="true" applyNumberFormat="true" applyFont="true"/>
    <xf numFmtId="0" fontId="9474" fillId="0" borderId="0" xfId="0" applyFill="true" applyBorder="true" applyNumberFormat="true" applyFont="true"/>
    <xf numFmtId="0" fontId="9475" fillId="0" borderId="0" xfId="0" applyFill="true" applyBorder="true" applyNumberFormat="true" applyFont="true"/>
    <xf numFmtId="0" fontId="9476" fillId="0" borderId="0" xfId="0" applyFill="true" applyBorder="true" applyNumberFormat="true" applyFont="true"/>
    <xf numFmtId="0" fontId="9477" fillId="0" borderId="0" xfId="0" applyFill="true" applyBorder="true" applyNumberFormat="true" applyFont="true"/>
    <xf numFmtId="0" fontId="9478" fillId="0" borderId="0" xfId="0" applyFill="true" applyBorder="true" applyNumberFormat="true" applyFont="true"/>
    <xf numFmtId="0" fontId="9479" fillId="0" borderId="0" xfId="0" applyFill="true" applyBorder="true" applyNumberFormat="true" applyFont="true"/>
    <xf numFmtId="0" fontId="9480" fillId="0" borderId="0" xfId="0" applyFill="true" applyBorder="true" applyNumberFormat="true" applyFont="true"/>
    <xf numFmtId="0" fontId="9481" fillId="0" borderId="0" xfId="0" applyFill="true" applyBorder="true" applyNumberFormat="true" applyFont="true"/>
    <xf numFmtId="0" fontId="9482" fillId="0" borderId="0" xfId="0" applyFill="true" applyBorder="true" applyNumberFormat="true" applyFont="true"/>
    <xf numFmtId="0" fontId="9483" fillId="0" borderId="0" xfId="0" applyFill="true" applyBorder="true" applyNumberFormat="true" applyFont="true"/>
    <xf numFmtId="0" fontId="9484" fillId="0" borderId="0" xfId="0" applyFill="true" applyBorder="true" applyNumberFormat="true" applyFont="true"/>
    <xf numFmtId="0" fontId="9485" fillId="0" borderId="0" xfId="0" applyFill="true" applyBorder="true" applyNumberFormat="true" applyFont="true"/>
    <xf numFmtId="0" fontId="9486" fillId="0" borderId="0" xfId="0" applyFill="true" applyBorder="true" applyNumberFormat="true" applyFont="true"/>
    <xf numFmtId="0" fontId="9487" fillId="0" borderId="0" xfId="0" applyFill="true" applyBorder="true" applyNumberFormat="true" applyFont="true"/>
    <xf numFmtId="0" fontId="9488" fillId="0" borderId="0" xfId="0" applyFill="true" applyBorder="true" applyNumberFormat="true" applyFont="true"/>
    <xf numFmtId="0" fontId="9489" fillId="0" borderId="0" xfId="0" applyFill="true" applyBorder="true" applyNumberFormat="true" applyFont="true"/>
    <xf numFmtId="0" fontId="9490" fillId="0" borderId="0" xfId="0" applyFill="true" applyBorder="true" applyNumberFormat="true" applyFont="true"/>
    <xf numFmtId="0" fontId="9491" fillId="0" borderId="0" xfId="0" applyFill="true" applyBorder="true" applyNumberFormat="true" applyFont="true"/>
    <xf numFmtId="0" fontId="9492" fillId="0" borderId="0" xfId="0" applyFill="true" applyBorder="true" applyNumberFormat="true" applyFont="true"/>
    <xf numFmtId="0" fontId="9493" fillId="0" borderId="0" xfId="0" applyFill="true" applyBorder="true" applyNumberFormat="true" applyFont="true"/>
    <xf numFmtId="0" fontId="9494" fillId="0" borderId="0" xfId="0" applyFill="true" applyBorder="true" applyNumberFormat="true" applyFont="true"/>
    <xf numFmtId="0" fontId="9495" fillId="0" borderId="0" xfId="0" applyFill="true" applyBorder="true" applyNumberFormat="true" applyFont="true"/>
    <xf numFmtId="0" fontId="9496" fillId="0" borderId="0" xfId="0" applyFill="true" applyBorder="true" applyNumberFormat="true" applyFont="true"/>
    <xf numFmtId="0" fontId="9497" fillId="0" borderId="0" xfId="0" applyFill="true" applyBorder="true" applyNumberFormat="true" applyFont="true"/>
    <xf numFmtId="0" fontId="9498" fillId="0" borderId="0" xfId="0" applyFill="true" applyBorder="true" applyNumberFormat="true" applyFont="true"/>
    <xf numFmtId="0" fontId="9499" fillId="0" borderId="0" xfId="0" applyFill="true" applyBorder="true" applyNumberFormat="true" applyFont="true"/>
    <xf numFmtId="0" fontId="9500" fillId="0" borderId="0" xfId="0" applyFill="true" applyBorder="true" applyNumberFormat="true" applyFont="true"/>
    <xf numFmtId="0" fontId="9501" fillId="0" borderId="0" xfId="0" applyFill="true" applyBorder="true" applyNumberFormat="true" applyFont="true"/>
    <xf numFmtId="0" fontId="9502" fillId="0" borderId="0" xfId="0" applyFill="true" applyBorder="true" applyNumberFormat="true" applyFont="true"/>
    <xf numFmtId="0" fontId="9503" fillId="0" borderId="0" xfId="0" applyFill="true" applyBorder="true" applyNumberFormat="true" applyFont="true"/>
    <xf numFmtId="0" fontId="9504" fillId="0" borderId="0" xfId="0" applyFill="true" applyBorder="true" applyNumberFormat="true" applyFont="true"/>
    <xf numFmtId="0" fontId="9505" fillId="0" borderId="0" xfId="0" applyFill="true" applyBorder="true" applyNumberFormat="true" applyFont="true"/>
    <xf numFmtId="0" fontId="9506" fillId="0" borderId="0" xfId="0" applyFill="true" applyBorder="true" applyNumberFormat="true" applyFont="true"/>
    <xf numFmtId="0" fontId="9507" fillId="0" borderId="0" xfId="0" applyFill="true" applyBorder="true" applyNumberFormat="true" applyFont="true"/>
    <xf numFmtId="0" fontId="9508" fillId="0" borderId="0" xfId="0" applyFill="true" applyBorder="true" applyNumberFormat="true" applyFont="true"/>
    <xf numFmtId="0" fontId="9509" fillId="0" borderId="0" xfId="0" applyFill="true" applyBorder="true" applyNumberFormat="true" applyFont="true"/>
    <xf numFmtId="0" fontId="9510" fillId="0" borderId="0" xfId="0" applyFill="true" applyBorder="true" applyNumberFormat="true" applyFont="true"/>
    <xf numFmtId="0" fontId="9511" fillId="0" borderId="0" xfId="0" applyFill="true" applyBorder="true" applyNumberFormat="true" applyFont="true"/>
    <xf numFmtId="0" fontId="9512" fillId="0" borderId="0" xfId="0" applyFill="true" applyBorder="true" applyNumberFormat="true" applyFont="true"/>
    <xf numFmtId="0" fontId="9513" fillId="0" borderId="0" xfId="0" applyFill="true" applyBorder="true" applyNumberFormat="true" applyFont="true"/>
    <xf numFmtId="0" fontId="9514" fillId="0" borderId="0" xfId="0" applyFill="true" applyBorder="true" applyNumberFormat="true" applyFont="true"/>
    <xf numFmtId="0" fontId="9515" fillId="0" borderId="0" xfId="0" applyFill="true" applyBorder="true" applyNumberFormat="true" applyFont="true"/>
    <xf numFmtId="0" fontId="9516" fillId="0" borderId="0" xfId="0" applyFill="true" applyBorder="true" applyNumberFormat="true" applyFont="true"/>
    <xf numFmtId="0" fontId="9517" fillId="0" borderId="0" xfId="0" applyFill="true" applyBorder="true" applyNumberFormat="true" applyFont="true"/>
    <xf numFmtId="0" fontId="9518" fillId="0" borderId="0" xfId="0" applyFill="true" applyBorder="true" applyNumberFormat="true" applyFont="true"/>
    <xf numFmtId="0" fontId="9519" fillId="0" borderId="0" xfId="0" applyFill="true" applyBorder="true" applyNumberFormat="true" applyFont="true"/>
    <xf numFmtId="0" fontId="9520" fillId="0" borderId="0" xfId="0" applyFill="true" applyBorder="true" applyNumberFormat="true" applyFont="true"/>
    <xf numFmtId="0" fontId="9521" fillId="0" borderId="0" xfId="0" applyFill="true" applyBorder="true" applyNumberFormat="true" applyFont="true"/>
    <xf numFmtId="0" fontId="9522" fillId="0" borderId="0" xfId="0" applyFill="true" applyBorder="true" applyNumberFormat="true" applyFont="true"/>
    <xf numFmtId="0" fontId="9523" fillId="0" borderId="0" xfId="0" applyFill="true" applyBorder="true" applyNumberFormat="true" applyFont="true"/>
    <xf numFmtId="0" fontId="9524" fillId="0" borderId="0" xfId="0" applyFill="true" applyBorder="true" applyNumberFormat="true" applyFont="true"/>
    <xf numFmtId="0" fontId="9525" fillId="0" borderId="0" xfId="0" applyFill="true" applyBorder="true" applyNumberFormat="true" applyFont="true"/>
    <xf numFmtId="0" fontId="9526" fillId="0" borderId="0" xfId="0" applyFill="true" applyBorder="true" applyNumberFormat="true" applyFont="true"/>
    <xf numFmtId="0" fontId="9527" fillId="0" borderId="0" xfId="0" applyFill="true" applyBorder="true" applyNumberFormat="true" applyFont="true"/>
    <xf numFmtId="0" fontId="9528" fillId="0" borderId="0" xfId="0" applyFill="true" applyBorder="true" applyNumberFormat="true" applyFont="true"/>
    <xf numFmtId="0" fontId="9529" fillId="0" borderId="0" xfId="0" applyFill="true" applyBorder="true" applyNumberFormat="true" applyFont="true"/>
    <xf numFmtId="0" fontId="9530" fillId="0" borderId="0" xfId="0" applyFill="true" applyBorder="true" applyNumberFormat="true" applyFont="true"/>
    <xf numFmtId="0" fontId="9531" fillId="0" borderId="0" xfId="0" applyFill="true" applyBorder="true" applyNumberFormat="true" applyFont="true"/>
    <xf numFmtId="0" fontId="9532" fillId="0" borderId="0" xfId="0" applyFill="true" applyBorder="true" applyNumberFormat="true" applyFont="true"/>
    <xf numFmtId="0" fontId="9533" fillId="0" borderId="0" xfId="0" applyFill="true" applyBorder="true" applyNumberFormat="true" applyFont="true"/>
    <xf numFmtId="0" fontId="9534" fillId="0" borderId="0" xfId="0" applyFill="true" applyBorder="true" applyNumberFormat="true" applyFont="true"/>
    <xf numFmtId="0" fontId="9535" fillId="0" borderId="0" xfId="0" applyFill="true" applyBorder="true" applyNumberFormat="true" applyFont="true"/>
    <xf numFmtId="0" fontId="9536" fillId="0" borderId="0" xfId="0" applyFill="true" applyBorder="true" applyNumberFormat="true" applyFont="true"/>
    <xf numFmtId="0" fontId="9537" fillId="0" borderId="0" xfId="0" applyFill="true" applyBorder="true" applyNumberFormat="true" applyFont="true"/>
    <xf numFmtId="0" fontId="9538" fillId="0" borderId="0" xfId="0" applyFill="true" applyBorder="true" applyNumberFormat="true" applyFont="true"/>
    <xf numFmtId="0" fontId="9539" fillId="0" borderId="0" xfId="0" applyFill="true" applyBorder="true" applyNumberFormat="true" applyFont="true"/>
    <xf numFmtId="0" fontId="9540" fillId="0" borderId="0" xfId="0" applyFill="true" applyBorder="true" applyNumberFormat="true" applyFont="true"/>
    <xf numFmtId="0" fontId="9541" fillId="0" borderId="0" xfId="0" applyFill="true" applyBorder="true" applyNumberFormat="true" applyFont="true"/>
    <xf numFmtId="0" fontId="9542" fillId="0" borderId="0" xfId="0" applyFill="true" applyBorder="true" applyNumberFormat="true" applyFont="true"/>
    <xf numFmtId="0" fontId="9543" fillId="0" borderId="0" xfId="0" applyFill="true" applyBorder="true" applyNumberFormat="true" applyFont="true"/>
    <xf numFmtId="0" fontId="9544" fillId="0" borderId="0" xfId="0" applyFill="true" applyBorder="true" applyNumberFormat="true" applyFont="true"/>
    <xf numFmtId="0" fontId="9545" fillId="0" borderId="0" xfId="0" applyFill="true" applyBorder="true" applyNumberFormat="true" applyFont="true"/>
    <xf numFmtId="0" fontId="9546" fillId="0" borderId="0" xfId="0" applyFill="true" applyBorder="true" applyNumberFormat="true" applyFont="true"/>
    <xf numFmtId="0" fontId="9547" fillId="0" borderId="0" xfId="0" applyFill="true" applyBorder="true" applyNumberFormat="true" applyFont="true"/>
    <xf numFmtId="0" fontId="9548" fillId="0" borderId="0" xfId="0" applyFill="true" applyBorder="true" applyNumberFormat="true" applyFont="true"/>
    <xf numFmtId="0" fontId="9549" fillId="0" borderId="0" xfId="0" applyFill="true" applyBorder="true" applyNumberFormat="true" applyFont="true"/>
    <xf numFmtId="0" fontId="9550" fillId="0" borderId="0" xfId="0" applyFill="true" applyBorder="true" applyNumberFormat="true" applyFont="true"/>
    <xf numFmtId="0" fontId="9551" fillId="0" borderId="0" xfId="0" applyFill="true" applyBorder="true" applyNumberFormat="true" applyFont="true"/>
    <xf numFmtId="0" fontId="9552" fillId="0" borderId="0" xfId="0" applyFill="true" applyBorder="true" applyNumberFormat="true" applyFont="true"/>
    <xf numFmtId="0" fontId="9553" fillId="0" borderId="0" xfId="0" applyFill="true" applyBorder="true" applyNumberFormat="true" applyFont="true"/>
    <xf numFmtId="0" fontId="9554" fillId="0" borderId="0" xfId="0" applyFill="true" applyBorder="true" applyNumberFormat="true" applyFont="true"/>
    <xf numFmtId="0" fontId="9555" fillId="0" borderId="0" xfId="0" applyFill="true" applyBorder="true" applyNumberFormat="true" applyFont="true"/>
    <xf numFmtId="0" fontId="9556" fillId="0" borderId="0" xfId="0" applyFill="true" applyBorder="true" applyNumberFormat="true" applyFont="true"/>
    <xf numFmtId="0" fontId="9557" fillId="0" borderId="0" xfId="0" applyFill="true" applyBorder="true" applyNumberFormat="true" applyFont="true"/>
    <xf numFmtId="0" fontId="9558" fillId="0" borderId="0" xfId="0" applyFill="true" applyBorder="true" applyNumberFormat="true" applyFont="true"/>
    <xf numFmtId="0" fontId="9559" fillId="0" borderId="0" xfId="0" applyFill="true" applyBorder="true" applyNumberFormat="true" applyFont="true"/>
    <xf numFmtId="0" fontId="9560" fillId="0" borderId="0" xfId="0" applyFill="true" applyBorder="true" applyNumberFormat="true" applyFont="true"/>
    <xf numFmtId="0" fontId="9561" fillId="0" borderId="0" xfId="0" applyFill="true" applyBorder="true" applyNumberFormat="true" applyFont="true"/>
    <xf numFmtId="0" fontId="9562" fillId="0" borderId="0" xfId="0" applyFill="true" applyBorder="true" applyNumberFormat="true" applyFont="true"/>
    <xf numFmtId="0" fontId="9563" fillId="0" borderId="0" xfId="0" applyFill="true" applyBorder="true" applyNumberFormat="true" applyFont="true"/>
    <xf numFmtId="0" fontId="9564" fillId="0" borderId="0" xfId="0" applyFill="true" applyBorder="true" applyNumberFormat="true" applyFont="true"/>
    <xf numFmtId="0" fontId="9565" fillId="0" borderId="0" xfId="0" applyFill="true" applyBorder="true" applyNumberFormat="true" applyFont="true"/>
    <xf numFmtId="0" fontId="9566" fillId="0" borderId="0" xfId="0" applyFill="true" applyBorder="true" applyNumberFormat="true" applyFont="true"/>
    <xf numFmtId="0" fontId="9567" fillId="0" borderId="0" xfId="0" applyFill="true" applyBorder="true" applyNumberFormat="true" applyFont="true"/>
    <xf numFmtId="0" fontId="9568" fillId="0" borderId="0" xfId="0" applyFill="true" applyBorder="true" applyNumberFormat="true" applyFont="true"/>
    <xf numFmtId="0" fontId="9569" fillId="0" borderId="0" xfId="0" applyFill="true" applyBorder="true" applyNumberFormat="true" applyFont="true"/>
    <xf numFmtId="0" fontId="9570" fillId="0" borderId="0" xfId="0" applyFill="true" applyBorder="true" applyNumberFormat="true" applyFont="true"/>
    <xf numFmtId="0" fontId="9571" fillId="0" borderId="0" xfId="0" applyFill="true" applyBorder="true" applyNumberFormat="true" applyFont="true"/>
    <xf numFmtId="0" fontId="9572" fillId="0" borderId="0" xfId="0" applyFill="true" applyBorder="true" applyNumberFormat="true" applyFont="true"/>
    <xf numFmtId="0" fontId="9573" fillId="0" borderId="0" xfId="0" applyFill="true" applyBorder="true" applyNumberFormat="true" applyFont="true"/>
    <xf numFmtId="0" fontId="9574" fillId="0" borderId="0" xfId="0" applyFill="true" applyBorder="true" applyNumberFormat="true" applyFont="true"/>
    <xf numFmtId="0" fontId="9575" fillId="0" borderId="0" xfId="0" applyFill="true" applyBorder="true" applyNumberFormat="true" applyFont="true"/>
    <xf numFmtId="0" fontId="9576" fillId="0" borderId="0" xfId="0" applyFill="true" applyBorder="true" applyNumberFormat="true" applyFont="true"/>
    <xf numFmtId="0" fontId="9577" fillId="0" borderId="0" xfId="0" applyFill="true" applyBorder="true" applyNumberFormat="true" applyFont="true"/>
    <xf numFmtId="0" fontId="9578" fillId="0" borderId="0" xfId="0" applyFill="true" applyBorder="true" applyNumberFormat="true" applyFont="true"/>
    <xf numFmtId="0" fontId="9579" fillId="0" borderId="0" xfId="0" applyFill="true" applyBorder="true" applyNumberFormat="true" applyFont="true"/>
    <xf numFmtId="0" fontId="9580" fillId="0" borderId="0" xfId="0" applyFill="true" applyBorder="true" applyNumberFormat="true" applyFont="true"/>
    <xf numFmtId="0" fontId="9581" fillId="0" borderId="0" xfId="0" applyFill="true" applyBorder="true" applyNumberFormat="true" applyFont="true"/>
    <xf numFmtId="0" fontId="9582" fillId="0" borderId="0" xfId="0" applyFill="true" applyBorder="true" applyNumberFormat="true" applyFont="true"/>
    <xf numFmtId="0" fontId="9583" fillId="0" borderId="0" xfId="0" applyFill="true" applyBorder="true" applyNumberFormat="true" applyFont="true"/>
    <xf numFmtId="0" fontId="9584" fillId="0" borderId="0" xfId="0" applyFill="true" applyBorder="true" applyNumberFormat="true" applyFont="true"/>
    <xf numFmtId="0" fontId="9585" fillId="0" borderId="0" xfId="0" applyFill="true" applyBorder="true" applyNumberFormat="true" applyFont="true"/>
    <xf numFmtId="0" fontId="9586" fillId="0" borderId="0" xfId="0" applyFill="true" applyBorder="true" applyNumberFormat="true" applyFont="true"/>
    <xf numFmtId="0" fontId="9587" fillId="0" borderId="0" xfId="0" applyFill="true" applyBorder="true" applyNumberFormat="true" applyFont="true"/>
    <xf numFmtId="0" fontId="9588" fillId="0" borderId="0" xfId="0" applyFill="true" applyBorder="true" applyNumberFormat="true" applyFont="true"/>
    <xf numFmtId="0" fontId="9589" fillId="0" borderId="0" xfId="0" applyFill="true" applyBorder="true" applyNumberFormat="true" applyFont="true"/>
    <xf numFmtId="0" fontId="9590" fillId="0" borderId="0" xfId="0" applyFill="true" applyBorder="true" applyNumberFormat="true" applyFont="true"/>
    <xf numFmtId="0" fontId="9591" fillId="0" borderId="0" xfId="0" applyFill="true" applyBorder="true" applyNumberFormat="true" applyFont="true"/>
    <xf numFmtId="0" fontId="9592" fillId="0" borderId="0" xfId="0" applyFill="true" applyBorder="true" applyNumberFormat="true" applyFont="true"/>
    <xf numFmtId="0" fontId="9593" fillId="0" borderId="0" xfId="0" applyFill="true" applyBorder="true" applyNumberFormat="true" applyFont="true"/>
    <xf numFmtId="0" fontId="9594" fillId="0" borderId="0" xfId="0" applyFill="true" applyBorder="true" applyNumberFormat="true" applyFont="true"/>
    <xf numFmtId="0" fontId="9595" fillId="0" borderId="0" xfId="0" applyFill="true" applyBorder="true" applyNumberFormat="true" applyFont="true"/>
    <xf numFmtId="0" fontId="9596" fillId="0" borderId="0" xfId="0" applyFill="true" applyBorder="true" applyNumberFormat="true" applyFont="true"/>
    <xf numFmtId="0" fontId="9597" fillId="0" borderId="0" xfId="0" applyFill="true" applyBorder="true" applyNumberFormat="true" applyFont="true"/>
    <xf numFmtId="0" fontId="9598" fillId="0" borderId="0" xfId="0" applyFill="true" applyBorder="true" applyNumberFormat="true" applyFont="true"/>
    <xf numFmtId="0" fontId="9599" fillId="0" borderId="0" xfId="0" applyFill="true" applyBorder="true" applyNumberFormat="true" applyFont="true"/>
    <xf numFmtId="0" fontId="9600" fillId="0" borderId="0" xfId="0" applyFill="true" applyBorder="true" applyNumberFormat="true" applyFont="true"/>
    <xf numFmtId="0" fontId="9601" fillId="0" borderId="0" xfId="0" applyFill="true" applyBorder="true" applyNumberFormat="true" applyFont="true"/>
    <xf numFmtId="0" fontId="9602" fillId="0" borderId="0" xfId="0" applyFill="true" applyBorder="true" applyNumberFormat="true" applyFont="true"/>
    <xf numFmtId="0" fontId="9603" fillId="0" borderId="0" xfId="0" applyFill="true" applyBorder="true" applyNumberFormat="true" applyFont="true"/>
    <xf numFmtId="0" fontId="9604" fillId="0" borderId="0" xfId="0" applyFill="true" applyBorder="true" applyNumberFormat="true" applyFont="true"/>
    <xf numFmtId="0" fontId="9605" fillId="0" borderId="0" xfId="0" applyFill="true" applyBorder="true" applyNumberFormat="true" applyFont="true"/>
    <xf numFmtId="0" fontId="9606" fillId="0" borderId="0" xfId="0" applyFill="true" applyBorder="true" applyNumberFormat="true" applyFont="true"/>
    <xf numFmtId="0" fontId="9607" fillId="0" borderId="0" xfId="0" applyFill="true" applyBorder="true" applyNumberFormat="true" applyFont="true"/>
    <xf numFmtId="0" fontId="9608" fillId="0" borderId="0" xfId="0" applyFill="true" applyBorder="true" applyNumberFormat="true" applyFont="true"/>
    <xf numFmtId="0" fontId="9609" fillId="0" borderId="0" xfId="0" applyFill="true" applyBorder="true" applyNumberFormat="true" applyFont="true"/>
    <xf numFmtId="0" fontId="9610" fillId="0" borderId="0" xfId="0" applyFill="true" applyBorder="true" applyNumberFormat="true" applyFont="true"/>
    <xf numFmtId="0" fontId="9611" fillId="0" borderId="0" xfId="0" applyFill="true" applyBorder="true" applyNumberFormat="true" applyFont="true"/>
    <xf numFmtId="0" fontId="9612" fillId="0" borderId="0" xfId="0" applyFill="true" applyBorder="true" applyNumberFormat="true" applyFont="true"/>
    <xf numFmtId="0" fontId="9613" fillId="0" borderId="0" xfId="0" applyFill="true" applyBorder="true" applyNumberFormat="true" applyFont="true"/>
    <xf numFmtId="0" fontId="9614" fillId="0" borderId="0" xfId="0" applyFill="true" applyBorder="true" applyNumberFormat="true" applyFont="true"/>
    <xf numFmtId="0" fontId="9615" fillId="0" borderId="0" xfId="0" applyFill="true" applyBorder="true" applyNumberFormat="true" applyFont="true"/>
    <xf numFmtId="0" fontId="9616" fillId="0" borderId="0" xfId="0" applyFill="true" applyBorder="true" applyNumberFormat="true" applyFont="true"/>
    <xf numFmtId="0" fontId="9617" fillId="0" borderId="0" xfId="0" applyFill="true" applyBorder="true" applyNumberFormat="true" applyFont="true"/>
    <xf numFmtId="0" fontId="9618" fillId="0" borderId="0" xfId="0" applyFill="true" applyBorder="true" applyNumberFormat="true" applyFont="true"/>
    <xf numFmtId="0" fontId="9619" fillId="0" borderId="0" xfId="0" applyFill="true" applyBorder="true" applyNumberFormat="true" applyFont="true"/>
    <xf numFmtId="0" fontId="9620" fillId="0" borderId="0" xfId="0" applyFill="true" applyBorder="true" applyNumberFormat="true" applyFont="true"/>
    <xf numFmtId="0" fontId="9621" fillId="0" borderId="0" xfId="0" applyFill="true" applyBorder="true" applyNumberFormat="true" applyFont="true"/>
    <xf numFmtId="0" fontId="9622" fillId="0" borderId="0" xfId="0" applyFill="true" applyBorder="true" applyNumberFormat="true" applyFont="true"/>
    <xf numFmtId="0" fontId="9623" fillId="0" borderId="0" xfId="0" applyFill="true" applyBorder="true" applyNumberFormat="true" applyFont="true"/>
    <xf numFmtId="0" fontId="9624" fillId="0" borderId="0" xfId="0" applyFill="true" applyBorder="true" applyNumberFormat="true" applyFont="true"/>
    <xf numFmtId="0" fontId="9625" fillId="0" borderId="0" xfId="0" applyFill="true" applyBorder="true" applyNumberFormat="true" applyFont="true"/>
    <xf numFmtId="0" fontId="9626" fillId="0" borderId="0" xfId="0" applyFill="true" applyBorder="true" applyNumberFormat="true" applyFont="true"/>
    <xf numFmtId="0" fontId="9627" fillId="0" borderId="0" xfId="0" applyFill="true" applyBorder="true" applyNumberFormat="true" applyFont="true"/>
    <xf numFmtId="0" fontId="9628" fillId="0" borderId="0" xfId="0" applyFill="true" applyBorder="true" applyNumberFormat="true" applyFont="true"/>
    <xf numFmtId="0" fontId="9629" fillId="0" borderId="0" xfId="0" applyFill="true" applyBorder="true" applyNumberFormat="true" applyFont="true"/>
    <xf numFmtId="0" fontId="9630" fillId="0" borderId="0" xfId="0" applyFill="true" applyBorder="true" applyNumberFormat="true" applyFont="true"/>
    <xf numFmtId="0" fontId="9631" fillId="0" borderId="0" xfId="0" applyFill="true" applyBorder="true" applyNumberFormat="true" applyFont="true"/>
    <xf numFmtId="0" fontId="9632" fillId="0" borderId="0" xfId="0" applyFill="true" applyBorder="true" applyNumberFormat="true" applyFont="true"/>
    <xf numFmtId="0" fontId="9633" fillId="0" borderId="0" xfId="0" applyFill="true" applyBorder="true" applyNumberFormat="true" applyFont="true"/>
    <xf numFmtId="0" fontId="9634" fillId="0" borderId="0" xfId="0" applyFill="true" applyBorder="true" applyNumberFormat="true" applyFont="true"/>
    <xf numFmtId="0" fontId="9635" fillId="0" borderId="0" xfId="0" applyFill="true" applyBorder="true" applyNumberFormat="true" applyFont="true"/>
    <xf numFmtId="0" fontId="9636" fillId="0" borderId="0" xfId="0" applyFill="true" applyBorder="true" applyNumberFormat="true" applyFont="true"/>
    <xf numFmtId="0" fontId="9637" fillId="0" borderId="0" xfId="0" applyFill="true" applyBorder="true" applyNumberFormat="true" applyFont="true"/>
    <xf numFmtId="0" fontId="9638" fillId="0" borderId="0" xfId="0" applyFill="true" applyBorder="true" applyNumberFormat="true" applyFont="true"/>
    <xf numFmtId="0" fontId="9639" fillId="0" borderId="0" xfId="0" applyFill="true" applyBorder="true" applyNumberFormat="true" applyFont="true"/>
    <xf numFmtId="0" fontId="9640" fillId="0" borderId="0" xfId="0" applyFill="true" applyBorder="true" applyNumberFormat="true" applyFont="true"/>
    <xf numFmtId="0" fontId="9641" fillId="0" borderId="0" xfId="0" applyFill="true" applyBorder="true" applyNumberFormat="true" applyFont="true"/>
    <xf numFmtId="0" fontId="9642" fillId="0" borderId="0" xfId="0" applyFill="true" applyBorder="true" applyNumberFormat="true" applyFont="true"/>
    <xf numFmtId="0" fontId="9643" fillId="0" borderId="0" xfId="0" applyFill="true" applyBorder="true" applyNumberFormat="true" applyFont="true"/>
    <xf numFmtId="0" fontId="9644" fillId="0" borderId="0" xfId="0" applyFill="true" applyBorder="true" applyNumberFormat="true" applyFont="true"/>
    <xf numFmtId="0" fontId="9645" fillId="0" borderId="0" xfId="0" applyFill="true" applyBorder="true" applyNumberFormat="true" applyFont="true"/>
    <xf numFmtId="0" fontId="9646" fillId="0" borderId="0" xfId="0" applyFill="true" applyBorder="true" applyNumberFormat="true" applyFont="true"/>
    <xf numFmtId="0" fontId="9647" fillId="0" borderId="0" xfId="0" applyFill="true" applyBorder="true" applyNumberFormat="true" applyFont="true"/>
    <xf numFmtId="0" fontId="9648" fillId="0" borderId="0" xfId="0" applyFill="true" applyBorder="true" applyNumberFormat="true" applyFont="true"/>
    <xf numFmtId="0" fontId="9649" fillId="0" borderId="0" xfId="0" applyFill="true" applyBorder="true" applyNumberFormat="true" applyFont="true"/>
    <xf numFmtId="0" fontId="9650" fillId="0" borderId="0" xfId="0" applyFill="true" applyBorder="true" applyNumberFormat="true" applyFont="true"/>
    <xf numFmtId="0" fontId="9651" fillId="0" borderId="0" xfId="0" applyFill="true" applyBorder="true" applyNumberFormat="true" applyFont="true"/>
    <xf numFmtId="0" fontId="9652" fillId="0" borderId="0" xfId="0" applyFill="true" applyBorder="true" applyNumberFormat="true" applyFont="true"/>
    <xf numFmtId="0" fontId="9653" fillId="0" borderId="0" xfId="0" applyFill="true" applyBorder="true" applyNumberFormat="true" applyFont="true"/>
    <xf numFmtId="0" fontId="9654" fillId="0" borderId="0" xfId="0" applyFill="true" applyBorder="true" applyNumberFormat="true" applyFont="true"/>
    <xf numFmtId="0" fontId="9655" fillId="0" borderId="0" xfId="0" applyFill="true" applyBorder="true" applyNumberFormat="true" applyFont="true"/>
    <xf numFmtId="0" fontId="9656" fillId="0" borderId="0" xfId="0" applyFill="true" applyBorder="true" applyNumberFormat="true" applyFont="true"/>
    <xf numFmtId="0" fontId="9657" fillId="0" borderId="0" xfId="0" applyFill="true" applyBorder="true" applyNumberFormat="true" applyFont="true"/>
    <xf numFmtId="0" fontId="9658" fillId="0" borderId="0" xfId="0" applyFill="true" applyBorder="true" applyNumberFormat="true" applyFont="true"/>
    <xf numFmtId="0" fontId="9659" fillId="0" borderId="0" xfId="0" applyFill="true" applyBorder="true" applyNumberFormat="true" applyFont="true"/>
    <xf numFmtId="0" fontId="9660" fillId="0" borderId="0" xfId="0" applyFill="true" applyBorder="true" applyNumberFormat="true" applyFont="true"/>
    <xf numFmtId="0" fontId="9661" fillId="0" borderId="0" xfId="0" applyFill="true" applyBorder="true" applyNumberFormat="true" applyFont="true"/>
    <xf numFmtId="0" fontId="9662" fillId="0" borderId="0" xfId="0" applyFill="true" applyBorder="true" applyNumberFormat="true" applyFont="true"/>
    <xf numFmtId="0" fontId="9663" fillId="0" borderId="0" xfId="0" applyFill="true" applyBorder="true" applyNumberFormat="true" applyFont="true"/>
    <xf numFmtId="0" fontId="9664" fillId="0" borderId="0" xfId="0" applyFill="true" applyBorder="true" applyNumberFormat="true" applyFont="true"/>
    <xf numFmtId="0" fontId="9665" fillId="0" borderId="0" xfId="0" applyFill="true" applyBorder="true" applyNumberFormat="true" applyFont="true"/>
    <xf numFmtId="0" fontId="9666" fillId="0" borderId="0" xfId="0" applyFill="true" applyBorder="true" applyNumberFormat="true" applyFont="true"/>
    <xf numFmtId="0" fontId="9667" fillId="0" borderId="0" xfId="0" applyFill="true" applyBorder="true" applyNumberFormat="true" applyFont="true"/>
    <xf numFmtId="0" fontId="9668" fillId="0" borderId="0" xfId="0" applyFill="true" applyBorder="true" applyNumberFormat="true" applyFont="true"/>
    <xf numFmtId="0" fontId="9669" fillId="0" borderId="0" xfId="0" applyFill="true" applyBorder="true" applyNumberFormat="true" applyFont="true"/>
    <xf numFmtId="0" fontId="9670" fillId="0" borderId="0" xfId="0" applyFill="true" applyBorder="true" applyNumberFormat="true" applyFont="true"/>
    <xf numFmtId="0" fontId="9671" fillId="0" borderId="0" xfId="0" applyFill="true" applyBorder="true" applyNumberFormat="true" applyFont="true"/>
    <xf numFmtId="0" fontId="9672" fillId="0" borderId="0" xfId="0" applyFill="true" applyBorder="true" applyNumberFormat="true" applyFont="true"/>
    <xf numFmtId="0" fontId="9673" fillId="0" borderId="0" xfId="0" applyFill="true" applyBorder="true" applyNumberFormat="true" applyFont="true"/>
    <xf numFmtId="0" fontId="9674" fillId="0" borderId="0" xfId="0" applyFill="true" applyBorder="true" applyNumberFormat="true" applyFont="true"/>
    <xf numFmtId="0" fontId="9675" fillId="0" borderId="0" xfId="0" applyFill="true" applyBorder="true" applyNumberFormat="true" applyFont="true"/>
    <xf numFmtId="0" fontId="9676" fillId="0" borderId="0" xfId="0" applyFill="true" applyBorder="true" applyNumberFormat="true" applyFont="true"/>
    <xf numFmtId="0" fontId="9677" fillId="0" borderId="0" xfId="0" applyFill="true" applyBorder="true" applyNumberFormat="true" applyFont="true"/>
    <xf numFmtId="0" fontId="9678" fillId="0" borderId="0" xfId="0" applyFill="true" applyBorder="true" applyNumberFormat="true" applyFont="true"/>
    <xf numFmtId="0" fontId="9679" fillId="0" borderId="0" xfId="0" applyFill="true" applyBorder="true" applyNumberFormat="true" applyFont="true"/>
    <xf numFmtId="0" fontId="9680" fillId="0" borderId="0" xfId="0" applyFill="true" applyBorder="true" applyNumberFormat="true" applyFont="true"/>
    <xf numFmtId="0" fontId="9681" fillId="0" borderId="0" xfId="0" applyFill="true" applyBorder="true" applyNumberFormat="true" applyFont="true"/>
    <xf numFmtId="0" fontId="9682" fillId="0" borderId="0" xfId="0" applyFill="true" applyBorder="true" applyNumberFormat="true" applyFont="true"/>
    <xf numFmtId="0" fontId="9683" fillId="0" borderId="0" xfId="0" applyFill="true" applyBorder="true" applyNumberFormat="true" applyFont="true"/>
    <xf numFmtId="0" fontId="9684" fillId="0" borderId="0" xfId="0" applyFill="true" applyBorder="true" applyNumberFormat="true" applyFont="true"/>
    <xf numFmtId="0" fontId="9685" fillId="0" borderId="0" xfId="0" applyFill="true" applyBorder="true" applyNumberFormat="true" applyFont="true"/>
    <xf numFmtId="0" fontId="9686" fillId="0" borderId="0" xfId="0" applyFill="true" applyBorder="true" applyNumberFormat="true" applyFont="true"/>
    <xf numFmtId="0" fontId="9687" fillId="0" borderId="0" xfId="0" applyFill="true" applyBorder="true" applyNumberFormat="true" applyFont="true"/>
    <xf numFmtId="0" fontId="9688" fillId="0" borderId="0" xfId="0" applyFill="true" applyBorder="true" applyNumberFormat="true" applyFont="true"/>
    <xf numFmtId="0" fontId="9689" fillId="0" borderId="0" xfId="0" applyFill="true" applyBorder="true" applyNumberFormat="true" applyFont="true"/>
    <xf numFmtId="0" fontId="9690" fillId="0" borderId="0" xfId="0" applyFill="true" applyBorder="true" applyNumberFormat="true" applyFont="true"/>
    <xf numFmtId="0" fontId="9691" fillId="0" borderId="0" xfId="0" applyFill="true" applyBorder="true" applyNumberFormat="true" applyFont="true"/>
    <xf numFmtId="0" fontId="9692" fillId="0" borderId="0" xfId="0" applyFill="true" applyBorder="true" applyNumberFormat="true" applyFont="true"/>
    <xf numFmtId="0" fontId="9693" fillId="0" borderId="0" xfId="0" applyFill="true" applyBorder="true" applyNumberFormat="true" applyFont="true"/>
    <xf numFmtId="0" fontId="9694" fillId="0" borderId="0" xfId="0" applyFill="true" applyBorder="true" applyNumberFormat="true" applyFont="true"/>
    <xf numFmtId="0" fontId="9695" fillId="0" borderId="0" xfId="0" applyFill="true" applyBorder="true" applyNumberFormat="true" applyFont="true"/>
    <xf numFmtId="0" fontId="9696" fillId="0" borderId="0" xfId="0" applyFill="true" applyBorder="true" applyNumberFormat="true" applyFont="true"/>
    <xf numFmtId="0" fontId="9697" fillId="0" borderId="0" xfId="0" applyFill="true" applyBorder="true" applyNumberFormat="true" applyFont="true"/>
    <xf numFmtId="0" fontId="9698" fillId="0" borderId="0" xfId="0" applyFill="true" applyBorder="true" applyNumberFormat="true" applyFont="true"/>
    <xf numFmtId="0" fontId="9699" fillId="0" borderId="0" xfId="0" applyFill="true" applyBorder="true" applyNumberFormat="true" applyFont="true"/>
    <xf numFmtId="0" fontId="9700" fillId="0" borderId="0" xfId="0" applyFill="true" applyBorder="true" applyNumberFormat="true" applyFont="true"/>
    <xf numFmtId="0" fontId="9701" fillId="0" borderId="0" xfId="0" applyFill="true" applyBorder="true" applyNumberFormat="true" applyFont="true"/>
    <xf numFmtId="0" fontId="9702" fillId="0" borderId="0" xfId="0" applyFill="true" applyBorder="true" applyNumberFormat="true" applyFont="true"/>
    <xf numFmtId="0" fontId="9703" fillId="0" borderId="0" xfId="0" applyFill="true" applyBorder="true" applyNumberFormat="true" applyFont="true"/>
    <xf numFmtId="0" fontId="9704" fillId="0" borderId="0" xfId="0" applyFill="true" applyBorder="true" applyNumberFormat="true" applyFont="true"/>
    <xf numFmtId="0" fontId="9705" fillId="0" borderId="0" xfId="0" applyFill="true" applyBorder="true" applyNumberFormat="true" applyFont="true"/>
    <xf numFmtId="0" fontId="9706" fillId="0" borderId="0" xfId="0" applyFill="true" applyBorder="true" applyNumberFormat="true" applyFont="true"/>
    <xf numFmtId="0" fontId="9707" fillId="0" borderId="0" xfId="0" applyFill="true" applyBorder="true" applyNumberFormat="true" applyFont="true"/>
    <xf numFmtId="0" fontId="9708" fillId="0" borderId="0" xfId="0" applyFill="true" applyBorder="true" applyNumberFormat="true" applyFont="true"/>
    <xf numFmtId="0" fontId="9709" fillId="0" borderId="0" xfId="0" applyFill="true" applyBorder="true" applyNumberFormat="true" applyFont="true"/>
    <xf numFmtId="0" fontId="9710" fillId="0" borderId="0" xfId="0" applyFill="true" applyBorder="true" applyNumberFormat="true" applyFont="true"/>
    <xf numFmtId="0" fontId="9711" fillId="0" borderId="0" xfId="0" applyFill="true" applyBorder="true" applyNumberFormat="true" applyFont="true"/>
    <xf numFmtId="0" fontId="9712" fillId="0" borderId="0" xfId="0" applyFill="true" applyBorder="true" applyNumberFormat="true" applyFont="true"/>
    <xf numFmtId="0" fontId="9713" fillId="0" borderId="0" xfId="0" applyFill="true" applyBorder="true" applyNumberFormat="true" applyFont="true"/>
    <xf numFmtId="0" fontId="9714" fillId="0" borderId="0" xfId="0" applyFill="true" applyBorder="true" applyNumberFormat="true" applyFont="true"/>
    <xf numFmtId="0" fontId="9715" fillId="0" borderId="0" xfId="0" applyFill="true" applyBorder="true" applyNumberFormat="true" applyFont="true"/>
    <xf numFmtId="0" fontId="9716" fillId="0" borderId="0" xfId="0" applyFill="true" applyBorder="true" applyNumberFormat="true" applyFont="true"/>
    <xf numFmtId="0" fontId="9717" fillId="0" borderId="0" xfId="0" applyFill="true" applyBorder="true" applyNumberFormat="true" applyFont="true"/>
    <xf numFmtId="0" fontId="9718" fillId="0" borderId="0" xfId="0" applyFill="true" applyBorder="true" applyNumberFormat="true" applyFont="true"/>
    <xf numFmtId="0" fontId="9719" fillId="0" borderId="0" xfId="0" applyFill="true" applyBorder="true" applyNumberFormat="true" applyFont="true"/>
    <xf numFmtId="0" fontId="9720" fillId="0" borderId="0" xfId="0" applyFill="true" applyBorder="true" applyNumberFormat="true" applyFont="true"/>
    <xf numFmtId="0" fontId="9721" fillId="0" borderId="0" xfId="0" applyFill="true" applyBorder="true" applyNumberFormat="true" applyFont="true"/>
    <xf numFmtId="0" fontId="9722" fillId="0" borderId="0" xfId="0" applyFill="true" applyBorder="true" applyNumberFormat="true" applyFont="true"/>
    <xf numFmtId="0" fontId="9723" fillId="0" borderId="0" xfId="0" applyFill="true" applyBorder="true" applyNumberFormat="true" applyFont="true"/>
    <xf numFmtId="0" fontId="9724" fillId="0" borderId="0" xfId="0" applyFill="true" applyBorder="true" applyNumberFormat="true" applyFont="true"/>
    <xf numFmtId="0" fontId="9725" fillId="0" borderId="0" xfId="0" applyFill="true" applyBorder="true" applyNumberFormat="true" applyFont="true"/>
    <xf numFmtId="0" fontId="9726" fillId="0" borderId="0" xfId="0" applyFill="true" applyBorder="true" applyNumberFormat="true" applyFont="true"/>
    <xf numFmtId="0" fontId="9727" fillId="0" borderId="0" xfId="0" applyFill="true" applyBorder="true" applyNumberFormat="true" applyFont="true"/>
    <xf numFmtId="0" fontId="9728" fillId="0" borderId="0" xfId="0" applyFill="true" applyBorder="true" applyNumberFormat="true" applyFont="true"/>
    <xf numFmtId="0" fontId="9729" fillId="0" borderId="0" xfId="0" applyFill="true" applyBorder="true" applyNumberFormat="true" applyFont="true"/>
    <xf numFmtId="0" fontId="9730" fillId="0" borderId="0" xfId="0" applyFill="true" applyBorder="true" applyNumberFormat="true" applyFont="true"/>
    <xf numFmtId="0" fontId="9731" fillId="0" borderId="0" xfId="0" applyFill="true" applyBorder="true" applyNumberFormat="true" applyFont="true"/>
    <xf numFmtId="0" fontId="9732" fillId="0" borderId="0" xfId="0" applyFill="true" applyBorder="true" applyNumberFormat="true" applyFont="true"/>
    <xf numFmtId="0" fontId="9733" fillId="0" borderId="0" xfId="0" applyFill="true" applyBorder="true" applyNumberFormat="true" applyFont="true"/>
    <xf numFmtId="0" fontId="9734" fillId="0" borderId="0" xfId="0" applyFill="true" applyBorder="true" applyNumberFormat="true" applyFont="true"/>
    <xf numFmtId="0" fontId="9735" fillId="0" borderId="0" xfId="0" applyFill="true" applyBorder="true" applyNumberFormat="true" applyFont="true"/>
    <xf numFmtId="0" fontId="9736" fillId="0" borderId="0" xfId="0" applyFill="true" applyBorder="true" applyNumberFormat="true" applyFont="true"/>
    <xf numFmtId="0" fontId="9737" fillId="0" borderId="0" xfId="0" applyFill="true" applyBorder="true" applyNumberFormat="true" applyFont="true"/>
    <xf numFmtId="0" fontId="9738" fillId="0" borderId="0" xfId="0" applyFill="true" applyBorder="true" applyNumberFormat="true" applyFont="true"/>
    <xf numFmtId="0" fontId="9739" fillId="0" borderId="0" xfId="0" applyFill="true" applyBorder="true" applyNumberFormat="true" applyFont="true"/>
    <xf numFmtId="0" fontId="9740" fillId="0" borderId="0" xfId="0" applyFill="true" applyBorder="true" applyNumberFormat="true" applyFont="true"/>
    <xf numFmtId="0" fontId="9741" fillId="0" borderId="0" xfId="0" applyFill="true" applyBorder="true" applyNumberFormat="true" applyFont="true"/>
    <xf numFmtId="0" fontId="9742" fillId="0" borderId="0" xfId="0" applyFill="true" applyBorder="true" applyNumberFormat="true" applyFont="true"/>
    <xf numFmtId="0" fontId="9743" fillId="0" borderId="0" xfId="0" applyFill="true" applyBorder="true" applyNumberFormat="true" applyFont="true"/>
    <xf numFmtId="0" fontId="9744" fillId="0" borderId="0" xfId="0" applyFill="true" applyBorder="true" applyNumberFormat="true" applyFont="true"/>
    <xf numFmtId="0" fontId="9745" fillId="0" borderId="0" xfId="0" applyFill="true" applyBorder="true" applyNumberFormat="true" applyFont="true"/>
    <xf numFmtId="0" fontId="9746" fillId="0" borderId="0" xfId="0" applyFill="true" applyBorder="true" applyNumberFormat="true" applyFont="true"/>
    <xf numFmtId="0" fontId="9747" fillId="0" borderId="0" xfId="0" applyFill="true" applyBorder="true" applyNumberFormat="true" applyFont="true"/>
    <xf numFmtId="0" fontId="9748" fillId="0" borderId="0" xfId="0" applyFill="true" applyBorder="true" applyNumberFormat="true" applyFont="true"/>
    <xf numFmtId="0" fontId="9749" fillId="0" borderId="0" xfId="0" applyFill="true" applyBorder="true" applyNumberFormat="true" applyFont="true"/>
    <xf numFmtId="0" fontId="9750" fillId="0" borderId="0" xfId="0" applyFill="true" applyBorder="true" applyNumberFormat="true" applyFont="true"/>
    <xf numFmtId="0" fontId="9751" fillId="0" borderId="0" xfId="0" applyFill="true" applyBorder="true" applyNumberFormat="true" applyFont="true"/>
    <xf numFmtId="0" fontId="9752" fillId="0" borderId="0" xfId="0" applyFill="true" applyBorder="true" applyNumberFormat="true" applyFont="true"/>
    <xf numFmtId="0" fontId="9753" fillId="0" borderId="0" xfId="0" applyFill="true" applyBorder="true" applyNumberFormat="true" applyFont="true"/>
    <xf numFmtId="0" fontId="9754" fillId="0" borderId="0" xfId="0" applyFill="true" applyBorder="true" applyNumberFormat="true" applyFont="true"/>
    <xf numFmtId="0" fontId="9755" fillId="0" borderId="0" xfId="0" applyFill="true" applyBorder="true" applyNumberFormat="true" applyFont="true"/>
    <xf numFmtId="0" fontId="9756" fillId="0" borderId="0" xfId="0" applyFill="true" applyBorder="true" applyNumberFormat="true" applyFont="true"/>
    <xf numFmtId="0" fontId="9757" fillId="0" borderId="0" xfId="0" applyFill="true" applyBorder="true" applyNumberFormat="true" applyFont="true"/>
    <xf numFmtId="0" fontId="9758" fillId="0" borderId="0" xfId="0" applyFill="true" applyBorder="true" applyNumberFormat="true" applyFont="true"/>
    <xf numFmtId="0" fontId="9759" fillId="0" borderId="0" xfId="0" applyFill="true" applyBorder="true" applyNumberFormat="true" applyFont="true"/>
    <xf numFmtId="0" fontId="9760" fillId="0" borderId="0" xfId="0" applyFill="true" applyBorder="true" applyNumberFormat="true" applyFont="true"/>
    <xf numFmtId="0" fontId="9761" fillId="0" borderId="0" xfId="0" applyFill="true" applyBorder="true" applyNumberFormat="true" applyFont="true"/>
    <xf numFmtId="0" fontId="9762" fillId="0" borderId="0" xfId="0" applyFill="true" applyBorder="true" applyNumberFormat="true" applyFont="true"/>
    <xf numFmtId="0" fontId="9763" fillId="0" borderId="0" xfId="0" applyFill="true" applyBorder="true" applyNumberFormat="true" applyFont="true"/>
    <xf numFmtId="0" fontId="9764" fillId="0" borderId="0" xfId="0" applyFill="true" applyBorder="true" applyNumberFormat="true" applyFont="true"/>
    <xf numFmtId="0" fontId="9765" fillId="0" borderId="0" xfId="0" applyFill="true" applyBorder="true" applyNumberFormat="true" applyFont="true"/>
    <xf numFmtId="0" fontId="9766" fillId="0" borderId="0" xfId="0" applyFill="true" applyBorder="true" applyNumberFormat="true" applyFont="true"/>
    <xf numFmtId="0" fontId="9767" fillId="0" borderId="0" xfId="0" applyFill="true" applyBorder="true" applyNumberFormat="true" applyFont="true"/>
    <xf numFmtId="0" fontId="9768" fillId="0" borderId="0" xfId="0" applyFill="true" applyBorder="true" applyNumberFormat="true" applyFont="true"/>
    <xf numFmtId="0" fontId="9769" fillId="0" borderId="0" xfId="0" applyFill="true" applyBorder="true" applyNumberFormat="true" applyFont="true"/>
    <xf numFmtId="0" fontId="9770" fillId="0" borderId="0" xfId="0" applyFill="true" applyBorder="true" applyNumberFormat="true" applyFont="true"/>
    <xf numFmtId="0" fontId="9771" fillId="0" borderId="0" xfId="0" applyFill="true" applyBorder="true" applyNumberFormat="true" applyFont="true"/>
    <xf numFmtId="0" fontId="9772" fillId="0" borderId="0" xfId="0" applyFill="true" applyBorder="true" applyNumberFormat="true" applyFont="true"/>
    <xf numFmtId="0" fontId="9773" fillId="0" borderId="0" xfId="0" applyFill="true" applyBorder="true" applyNumberFormat="true" applyFont="true"/>
    <xf numFmtId="0" fontId="9774" fillId="0" borderId="0" xfId="0" applyFill="true" applyBorder="true" applyNumberFormat="true" applyFont="true"/>
    <xf numFmtId="0" fontId="9775" fillId="0" borderId="0" xfId="0" applyFill="true" applyBorder="true" applyNumberFormat="true" applyFont="true"/>
    <xf numFmtId="0" fontId="9776" fillId="0" borderId="0" xfId="0" applyFill="true" applyBorder="true" applyNumberFormat="true" applyFont="true"/>
    <xf numFmtId="0" fontId="9777" fillId="0" borderId="0" xfId="0" applyFill="true" applyBorder="true" applyNumberFormat="true" applyFont="true"/>
    <xf numFmtId="0" fontId="9778" fillId="0" borderId="0" xfId="0" applyFill="true" applyBorder="true" applyNumberFormat="true" applyFont="true"/>
    <xf numFmtId="0" fontId="9779" fillId="0" borderId="0" xfId="0" applyFill="true" applyBorder="true" applyNumberFormat="true" applyFont="true"/>
    <xf numFmtId="0" fontId="9780" fillId="0" borderId="0" xfId="0" applyFill="true" applyBorder="true" applyNumberFormat="true" applyFont="true"/>
    <xf numFmtId="0" fontId="9781" fillId="0" borderId="0" xfId="0" applyFill="true" applyBorder="true" applyNumberFormat="true" applyFont="true"/>
    <xf numFmtId="0" fontId="9782" fillId="0" borderId="0" xfId="0" applyFill="true" applyBorder="true" applyNumberFormat="true" applyFont="true"/>
    <xf numFmtId="0" fontId="9783" fillId="0" borderId="0" xfId="0" applyFill="true" applyBorder="true" applyNumberFormat="true" applyFont="true"/>
    <xf numFmtId="0" fontId="9784" fillId="0" borderId="0" xfId="0" applyFill="true" applyBorder="true" applyNumberFormat="true" applyFont="true"/>
    <xf numFmtId="0" fontId="9785" fillId="0" borderId="0" xfId="0" applyFill="true" applyBorder="true" applyNumberFormat="true" applyFont="true"/>
    <xf numFmtId="0" fontId="9786" fillId="0" borderId="0" xfId="0" applyFill="true" applyBorder="true" applyNumberFormat="true" applyFont="true"/>
    <xf numFmtId="0" fontId="9787" fillId="0" borderId="0" xfId="0" applyFill="true" applyBorder="true" applyNumberFormat="true" applyFont="true"/>
    <xf numFmtId="0" fontId="9788" fillId="0" borderId="0" xfId="0" applyFill="true" applyBorder="true" applyNumberFormat="true" applyFont="true"/>
    <xf numFmtId="0" fontId="9789" fillId="0" borderId="0" xfId="0" applyFill="true" applyBorder="true" applyNumberFormat="true" applyFont="true"/>
    <xf numFmtId="0" fontId="9790" fillId="0" borderId="0" xfId="0" applyFill="true" applyBorder="true" applyNumberFormat="true" applyFont="true"/>
    <xf numFmtId="0" fontId="9791" fillId="0" borderId="0" xfId="0" applyFill="true" applyBorder="true" applyNumberFormat="true" applyFont="true"/>
    <xf numFmtId="0" fontId="9792" fillId="0" borderId="0" xfId="0" applyFill="true" applyBorder="true" applyNumberFormat="true" applyFont="true"/>
    <xf numFmtId="0" fontId="9793" fillId="0" borderId="0" xfId="0" applyFill="true" applyBorder="true" applyNumberFormat="true" applyFont="true"/>
    <xf numFmtId="0" fontId="9794" fillId="0" borderId="0" xfId="0" applyFill="true" applyBorder="true" applyNumberFormat="true" applyFont="true"/>
    <xf numFmtId="0" fontId="9795" fillId="0" borderId="0" xfId="0" applyFill="true" applyBorder="true" applyNumberFormat="true" applyFont="true"/>
    <xf numFmtId="0" fontId="9796" fillId="0" borderId="0" xfId="0" applyFill="true" applyBorder="true" applyNumberFormat="true" applyFont="true"/>
    <xf numFmtId="0" fontId="9797" fillId="0" borderId="0" xfId="0" applyFill="true" applyBorder="true" applyNumberFormat="true" applyFont="true"/>
    <xf numFmtId="0" fontId="9798" fillId="0" borderId="0" xfId="0" applyFill="true" applyBorder="true" applyNumberFormat="true" applyFont="true"/>
    <xf numFmtId="0" fontId="9799" fillId="0" borderId="0" xfId="0" applyFill="true" applyBorder="true" applyNumberFormat="true" applyFont="true"/>
    <xf numFmtId="0" fontId="9800" fillId="0" borderId="0" xfId="0" applyFill="true" applyBorder="true" applyNumberFormat="true" applyFont="true"/>
    <xf numFmtId="0" fontId="9801" fillId="0" borderId="0" xfId="0" applyFill="true" applyBorder="true" applyNumberFormat="true" applyFont="true"/>
    <xf numFmtId="0" fontId="9802" fillId="0" borderId="0" xfId="0" applyFill="true" applyBorder="true" applyNumberFormat="true" applyFont="true"/>
    <xf numFmtId="0" fontId="9803" fillId="0" borderId="0" xfId="0" applyFill="true" applyBorder="true" applyNumberFormat="true" applyFont="true"/>
    <xf numFmtId="0" fontId="9804" fillId="0" borderId="0" xfId="0" applyFill="true" applyBorder="true" applyNumberFormat="true" applyFont="true"/>
    <xf numFmtId="0" fontId="9805" fillId="0" borderId="0" xfId="0" applyFill="true" applyBorder="true" applyNumberFormat="true" applyFont="true"/>
    <xf numFmtId="0" fontId="9806" fillId="0" borderId="0" xfId="0" applyFill="true" applyBorder="true" applyNumberFormat="true" applyFont="true"/>
    <xf numFmtId="0" fontId="9807" fillId="0" borderId="0" xfId="0" applyFill="true" applyBorder="true" applyNumberFormat="true" applyFont="true"/>
    <xf numFmtId="0" fontId="9808" fillId="0" borderId="0" xfId="0" applyFill="true" applyBorder="true" applyNumberFormat="true" applyFont="true"/>
    <xf numFmtId="0" fontId="9809" fillId="0" borderId="0" xfId="0" applyFill="true" applyBorder="true" applyNumberFormat="true" applyFont="true"/>
    <xf numFmtId="0" fontId="9810" fillId="0" borderId="0" xfId="0" applyFill="true" applyBorder="true" applyNumberFormat="true" applyFont="true"/>
    <xf numFmtId="0" fontId="9811" fillId="0" borderId="0" xfId="0" applyFill="true" applyBorder="true" applyNumberFormat="true" applyFont="true"/>
    <xf numFmtId="0" fontId="9812" fillId="0" borderId="0" xfId="0" applyFill="true" applyBorder="true" applyNumberFormat="true" applyFont="true"/>
    <xf numFmtId="0" fontId="9813" fillId="0" borderId="0" xfId="0" applyFill="true" applyBorder="true" applyNumberFormat="true" applyFont="true"/>
    <xf numFmtId="0" fontId="9814" fillId="0" borderId="0" xfId="0" applyFill="true" applyBorder="true" applyNumberFormat="true" applyFont="true"/>
    <xf numFmtId="0" fontId="9815" fillId="0" borderId="0" xfId="0" applyFill="true" applyBorder="true" applyNumberFormat="true" applyFont="true"/>
    <xf numFmtId="0" fontId="9816" fillId="0" borderId="0" xfId="0" applyFill="true" applyBorder="true" applyNumberFormat="true" applyFont="true"/>
    <xf numFmtId="0" fontId="9817" fillId="0" borderId="0" xfId="0" applyFill="true" applyBorder="true" applyNumberFormat="true" applyFont="true"/>
    <xf numFmtId="0" fontId="9818" fillId="0" borderId="0" xfId="0" applyFill="true" applyBorder="true" applyNumberFormat="true" applyFont="true"/>
    <xf numFmtId="0" fontId="9819" fillId="0" borderId="0" xfId="0" applyFill="true" applyBorder="true" applyNumberFormat="true" applyFont="true"/>
    <xf numFmtId="0" fontId="9820" fillId="0" borderId="0" xfId="0" applyFill="true" applyBorder="true" applyNumberFormat="true" applyFont="true"/>
    <xf numFmtId="0" fontId="9821" fillId="0" borderId="0" xfId="0" applyFill="true" applyBorder="true" applyNumberFormat="true" applyFont="true"/>
    <xf numFmtId="0" fontId="9822" fillId="0" borderId="0" xfId="0" applyFill="true" applyBorder="true" applyNumberFormat="true" applyFont="true"/>
    <xf numFmtId="0" fontId="9823" fillId="0" borderId="0" xfId="0" applyFill="true" applyBorder="true" applyNumberFormat="true" applyFont="true"/>
    <xf numFmtId="0" fontId="9824" fillId="0" borderId="0" xfId="0" applyFill="true" applyBorder="true" applyNumberFormat="true" applyFont="true"/>
    <xf numFmtId="0" fontId="9825" fillId="0" borderId="0" xfId="0" applyFill="true" applyBorder="true" applyNumberFormat="true" applyFont="true"/>
    <xf numFmtId="0" fontId="9826" fillId="0" borderId="0" xfId="0" applyFill="true" applyBorder="true" applyNumberFormat="true" applyFont="true"/>
    <xf numFmtId="0" fontId="9827" fillId="0" borderId="0" xfId="0" applyFill="true" applyBorder="true" applyNumberFormat="true" applyFont="true"/>
    <xf numFmtId="0" fontId="9828" fillId="0" borderId="0" xfId="0" applyFill="true" applyBorder="true" applyNumberFormat="true" applyFont="true"/>
    <xf numFmtId="0" fontId="9829" fillId="0" borderId="0" xfId="0" applyFill="true" applyBorder="true" applyNumberFormat="true" applyFont="true"/>
    <xf numFmtId="0" fontId="9830" fillId="0" borderId="0" xfId="0" applyFill="true" applyBorder="true" applyNumberFormat="true" applyFont="true"/>
    <xf numFmtId="0" fontId="9831" fillId="0" borderId="0" xfId="0" applyFill="true" applyBorder="true" applyNumberFormat="true" applyFont="true"/>
    <xf numFmtId="0" fontId="9832" fillId="0" borderId="0" xfId="0" applyFill="true" applyBorder="true" applyNumberFormat="true" applyFont="true"/>
    <xf numFmtId="0" fontId="9833" fillId="0" borderId="0" xfId="0" applyFill="true" applyBorder="true" applyNumberFormat="true" applyFont="true"/>
    <xf numFmtId="0" fontId="9834" fillId="0" borderId="0" xfId="0" applyFill="true" applyBorder="true" applyNumberFormat="true" applyFont="true"/>
    <xf numFmtId="0" fontId="9835" fillId="0" borderId="0" xfId="0" applyFill="true" applyBorder="true" applyNumberFormat="true" applyFont="true"/>
    <xf numFmtId="0" fontId="9836" fillId="0" borderId="0" xfId="0" applyFill="true" applyBorder="true" applyNumberFormat="true" applyFont="true"/>
    <xf numFmtId="0" fontId="9837" fillId="0" borderId="0" xfId="0" applyFill="true" applyBorder="true" applyNumberFormat="true" applyFont="true"/>
    <xf numFmtId="0" fontId="9838" fillId="0" borderId="0" xfId="0" applyFill="true" applyBorder="true" applyNumberFormat="true" applyFont="true"/>
    <xf numFmtId="0" fontId="9839" fillId="0" borderId="0" xfId="0" applyFill="true" applyBorder="true" applyNumberFormat="true" applyFont="true"/>
    <xf numFmtId="0" fontId="9840" fillId="0" borderId="0" xfId="0" applyFill="true" applyBorder="true" applyNumberFormat="true" applyFont="true"/>
    <xf numFmtId="0" fontId="9841" fillId="0" borderId="0" xfId="0" applyFill="true" applyBorder="true" applyNumberFormat="true" applyFont="true"/>
    <xf numFmtId="0" fontId="9842" fillId="0" borderId="0" xfId="0" applyFill="true" applyBorder="true" applyNumberFormat="true" applyFont="true"/>
    <xf numFmtId="0" fontId="9843" fillId="0" borderId="0" xfId="0" applyFill="true" applyBorder="true" applyNumberFormat="true" applyFont="true"/>
    <xf numFmtId="0" fontId="9844" fillId="0" borderId="0" xfId="0" applyFill="true" applyBorder="true" applyNumberFormat="true" applyFont="true"/>
    <xf numFmtId="0" fontId="9845" fillId="0" borderId="0" xfId="0" applyFill="true" applyBorder="true" applyNumberFormat="true" applyFont="true"/>
    <xf numFmtId="0" fontId="9846" fillId="0" borderId="0" xfId="0" applyFill="true" applyBorder="true" applyNumberFormat="true" applyFont="true"/>
    <xf numFmtId="0" fontId="9847" fillId="0" borderId="0" xfId="0" applyFill="true" applyBorder="true" applyNumberFormat="true" applyFont="true"/>
    <xf numFmtId="0" fontId="9848" fillId="0" borderId="0" xfId="0" applyFill="true" applyBorder="true" applyNumberFormat="true" applyFont="true"/>
    <xf numFmtId="0" fontId="9849" fillId="0" borderId="0" xfId="0" applyFill="true" applyBorder="true" applyNumberFormat="true" applyFont="true"/>
    <xf numFmtId="0" fontId="9850" fillId="0" borderId="0" xfId="0" applyFill="true" applyBorder="true" applyNumberFormat="true" applyFont="true"/>
    <xf numFmtId="0" fontId="9851" fillId="0" borderId="0" xfId="0" applyFill="true" applyBorder="true" applyNumberFormat="true" applyFont="true"/>
    <xf numFmtId="0" fontId="9852" fillId="0" borderId="0" xfId="0" applyFill="true" applyBorder="true" applyNumberFormat="true" applyFont="true"/>
    <xf numFmtId="0" fontId="9853" fillId="0" borderId="0" xfId="0" applyFill="true" applyBorder="true" applyNumberFormat="true" applyFont="true"/>
    <xf numFmtId="0" fontId="9854" fillId="0" borderId="0" xfId="0" applyFill="true" applyBorder="true" applyNumberFormat="true" applyFont="true"/>
    <xf numFmtId="0" fontId="9855" fillId="0" borderId="0" xfId="0" applyFill="true" applyBorder="true" applyNumberFormat="true" applyFont="true"/>
    <xf numFmtId="0" fontId="9856" fillId="0" borderId="0" xfId="0" applyFill="true" applyBorder="true" applyNumberFormat="true" applyFont="true"/>
    <xf numFmtId="0" fontId="9857" fillId="0" borderId="0" xfId="0" applyFill="true" applyBorder="true" applyNumberFormat="true" applyFont="true"/>
    <xf numFmtId="0" fontId="9858" fillId="0" borderId="0" xfId="0" applyFill="true" applyBorder="true" applyNumberFormat="true" applyFont="true"/>
    <xf numFmtId="0" fontId="9859" fillId="0" borderId="0" xfId="0" applyFill="true" applyBorder="true" applyNumberFormat="true" applyFont="true"/>
    <xf numFmtId="0" fontId="9860" fillId="0" borderId="0" xfId="0" applyFill="true" applyBorder="true" applyNumberFormat="true" applyFont="true"/>
    <xf numFmtId="0" fontId="9861" fillId="0" borderId="0" xfId="0" applyFill="true" applyBorder="true" applyNumberFormat="true" applyFont="true"/>
    <xf numFmtId="0" fontId="9862" fillId="0" borderId="0" xfId="0" applyFill="true" applyBorder="true" applyNumberFormat="true" applyFont="true"/>
    <xf numFmtId="0" fontId="9863" fillId="0" borderId="0" xfId="0" applyFill="true" applyBorder="true" applyNumberFormat="true" applyFont="true"/>
    <xf numFmtId="0" fontId="9864" fillId="0" borderId="0" xfId="0" applyFill="true" applyBorder="true" applyNumberFormat="true" applyFont="true"/>
    <xf numFmtId="0" fontId="9865" fillId="0" borderId="0" xfId="0" applyFill="true" applyBorder="true" applyNumberFormat="true" applyFont="true"/>
    <xf numFmtId="0" fontId="9866" fillId="0" borderId="0" xfId="0" applyFill="true" applyBorder="true" applyNumberFormat="true" applyFont="true"/>
    <xf numFmtId="0" fontId="9867" fillId="0" borderId="0" xfId="0" applyFill="true" applyBorder="true" applyNumberFormat="true" applyFont="true"/>
    <xf numFmtId="0" fontId="9868" fillId="0" borderId="0" xfId="0" applyFill="true" applyBorder="true" applyNumberFormat="true" applyFont="true"/>
    <xf numFmtId="0" fontId="9869" fillId="0" borderId="0" xfId="0" applyFill="true" applyBorder="true" applyNumberFormat="true" applyFont="true"/>
    <xf numFmtId="0" fontId="9870" fillId="0" borderId="0" xfId="0" applyFill="true" applyBorder="true" applyNumberFormat="true" applyFont="true"/>
    <xf numFmtId="0" fontId="9871" fillId="0" borderId="0" xfId="0" applyFill="true" applyBorder="true" applyNumberFormat="true" applyFont="true"/>
    <xf numFmtId="0" fontId="9872" fillId="0" borderId="0" xfId="0" applyFill="true" applyBorder="true" applyNumberFormat="true" applyFont="true"/>
    <xf numFmtId="0" fontId="9873" fillId="0" borderId="0" xfId="0" applyFill="true" applyBorder="true" applyNumberFormat="true" applyFont="true"/>
    <xf numFmtId="0" fontId="9874" fillId="0" borderId="0" xfId="0" applyFill="true" applyBorder="true" applyNumberFormat="true" applyFont="true"/>
    <xf numFmtId="0" fontId="9875" fillId="0" borderId="0" xfId="0" applyFill="true" applyBorder="true" applyNumberFormat="true" applyFont="true"/>
    <xf numFmtId="0" fontId="9876" fillId="0" borderId="0" xfId="0" applyFill="true" applyBorder="true" applyNumberFormat="true" applyFont="true"/>
    <xf numFmtId="0" fontId="9877" fillId="0" borderId="0" xfId="0" applyFill="true" applyBorder="true" applyNumberFormat="true" applyFont="true"/>
    <xf numFmtId="0" fontId="9878" fillId="0" borderId="0" xfId="0" applyFill="true" applyBorder="true" applyNumberFormat="true" applyFont="true"/>
    <xf numFmtId="0" fontId="9879" fillId="0" borderId="0" xfId="0" applyFill="true" applyBorder="true" applyNumberFormat="true" applyFont="true"/>
    <xf numFmtId="0" fontId="9880" fillId="0" borderId="0" xfId="0" applyFill="true" applyBorder="true" applyNumberFormat="true" applyFont="true"/>
    <xf numFmtId="0" fontId="9881" fillId="0" borderId="0" xfId="0" applyFill="true" applyBorder="true" applyNumberFormat="true" applyFont="true"/>
    <xf numFmtId="0" fontId="9882" fillId="0" borderId="0" xfId="0" applyFill="true" applyBorder="true" applyNumberFormat="true" applyFont="true"/>
    <xf numFmtId="0" fontId="9883" fillId="0" borderId="0" xfId="0" applyFill="true" applyBorder="true" applyNumberFormat="true" applyFont="true"/>
    <xf numFmtId="0" fontId="9884" fillId="0" borderId="0" xfId="0" applyFill="true" applyBorder="true" applyNumberFormat="true" applyFont="true"/>
    <xf numFmtId="0" fontId="9885" fillId="0" borderId="0" xfId="0" applyFill="true" applyBorder="true" applyNumberFormat="true" applyFont="true"/>
    <xf numFmtId="0" fontId="9886" fillId="0" borderId="0" xfId="0" applyFill="true" applyBorder="true" applyNumberFormat="true" applyFont="true"/>
    <xf numFmtId="0" fontId="9887" fillId="0" borderId="0" xfId="0" applyFill="true" applyBorder="true" applyNumberFormat="true" applyFont="true"/>
    <xf numFmtId="0" fontId="9888" fillId="0" borderId="0" xfId="0" applyFill="true" applyBorder="true" applyNumberFormat="true" applyFont="true"/>
    <xf numFmtId="0" fontId="9889" fillId="0" borderId="0" xfId="0" applyFill="true" applyBorder="true" applyNumberFormat="true" applyFont="true"/>
    <xf numFmtId="0" fontId="9890" fillId="0" borderId="0" xfId="0" applyFill="true" applyBorder="true" applyNumberFormat="true" applyFont="true"/>
    <xf numFmtId="0" fontId="9891" fillId="0" borderId="0" xfId="0" applyFill="true" applyBorder="true" applyNumberFormat="true" applyFont="true"/>
    <xf numFmtId="0" fontId="9892" fillId="0" borderId="0" xfId="0" applyFill="true" applyBorder="true" applyNumberFormat="true" applyFont="true"/>
    <xf numFmtId="0" fontId="9893" fillId="0" borderId="0" xfId="0" applyFill="true" applyBorder="true" applyNumberFormat="true" applyFont="true"/>
    <xf numFmtId="0" fontId="9894" fillId="0" borderId="0" xfId="0" applyFill="true" applyBorder="true" applyNumberFormat="true" applyFont="true"/>
    <xf numFmtId="0" fontId="9895" fillId="0" borderId="0" xfId="0" applyFill="true" applyBorder="true" applyNumberFormat="true" applyFont="true"/>
    <xf numFmtId="0" fontId="9896" fillId="0" borderId="0" xfId="0" applyFill="true" applyBorder="true" applyNumberFormat="true" applyFont="true"/>
    <xf numFmtId="0" fontId="9897" fillId="0" borderId="0" xfId="0" applyFill="true" applyBorder="true" applyNumberFormat="true" applyFont="true"/>
    <xf numFmtId="0" fontId="9898" fillId="0" borderId="0" xfId="0" applyFill="true" applyBorder="true" applyNumberFormat="true" applyFont="true"/>
    <xf numFmtId="0" fontId="9899" fillId="0" borderId="0" xfId="0" applyFill="true" applyBorder="true" applyNumberFormat="true" applyFont="true"/>
    <xf numFmtId="0" fontId="9900" fillId="0" borderId="0" xfId="0" applyFill="true" applyBorder="true" applyNumberFormat="true" applyFont="true"/>
    <xf numFmtId="0" fontId="9901" fillId="0" borderId="0" xfId="0" applyFill="true" applyBorder="true" applyNumberFormat="true" applyFont="true"/>
    <xf numFmtId="0" fontId="9902" fillId="0" borderId="0" xfId="0" applyFill="true" applyBorder="true" applyNumberFormat="true" applyFont="true"/>
    <xf numFmtId="0" fontId="9903" fillId="0" borderId="0" xfId="0" applyFill="true" applyBorder="true" applyNumberFormat="true" applyFont="true"/>
    <xf numFmtId="0" fontId="9904" fillId="0" borderId="0" xfId="0" applyFill="true" applyBorder="true" applyNumberFormat="true" applyFont="true"/>
    <xf numFmtId="0" fontId="9905" fillId="0" borderId="0" xfId="0" applyFill="true" applyBorder="true" applyNumberFormat="true" applyFont="true"/>
    <xf numFmtId="0" fontId="9906" fillId="0" borderId="0" xfId="0" applyFill="true" applyBorder="true" applyNumberFormat="true" applyFont="true"/>
    <xf numFmtId="0" fontId="9907" fillId="0" borderId="0" xfId="0" applyFill="true" applyBorder="true" applyNumberFormat="true" applyFont="true"/>
    <xf numFmtId="0" fontId="9908" fillId="0" borderId="0" xfId="0" applyFill="true" applyBorder="true" applyNumberFormat="true" applyFont="true"/>
    <xf numFmtId="0" fontId="9909" fillId="0" borderId="0" xfId="0" applyFill="true" applyBorder="true" applyNumberFormat="true" applyFont="true"/>
    <xf numFmtId="0" fontId="9910" fillId="0" borderId="0" xfId="0" applyFill="true" applyBorder="true" applyNumberFormat="true" applyFont="true"/>
    <xf numFmtId="0" fontId="9911" fillId="0" borderId="0" xfId="0" applyFill="true" applyBorder="true" applyNumberFormat="true" applyFont="true"/>
    <xf numFmtId="0" fontId="9912" fillId="0" borderId="0" xfId="0" applyFill="true" applyBorder="true" applyNumberFormat="true" applyFont="true"/>
    <xf numFmtId="0" fontId="9913" fillId="0" borderId="0" xfId="0" applyFill="true" applyBorder="true" applyNumberFormat="true" applyFont="true"/>
    <xf numFmtId="0" fontId="9914" fillId="0" borderId="0" xfId="0" applyFill="true" applyBorder="true" applyNumberFormat="true" applyFont="true"/>
    <xf numFmtId="0" fontId="9915" fillId="0" borderId="0" xfId="0" applyFill="true" applyBorder="true" applyNumberFormat="true" applyFont="true"/>
    <xf numFmtId="0" fontId="9916" fillId="0" borderId="0" xfId="0" applyFill="true" applyBorder="true" applyNumberFormat="true" applyFont="true"/>
    <xf numFmtId="0" fontId="9917" fillId="0" borderId="0" xfId="0" applyFill="true" applyBorder="true" applyNumberFormat="true" applyFont="true"/>
    <xf numFmtId="0" fontId="9918" fillId="0" borderId="0" xfId="0" applyFill="true" applyBorder="true" applyNumberFormat="true" applyFont="true"/>
    <xf numFmtId="0" fontId="9919" fillId="0" borderId="0" xfId="0" applyFill="true" applyBorder="true" applyNumberFormat="true" applyFont="true"/>
    <xf numFmtId="0" fontId="9920" fillId="0" borderId="0" xfId="0" applyFill="true" applyBorder="true" applyNumberFormat="true" applyFont="true"/>
    <xf numFmtId="0" fontId="9921" fillId="0" borderId="0" xfId="0" applyFill="true" applyBorder="true" applyNumberFormat="true" applyFont="true"/>
    <xf numFmtId="0" fontId="9922" fillId="0" borderId="0" xfId="0" applyFill="true" applyBorder="true" applyNumberFormat="true" applyFont="true"/>
    <xf numFmtId="0" fontId="9923" fillId="0" borderId="0" xfId="0" applyFill="true" applyBorder="true" applyNumberFormat="true" applyFont="true"/>
    <xf numFmtId="0" fontId="9924" fillId="0" borderId="0" xfId="0" applyFill="true" applyBorder="true" applyNumberFormat="true" applyFont="true"/>
    <xf numFmtId="0" fontId="9925" fillId="0" borderId="0" xfId="0" applyFill="true" applyBorder="true" applyNumberFormat="true" applyFont="true"/>
    <xf numFmtId="0" fontId="9926" fillId="0" borderId="0" xfId="0" applyFill="true" applyBorder="true" applyNumberFormat="true" applyFont="true"/>
    <xf numFmtId="0" fontId="9927" fillId="0" borderId="0" xfId="0" applyFill="true" applyBorder="true" applyNumberFormat="true" applyFont="true"/>
    <xf numFmtId="0" fontId="9928" fillId="0" borderId="0" xfId="0" applyFill="true" applyBorder="true" applyNumberFormat="true" applyFont="true"/>
    <xf numFmtId="0" fontId="9929" fillId="0" borderId="0" xfId="0" applyFill="true" applyBorder="true" applyNumberFormat="true" applyFont="true"/>
    <xf numFmtId="0" fontId="9930" fillId="0" borderId="0" xfId="0" applyFill="true" applyBorder="true" applyNumberFormat="true" applyFont="true"/>
    <xf numFmtId="0" fontId="9931" fillId="0" borderId="0" xfId="0" applyFill="true" applyBorder="true" applyNumberFormat="true" applyFont="true"/>
    <xf numFmtId="0" fontId="9932" fillId="0" borderId="0" xfId="0" applyFill="true" applyBorder="true" applyNumberFormat="true" applyFont="true"/>
    <xf numFmtId="0" fontId="9933" fillId="0" borderId="0" xfId="0" applyFill="true" applyBorder="true" applyNumberFormat="true" applyFont="true"/>
    <xf numFmtId="0" fontId="9934" fillId="0" borderId="0" xfId="0" applyFill="true" applyBorder="true" applyNumberFormat="true" applyFont="true"/>
    <xf numFmtId="0" fontId="9935" fillId="0" borderId="0" xfId="0" applyFill="true" applyBorder="true" applyNumberFormat="true" applyFont="true"/>
    <xf numFmtId="0" fontId="9936" fillId="0" borderId="0" xfId="0" applyFill="true" applyBorder="true" applyNumberFormat="true" applyFont="true"/>
    <xf numFmtId="0" fontId="9937" fillId="0" borderId="0" xfId="0" applyFill="true" applyBorder="true" applyNumberFormat="true" applyFont="true"/>
    <xf numFmtId="0" fontId="9938" fillId="0" borderId="0" xfId="0" applyFill="true" applyBorder="true" applyNumberFormat="true" applyFont="true"/>
    <xf numFmtId="0" fontId="9939" fillId="0" borderId="0" xfId="0" applyFill="true" applyBorder="true" applyNumberFormat="true" applyFont="true"/>
    <xf numFmtId="0" fontId="9940" fillId="0" borderId="0" xfId="0" applyFill="true" applyBorder="true" applyNumberFormat="true" applyFont="true"/>
    <xf numFmtId="0" fontId="9941" fillId="0" borderId="0" xfId="0" applyFill="true" applyBorder="true" applyNumberFormat="true" applyFont="true"/>
    <xf numFmtId="0" fontId="9942" fillId="0" borderId="0" xfId="0" applyFill="true" applyBorder="true" applyNumberFormat="true" applyFont="true"/>
    <xf numFmtId="0" fontId="9943" fillId="0" borderId="0" xfId="0" applyFill="true" applyBorder="true" applyNumberFormat="true" applyFont="true"/>
    <xf numFmtId="0" fontId="9944" fillId="0" borderId="0" xfId="0" applyFill="true" applyBorder="true" applyNumberFormat="true" applyFont="true"/>
    <xf numFmtId="0" fontId="9945" fillId="0" borderId="0" xfId="0" applyFill="true" applyBorder="true" applyNumberFormat="true" applyFont="true"/>
    <xf numFmtId="0" fontId="9946" fillId="0" borderId="0" xfId="0" applyFill="true" applyBorder="true" applyNumberFormat="true" applyFont="true"/>
    <xf numFmtId="0" fontId="9947" fillId="0" borderId="0" xfId="0" applyFill="true" applyBorder="true" applyNumberFormat="true" applyFont="true"/>
    <xf numFmtId="0" fontId="9948" fillId="0" borderId="0" xfId="0" applyFill="true" applyBorder="true" applyNumberFormat="true" applyFont="true"/>
    <xf numFmtId="0" fontId="9949" fillId="0" borderId="0" xfId="0" applyFill="true" applyBorder="true" applyNumberFormat="true" applyFont="true"/>
    <xf numFmtId="0" fontId="9950" fillId="0" borderId="0" xfId="0" applyFill="true" applyBorder="true" applyNumberFormat="true" applyFont="true"/>
    <xf numFmtId="0" fontId="9951" fillId="0" borderId="0" xfId="0" applyFill="true" applyBorder="true" applyNumberFormat="true" applyFont="true"/>
    <xf numFmtId="0" fontId="9952" fillId="0" borderId="0" xfId="0" applyFill="true" applyBorder="true" applyNumberFormat="true" applyFont="true"/>
    <xf numFmtId="0" fontId="9953" fillId="0" borderId="0" xfId="0" applyFill="true" applyBorder="true" applyNumberFormat="true" applyFont="true"/>
    <xf numFmtId="0" fontId="9954" fillId="0" borderId="0" xfId="0" applyFill="true" applyBorder="true" applyNumberFormat="true" applyFont="true"/>
    <xf numFmtId="0" fontId="9955" fillId="0" borderId="0" xfId="0" applyFill="true" applyBorder="true" applyNumberFormat="true" applyFont="true"/>
    <xf numFmtId="0" fontId="9956" fillId="0" borderId="0" xfId="0" applyFill="true" applyBorder="true" applyNumberFormat="true" applyFont="true"/>
    <xf numFmtId="0" fontId="9957" fillId="0" borderId="0" xfId="0" applyFill="true" applyBorder="true" applyNumberFormat="true" applyFont="true"/>
    <xf numFmtId="0" fontId="9958" fillId="0" borderId="0" xfId="0" applyFill="true" applyBorder="true" applyNumberFormat="true" applyFont="true"/>
    <xf numFmtId="0" fontId="9959" fillId="0" borderId="0" xfId="0" applyFill="true" applyBorder="true" applyNumberFormat="true" applyFont="true"/>
    <xf numFmtId="0" fontId="9960" fillId="0" borderId="0" xfId="0" applyFill="true" applyBorder="true" applyNumberFormat="true" applyFont="true"/>
    <xf numFmtId="0" fontId="9961" fillId="0" borderId="0" xfId="0" applyFill="true" applyBorder="true" applyNumberFormat="true" applyFont="true"/>
    <xf numFmtId="0" fontId="9962" fillId="0" borderId="0" xfId="0" applyFill="true" applyBorder="true" applyNumberFormat="true" applyFont="true"/>
    <xf numFmtId="0" fontId="9963" fillId="0" borderId="0" xfId="0" applyFill="true" applyBorder="true" applyNumberFormat="true" applyFont="true"/>
    <xf numFmtId="0" fontId="9964" fillId="0" borderId="0" xfId="0" applyFill="true" applyBorder="true" applyNumberFormat="true" applyFont="true"/>
    <xf numFmtId="0" fontId="9965" fillId="0" borderId="0" xfId="0" applyFill="true" applyBorder="true" applyNumberFormat="true" applyFont="true"/>
    <xf numFmtId="0" fontId="9966" fillId="0" borderId="0" xfId="0" applyFill="true" applyBorder="true" applyNumberFormat="true" applyFont="true"/>
    <xf numFmtId="0" fontId="9967" fillId="0" borderId="0" xfId="0" applyFill="true" applyBorder="true" applyNumberFormat="true" applyFont="true"/>
    <xf numFmtId="0" fontId="9968" fillId="0" borderId="0" xfId="0" applyFill="true" applyBorder="true" applyNumberFormat="true" applyFont="true"/>
    <xf numFmtId="0" fontId="9969" fillId="0" borderId="0" xfId="0" applyFill="true" applyBorder="true" applyNumberFormat="true" applyFont="true"/>
    <xf numFmtId="0" fontId="9970" fillId="0" borderId="0" xfId="0" applyFill="true" applyBorder="true" applyNumberFormat="true" applyFont="true"/>
    <xf numFmtId="0" fontId="9971" fillId="0" borderId="0" xfId="0" applyFill="true" applyBorder="true" applyNumberFormat="true" applyFont="true"/>
    <xf numFmtId="0" fontId="9972" fillId="0" borderId="0" xfId="0" applyFill="true" applyBorder="true" applyNumberFormat="true" applyFont="true"/>
    <xf numFmtId="0" fontId="9973" fillId="0" borderId="0" xfId="0" applyFill="true" applyBorder="true" applyNumberFormat="true" applyFont="true"/>
    <xf numFmtId="0" fontId="9974" fillId="0" borderId="0" xfId="0" applyFill="true" applyBorder="true" applyNumberFormat="true" applyFont="true"/>
    <xf numFmtId="0" fontId="9975" fillId="0" borderId="0" xfId="0" applyFill="true" applyBorder="true" applyNumberFormat="true" applyFont="true"/>
    <xf numFmtId="0" fontId="9976" fillId="0" borderId="0" xfId="0" applyFill="true" applyBorder="true" applyNumberFormat="true" applyFont="true"/>
    <xf numFmtId="0" fontId="9977" fillId="0" borderId="0" xfId="0" applyFill="true" applyBorder="true" applyNumberFormat="true" applyFont="true"/>
    <xf numFmtId="0" fontId="9978" fillId="0" borderId="0" xfId="0" applyFill="true" applyBorder="true" applyNumberFormat="true" applyFont="true"/>
    <xf numFmtId="0" fontId="9979" fillId="0" borderId="0" xfId="0" applyFill="true" applyBorder="true" applyNumberFormat="true" applyFont="true"/>
    <xf numFmtId="0" fontId="9980" fillId="0" borderId="0" xfId="0" applyFill="true" applyBorder="true" applyNumberFormat="true" applyFont="true"/>
    <xf numFmtId="0" fontId="9981" fillId="0" borderId="0" xfId="0" applyFill="true" applyBorder="true" applyNumberFormat="true" applyFont="true"/>
    <xf numFmtId="0" fontId="9982" fillId="0" borderId="0" xfId="0" applyFill="true" applyBorder="true" applyNumberFormat="true" applyFont="true"/>
    <xf numFmtId="0" fontId="9983" fillId="0" borderId="0" xfId="0" applyFill="true" applyBorder="true" applyNumberFormat="true" applyFont="true"/>
    <xf numFmtId="0" fontId="9984" fillId="0" borderId="0" xfId="0" applyFill="true" applyBorder="true" applyNumberFormat="true" applyFont="true"/>
    <xf numFmtId="0" fontId="9985" fillId="0" borderId="0" xfId="0" applyFill="true" applyBorder="true" applyNumberFormat="true" applyFont="true"/>
    <xf numFmtId="0" fontId="9986" fillId="0" borderId="0" xfId="0" applyFill="true" applyBorder="true" applyNumberFormat="true" applyFont="true"/>
    <xf numFmtId="0" fontId="9987" fillId="0" borderId="0" xfId="0" applyFill="true" applyBorder="true" applyNumberFormat="true" applyFont="true"/>
    <xf numFmtId="0" fontId="9988" fillId="0" borderId="0" xfId="0" applyFill="true" applyBorder="true" applyNumberFormat="true" applyFont="true"/>
    <xf numFmtId="0" fontId="9989" fillId="0" borderId="0" xfId="0" applyFill="true" applyBorder="true" applyNumberFormat="true" applyFont="true"/>
    <xf numFmtId="0" fontId="9990" fillId="0" borderId="0" xfId="0" applyFill="true" applyBorder="true" applyNumberFormat="true" applyFont="true"/>
    <xf numFmtId="0" fontId="9991" fillId="0" borderId="0" xfId="0" applyFill="true" applyBorder="true" applyNumberFormat="true" applyFont="true"/>
    <xf numFmtId="0" fontId="9992" fillId="0" borderId="0" xfId="0" applyFill="true" applyBorder="true" applyNumberFormat="true" applyFont="true"/>
    <xf numFmtId="0" fontId="9993" fillId="0" borderId="0" xfId="0" applyFill="true" applyBorder="true" applyNumberFormat="true" applyFont="true"/>
    <xf numFmtId="0" fontId="9994" fillId="0" borderId="0" xfId="0" applyFill="true" applyBorder="true" applyNumberFormat="true" applyFont="true"/>
    <xf numFmtId="0" fontId="9995" fillId="0" borderId="0" xfId="0" applyFill="true" applyBorder="true" applyNumberFormat="true" applyFont="true"/>
    <xf numFmtId="0" fontId="9996" fillId="0" borderId="0" xfId="0" applyFill="true" applyBorder="true" applyNumberFormat="true" applyFont="true"/>
    <xf numFmtId="0" fontId="9997" fillId="0" borderId="0" xfId="0" applyFill="true" applyBorder="true" applyNumberFormat="true" applyFont="true"/>
    <xf numFmtId="0" fontId="9998" fillId="0" borderId="0" xfId="0" applyFill="true" applyBorder="true" applyNumberFormat="true" applyFont="true"/>
    <xf numFmtId="0" fontId="9999" fillId="0" borderId="0" xfId="0" applyFill="true" applyBorder="true" applyNumberFormat="true" applyFont="true"/>
    <xf numFmtId="0" fontId="10000" fillId="0" borderId="0" xfId="0" applyFill="true" applyBorder="true" applyNumberFormat="true" applyFont="true"/>
    <xf numFmtId="0" fontId="10001" fillId="0" borderId="0" xfId="0" applyFill="true" applyBorder="true" applyNumberFormat="true" applyFont="true"/>
    <xf numFmtId="0" fontId="10002" fillId="0" borderId="0" xfId="0" applyFill="true" applyBorder="true" applyNumberFormat="true" applyFont="true"/>
    <xf numFmtId="0" fontId="10003" fillId="0" borderId="0" xfId="0" applyFill="true" applyBorder="true" applyNumberFormat="true" applyFont="true"/>
    <xf numFmtId="0" fontId="10004" fillId="0" borderId="0" xfId="0" applyFill="true" applyBorder="true" applyNumberFormat="true" applyFont="true"/>
    <xf numFmtId="0" fontId="10005" fillId="0" borderId="0" xfId="0" applyFill="true" applyBorder="true" applyNumberFormat="true" applyFont="true"/>
    <xf numFmtId="0" fontId="10006" fillId="0" borderId="0" xfId="0" applyFill="true" applyBorder="true" applyNumberFormat="true" applyFont="true"/>
    <xf numFmtId="0" fontId="10007" fillId="0" borderId="0" xfId="0" applyFill="true" applyBorder="true" applyNumberFormat="true" applyFont="true"/>
    <xf numFmtId="0" fontId="10008" fillId="0" borderId="0" xfId="0" applyFill="true" applyBorder="true" applyNumberFormat="true" applyFont="true"/>
    <xf numFmtId="0" fontId="10009" fillId="0" borderId="0" xfId="0" applyFill="true" applyBorder="true" applyNumberFormat="true" applyFont="true"/>
    <xf numFmtId="0" fontId="10010" fillId="0" borderId="0" xfId="0" applyFill="true" applyBorder="true" applyNumberFormat="true" applyFont="true"/>
    <xf numFmtId="0" fontId="10011" fillId="0" borderId="0" xfId="0" applyFill="true" applyBorder="true" applyNumberFormat="true" applyFont="true"/>
    <xf numFmtId="0" fontId="10012" fillId="0" borderId="0" xfId="0" applyFill="true" applyBorder="true" applyNumberFormat="true" applyFont="true"/>
    <xf numFmtId="0" fontId="10013" fillId="0" borderId="0" xfId="0" applyFill="true" applyBorder="true" applyNumberFormat="true" applyFont="true"/>
    <xf numFmtId="0" fontId="10014" fillId="0" borderId="0" xfId="0" applyFill="true" applyBorder="true" applyNumberFormat="true" applyFont="true"/>
    <xf numFmtId="0" fontId="10015" fillId="0" borderId="0" xfId="0" applyFill="true" applyBorder="true" applyNumberFormat="true" applyFont="true"/>
    <xf numFmtId="0" fontId="10016" fillId="0" borderId="0" xfId="0" applyFill="true" applyBorder="true" applyNumberFormat="true" applyFont="true"/>
    <xf numFmtId="0" fontId="10017" fillId="0" borderId="0" xfId="0" applyFill="true" applyBorder="true" applyNumberFormat="true" applyFont="true"/>
    <xf numFmtId="0" fontId="10018" fillId="0" borderId="0" xfId="0" applyFill="true" applyBorder="true" applyNumberFormat="true" applyFont="true"/>
    <xf numFmtId="0" fontId="10019" fillId="0" borderId="0" xfId="0" applyFill="true" applyBorder="true" applyNumberFormat="true" applyFont="true"/>
    <xf numFmtId="0" fontId="10020" fillId="0" borderId="0" xfId="0" applyFill="true" applyBorder="true" applyNumberFormat="true" applyFont="true"/>
    <xf numFmtId="0" fontId="10021" fillId="0" borderId="0" xfId="0" applyFill="true" applyBorder="true" applyNumberFormat="true" applyFont="true"/>
    <xf numFmtId="0" fontId="10022" fillId="0" borderId="0" xfId="0" applyFill="true" applyBorder="true" applyNumberFormat="true" applyFont="true"/>
    <xf numFmtId="0" fontId="10023" fillId="0" borderId="0" xfId="0" applyFill="true" applyBorder="true" applyNumberFormat="true" applyFont="true"/>
    <xf numFmtId="0" fontId="10024" fillId="0" borderId="0" xfId="0" applyFill="true" applyBorder="true" applyNumberFormat="true" applyFont="true"/>
    <xf numFmtId="0" fontId="10025" fillId="0" borderId="0" xfId="0" applyFill="true" applyBorder="true" applyNumberFormat="true" applyFont="true"/>
    <xf numFmtId="0" fontId="10026" fillId="0" borderId="0" xfId="0" applyFill="true" applyBorder="true" applyNumberFormat="true" applyFont="true"/>
    <xf numFmtId="0" fontId="10027" fillId="0" borderId="0" xfId="0" applyFill="true" applyBorder="true" applyNumberFormat="true" applyFont="true"/>
    <xf numFmtId="0" fontId="10028" fillId="0" borderId="0" xfId="0" applyFill="true" applyBorder="true" applyNumberFormat="true" applyFont="true"/>
    <xf numFmtId="0" fontId="10029" fillId="0" borderId="0" xfId="0" applyFill="true" applyBorder="true" applyNumberFormat="true" applyFont="true"/>
    <xf numFmtId="0" fontId="10030" fillId="0" borderId="0" xfId="0" applyFill="true" applyBorder="true" applyNumberFormat="true" applyFont="true"/>
    <xf numFmtId="0" fontId="10031" fillId="0" borderId="0" xfId="0" applyFill="true" applyBorder="true" applyNumberFormat="true" applyFont="true"/>
    <xf numFmtId="0" fontId="10032" fillId="0" borderId="0" xfId="0" applyFill="true" applyBorder="true" applyNumberFormat="true" applyFont="true"/>
    <xf numFmtId="0" fontId="10033" fillId="0" borderId="0" xfId="0" applyFill="true" applyBorder="true" applyNumberFormat="true" applyFont="true"/>
    <xf numFmtId="0" fontId="10034" fillId="0" borderId="0" xfId="0" applyFill="true" applyBorder="true" applyNumberFormat="true" applyFont="true"/>
    <xf numFmtId="0" fontId="10035" fillId="0" borderId="0" xfId="0" applyFill="true" applyBorder="true" applyNumberFormat="true" applyFont="true"/>
    <xf numFmtId="0" fontId="10036" fillId="0" borderId="0" xfId="0" applyFill="true" applyBorder="true" applyNumberFormat="true" applyFont="true"/>
    <xf numFmtId="0" fontId="10037" fillId="0" borderId="0" xfId="0" applyFill="true" applyBorder="true" applyNumberFormat="true" applyFont="true"/>
    <xf numFmtId="0" fontId="10038" fillId="0" borderId="0" xfId="0" applyFill="true" applyBorder="true" applyNumberFormat="true" applyFont="true"/>
    <xf numFmtId="0" fontId="10039" fillId="0" borderId="0" xfId="0" applyFill="true" applyBorder="true" applyNumberFormat="true" applyFont="true"/>
    <xf numFmtId="0" fontId="10040" fillId="0" borderId="0" xfId="0" applyFill="true" applyBorder="true" applyNumberFormat="true" applyFont="true"/>
    <xf numFmtId="0" fontId="10041" fillId="0" borderId="0" xfId="0" applyFill="true" applyBorder="true" applyNumberFormat="true" applyFont="true"/>
    <xf numFmtId="0" fontId="10042" fillId="0" borderId="0" xfId="0" applyFill="true" applyBorder="true" applyNumberFormat="true" applyFont="true"/>
    <xf numFmtId="0" fontId="10043" fillId="0" borderId="0" xfId="0" applyFill="true" applyBorder="true" applyNumberFormat="true" applyFont="true"/>
    <xf numFmtId="0" fontId="10044" fillId="0" borderId="0" xfId="0" applyFill="true" applyBorder="true" applyNumberFormat="true" applyFont="true"/>
    <xf numFmtId="0" fontId="10045" fillId="0" borderId="0" xfId="0" applyFill="true" applyBorder="true" applyNumberFormat="true" applyFont="true"/>
    <xf numFmtId="0" fontId="10046" fillId="0" borderId="0" xfId="0" applyFill="true" applyBorder="true" applyNumberFormat="true" applyFont="true"/>
    <xf numFmtId="0" fontId="10047" fillId="0" borderId="0" xfId="0" applyFill="true" applyBorder="true" applyNumberFormat="true" applyFont="true"/>
    <xf numFmtId="0" fontId="10048" fillId="0" borderId="0" xfId="0" applyFill="true" applyBorder="true" applyNumberFormat="true" applyFont="true"/>
    <xf numFmtId="0" fontId="10049" fillId="0" borderId="0" xfId="0" applyFill="true" applyBorder="true" applyNumberFormat="true" applyFont="true"/>
    <xf numFmtId="0" fontId="10050" fillId="0" borderId="0" xfId="0" applyFill="true" applyBorder="true" applyNumberFormat="true" applyFont="true"/>
    <xf numFmtId="0" fontId="10051" fillId="0" borderId="0" xfId="0" applyFill="true" applyBorder="true" applyNumberFormat="true" applyFont="true"/>
    <xf numFmtId="0" fontId="10052" fillId="0" borderId="0" xfId="0" applyFill="true" applyBorder="true" applyNumberFormat="true" applyFont="true"/>
    <xf numFmtId="0" fontId="10053" fillId="0" borderId="0" xfId="0" applyFill="true" applyBorder="true" applyNumberFormat="true" applyFont="true"/>
    <xf numFmtId="0" fontId="10054" fillId="0" borderId="0" xfId="0" applyFill="true" applyBorder="true" applyNumberFormat="true" applyFont="true"/>
    <xf numFmtId="0" fontId="10055" fillId="0" borderId="0" xfId="0" applyFill="true" applyBorder="true" applyNumberFormat="true" applyFont="true"/>
    <xf numFmtId="0" fontId="10056" fillId="0" borderId="0" xfId="0" applyFill="true" applyBorder="true" applyNumberFormat="true" applyFont="true"/>
    <xf numFmtId="0" fontId="10057" fillId="0" borderId="0" xfId="0" applyFill="true" applyBorder="true" applyNumberFormat="true" applyFont="true"/>
    <xf numFmtId="0" fontId="10058" fillId="0" borderId="0" xfId="0" applyFill="true" applyBorder="true" applyNumberFormat="true" applyFont="true"/>
    <xf numFmtId="0" fontId="10059" fillId="0" borderId="0" xfId="0" applyFill="true" applyBorder="true" applyNumberFormat="true" applyFont="true"/>
    <xf numFmtId="0" fontId="10060" fillId="0" borderId="0" xfId="0" applyFill="true" applyBorder="true" applyNumberFormat="true" applyFont="true"/>
    <xf numFmtId="0" fontId="10061" fillId="0" borderId="0" xfId="0" applyFill="true" applyBorder="true" applyNumberFormat="true" applyFont="true"/>
    <xf numFmtId="0" fontId="10062" fillId="0" borderId="0" xfId="0" applyFill="true" applyBorder="true" applyNumberFormat="true" applyFont="true"/>
    <xf numFmtId="0" fontId="10063" fillId="0" borderId="0" xfId="0" applyFill="true" applyBorder="true" applyNumberFormat="true" applyFont="true"/>
    <xf numFmtId="0" fontId="10064" fillId="0" borderId="0" xfId="0" applyFill="true" applyBorder="true" applyNumberFormat="true" applyFont="true"/>
    <xf numFmtId="0" fontId="10065" fillId="0" borderId="0" xfId="0" applyFill="true" applyBorder="true" applyNumberFormat="true" applyFont="true"/>
    <xf numFmtId="0" fontId="10066" fillId="0" borderId="0" xfId="0" applyFill="true" applyBorder="true" applyNumberFormat="true" applyFont="true"/>
    <xf numFmtId="0" fontId="10067" fillId="0" borderId="0" xfId="0" applyFill="true" applyBorder="true" applyNumberFormat="true" applyFont="true"/>
    <xf numFmtId="0" fontId="10068" fillId="0" borderId="0" xfId="0" applyFill="true" applyBorder="true" applyNumberFormat="true" applyFont="true"/>
    <xf numFmtId="0" fontId="10069" fillId="0" borderId="0" xfId="0" applyFill="true" applyBorder="true" applyNumberFormat="true" applyFont="true"/>
    <xf numFmtId="0" fontId="10070" fillId="0" borderId="0" xfId="0" applyFill="true" applyBorder="true" applyNumberFormat="true" applyFont="true"/>
    <xf numFmtId="0" fontId="10071" fillId="0" borderId="0" xfId="0" applyFill="true" applyBorder="true" applyNumberFormat="true" applyFont="true"/>
    <xf numFmtId="0" fontId="10072" fillId="0" borderId="0" xfId="0" applyFill="true" applyBorder="true" applyNumberFormat="true" applyFont="true"/>
    <xf numFmtId="0" fontId="10073" fillId="0" borderId="0" xfId="0" applyFill="true" applyBorder="true" applyNumberFormat="true" applyFont="true"/>
    <xf numFmtId="0" fontId="10074" fillId="0" borderId="0" xfId="0" applyFill="true" applyBorder="true" applyNumberFormat="true" applyFont="true"/>
    <xf numFmtId="0" fontId="10075" fillId="0" borderId="0" xfId="0" applyFill="true" applyBorder="true" applyNumberFormat="true" applyFont="true"/>
    <xf numFmtId="0" fontId="10076" fillId="0" borderId="0" xfId="0" applyFill="true" applyBorder="true" applyNumberFormat="true" applyFont="true"/>
    <xf numFmtId="0" fontId="10077" fillId="0" borderId="0" xfId="0" applyFill="true" applyBorder="true" applyNumberFormat="true" applyFont="true"/>
    <xf numFmtId="0" fontId="10078" fillId="0" borderId="0" xfId="0" applyFill="true" applyBorder="true" applyNumberFormat="true" applyFont="true"/>
    <xf numFmtId="0" fontId="10079" fillId="0" borderId="0" xfId="0" applyFill="true" applyBorder="true" applyNumberFormat="true" applyFont="true"/>
    <xf numFmtId="0" fontId="10080" fillId="0" borderId="0" xfId="0" applyFill="true" applyBorder="true" applyNumberFormat="true" applyFont="true"/>
    <xf numFmtId="0" fontId="10081" fillId="0" borderId="0" xfId="0" applyFill="true" applyBorder="true" applyNumberFormat="true" applyFont="true"/>
    <xf numFmtId="0" fontId="10082" fillId="0" borderId="0" xfId="0" applyFill="true" applyBorder="true" applyNumberFormat="true" applyFont="true"/>
    <xf numFmtId="0" fontId="10083" fillId="0" borderId="0" xfId="0" applyFill="true" applyBorder="true" applyNumberFormat="true" applyFont="true"/>
    <xf numFmtId="0" fontId="10084" fillId="0" borderId="0" xfId="0" applyFill="true" applyBorder="true" applyNumberFormat="true" applyFont="true"/>
    <xf numFmtId="0" fontId="10085" fillId="0" borderId="0" xfId="0" applyFill="true" applyBorder="true" applyNumberFormat="true" applyFont="true"/>
    <xf numFmtId="0" fontId="10086" fillId="0" borderId="0" xfId="0" applyFill="true" applyBorder="true" applyNumberFormat="true" applyFont="true"/>
    <xf numFmtId="0" fontId="10087" fillId="0" borderId="0" xfId="0" applyFill="true" applyBorder="true" applyNumberFormat="true" applyFont="true"/>
    <xf numFmtId="0" fontId="10088" fillId="0" borderId="0" xfId="0" applyFill="true" applyBorder="true" applyNumberFormat="true" applyFont="true"/>
    <xf numFmtId="0" fontId="10089" fillId="0" borderId="0" xfId="0" applyFill="true" applyBorder="true" applyNumberFormat="true" applyFont="true"/>
    <xf numFmtId="0" fontId="10090" fillId="0" borderId="0" xfId="0" applyFill="true" applyBorder="true" applyNumberFormat="true" applyFont="true"/>
    <xf numFmtId="0" fontId="10091" fillId="0" borderId="0" xfId="0" applyFill="true" applyBorder="true" applyNumberFormat="true" applyFont="true"/>
    <xf numFmtId="0" fontId="10092" fillId="0" borderId="0" xfId="0" applyFill="true" applyBorder="true" applyNumberFormat="true" applyFont="true"/>
    <xf numFmtId="0" fontId="10093" fillId="0" borderId="0" xfId="0" applyFill="true" applyBorder="true" applyNumberFormat="true" applyFont="true"/>
    <xf numFmtId="0" fontId="10094" fillId="0" borderId="0" xfId="0" applyFill="true" applyBorder="true" applyNumberFormat="true" applyFont="true"/>
    <xf numFmtId="0" fontId="10095" fillId="0" borderId="0" xfId="0" applyFill="true" applyBorder="true" applyNumberFormat="true" applyFont="true"/>
    <xf numFmtId="0" fontId="10096" fillId="0" borderId="0" xfId="0" applyFill="true" applyBorder="true" applyNumberFormat="true" applyFont="true"/>
    <xf numFmtId="0" fontId="10097" fillId="0" borderId="0" xfId="0" applyFill="true" applyBorder="true" applyNumberFormat="true" applyFont="true"/>
    <xf numFmtId="0" fontId="10098" fillId="0" borderId="0" xfId="0" applyFill="true" applyBorder="true" applyNumberFormat="true" applyFont="true"/>
    <xf numFmtId="0" fontId="10099" fillId="0" borderId="0" xfId="0" applyFill="true" applyBorder="true" applyNumberFormat="true" applyFont="true"/>
    <xf numFmtId="0" fontId="10100" fillId="0" borderId="0" xfId="0" applyFill="true" applyBorder="true" applyNumberFormat="true" applyFont="true"/>
    <xf numFmtId="0" fontId="10101" fillId="0" borderId="0" xfId="0" applyFill="true" applyBorder="true" applyNumberFormat="true" applyFont="true"/>
    <xf numFmtId="0" fontId="10102" fillId="0" borderId="0" xfId="0" applyFill="true" applyBorder="true" applyNumberFormat="true" applyFont="true"/>
    <xf numFmtId="0" fontId="10103" fillId="0" borderId="0" xfId="0" applyFill="true" applyBorder="true" applyNumberFormat="true" applyFont="true"/>
    <xf numFmtId="0" fontId="10104" fillId="0" borderId="0" xfId="0" applyFill="true" applyBorder="true" applyNumberFormat="true" applyFont="true"/>
    <xf numFmtId="0" fontId="10105" fillId="0" borderId="0" xfId="0" applyFill="true" applyBorder="true" applyNumberFormat="true" applyFont="true"/>
    <xf numFmtId="0" fontId="10106" fillId="0" borderId="0" xfId="0" applyFill="true" applyBorder="true" applyNumberFormat="true" applyFont="true"/>
    <xf numFmtId="0" fontId="10107" fillId="0" borderId="0" xfId="0" applyFill="true" applyBorder="true" applyNumberFormat="true" applyFont="true"/>
    <xf numFmtId="0" fontId="10108" fillId="0" borderId="0" xfId="0" applyFill="true" applyBorder="true" applyNumberFormat="true" applyFont="true"/>
    <xf numFmtId="0" fontId="10109" fillId="0" borderId="0" xfId="0" applyFill="true" applyBorder="true" applyNumberFormat="true" applyFont="true"/>
    <xf numFmtId="0" fontId="10110" fillId="0" borderId="0" xfId="0" applyFill="true" applyBorder="true" applyNumberFormat="true" applyFont="true"/>
    <xf numFmtId="0" fontId="10111" fillId="0" borderId="0" xfId="0" applyFill="true" applyBorder="true" applyNumberFormat="true" applyFont="true"/>
    <xf numFmtId="0" fontId="10112" fillId="0" borderId="0" xfId="0" applyFill="true" applyBorder="true" applyNumberFormat="true" applyFont="true"/>
    <xf numFmtId="0" fontId="10113" fillId="0" borderId="0" xfId="0" applyFill="true" applyBorder="true" applyNumberFormat="true" applyFont="true"/>
    <xf numFmtId="0" fontId="10114" fillId="0" borderId="0" xfId="0" applyFill="true" applyBorder="true" applyNumberFormat="true" applyFont="true"/>
    <xf numFmtId="0" fontId="10115" fillId="0" borderId="0" xfId="0" applyFill="true" applyBorder="true" applyNumberFormat="true" applyFont="true"/>
    <xf numFmtId="0" fontId="10116" fillId="0" borderId="0" xfId="0" applyFill="true" applyBorder="true" applyNumberFormat="true" applyFont="true"/>
    <xf numFmtId="0" fontId="10117" fillId="0" borderId="0" xfId="0" applyFill="true" applyBorder="true" applyNumberFormat="true" applyFont="true"/>
    <xf numFmtId="0" fontId="10118" fillId="0" borderId="0" xfId="0" applyFill="true" applyBorder="true" applyNumberFormat="true" applyFont="true"/>
    <xf numFmtId="0" fontId="10119" fillId="0" borderId="0" xfId="0" applyFill="true" applyBorder="true" applyNumberFormat="true" applyFont="true"/>
    <xf numFmtId="0" fontId="10120" fillId="0" borderId="0" xfId="0" applyFill="true" applyBorder="true" applyNumberFormat="true" applyFont="true"/>
    <xf numFmtId="0" fontId="10121" fillId="0" borderId="0" xfId="0" applyFill="true" applyBorder="true" applyNumberFormat="true" applyFont="true"/>
    <xf numFmtId="0" fontId="10122" fillId="0" borderId="0" xfId="0" applyFill="true" applyBorder="true" applyNumberFormat="true" applyFont="true"/>
    <xf numFmtId="0" fontId="10123" fillId="0" borderId="0" xfId="0" applyFill="true" applyBorder="true" applyNumberFormat="true" applyFont="true"/>
    <xf numFmtId="0" fontId="10124" fillId="0" borderId="0" xfId="0" applyFill="true" applyBorder="true" applyNumberFormat="true" applyFont="true"/>
    <xf numFmtId="0" fontId="10125" fillId="0" borderId="0" xfId="0" applyFill="true" applyBorder="true" applyNumberFormat="true" applyFont="true"/>
    <xf numFmtId="0" fontId="10126" fillId="0" borderId="0" xfId="0" applyFill="true" applyBorder="true" applyNumberFormat="true" applyFont="true"/>
    <xf numFmtId="0" fontId="10127" fillId="0" borderId="0" xfId="0" applyFill="true" applyBorder="true" applyNumberFormat="true" applyFont="true"/>
    <xf numFmtId="0" fontId="10128" fillId="0" borderId="0" xfId="0" applyFill="true" applyBorder="true" applyNumberFormat="true" applyFont="true"/>
    <xf numFmtId="0" fontId="10129" fillId="0" borderId="0" xfId="0" applyFill="true" applyBorder="true" applyNumberFormat="true" applyFont="true"/>
    <xf numFmtId="0" fontId="10130" fillId="0" borderId="0" xfId="0" applyFill="true" applyBorder="true" applyNumberFormat="true" applyFont="true"/>
    <xf numFmtId="0" fontId="10131" fillId="0" borderId="0" xfId="0" applyFill="true" applyBorder="true" applyNumberFormat="true" applyFont="true"/>
    <xf numFmtId="0" fontId="10132" fillId="0" borderId="0" xfId="0" applyFill="true" applyBorder="true" applyNumberFormat="true" applyFont="true"/>
    <xf numFmtId="0" fontId="10133" fillId="0" borderId="0" xfId="0" applyFill="true" applyBorder="true" applyNumberFormat="true" applyFont="true"/>
    <xf numFmtId="0" fontId="10134" fillId="0" borderId="0" xfId="0" applyFill="true" applyBorder="true" applyNumberFormat="true" applyFont="true"/>
    <xf numFmtId="0" fontId="10135" fillId="0" borderId="0" xfId="0" applyFill="true" applyBorder="true" applyNumberFormat="true" applyFont="true"/>
    <xf numFmtId="0" fontId="10136" fillId="0" borderId="0" xfId="0" applyFill="true" applyBorder="true" applyNumberFormat="true" applyFont="true"/>
    <xf numFmtId="0" fontId="10137" fillId="0" borderId="0" xfId="0" applyFill="true" applyBorder="true" applyNumberFormat="true" applyFont="true"/>
    <xf numFmtId="0" fontId="10138" fillId="0" borderId="0" xfId="0" applyFill="true" applyBorder="true" applyNumberFormat="true" applyFont="true"/>
    <xf numFmtId="0" fontId="10139" fillId="0" borderId="0" xfId="0" applyFill="true" applyBorder="true" applyNumberFormat="true" applyFont="true"/>
    <xf numFmtId="0" fontId="10140" fillId="0" borderId="0" xfId="0" applyFill="true" applyBorder="true" applyNumberFormat="true" applyFont="true"/>
    <xf numFmtId="0" fontId="10141" fillId="0" borderId="0" xfId="0" applyFill="true" applyBorder="true" applyNumberFormat="true" applyFont="true"/>
    <xf numFmtId="0" fontId="10142" fillId="0" borderId="0" xfId="0" applyFill="true" applyBorder="true" applyNumberFormat="true" applyFont="true"/>
    <xf numFmtId="0" fontId="10143" fillId="0" borderId="0" xfId="0" applyFill="true" applyBorder="true" applyNumberFormat="true" applyFont="true"/>
    <xf numFmtId="0" fontId="10144" fillId="0" borderId="0" xfId="0" applyFill="true" applyBorder="true" applyNumberFormat="true" applyFont="true"/>
    <xf numFmtId="0" fontId="10145" fillId="0" borderId="0" xfId="0" applyFill="true" applyBorder="true" applyNumberFormat="true" applyFont="true"/>
    <xf numFmtId="0" fontId="10146" fillId="0" borderId="0" xfId="0" applyFill="true" applyBorder="true" applyNumberFormat="true" applyFont="true"/>
    <xf numFmtId="0" fontId="10147" fillId="0" borderId="0" xfId="0" applyFill="true" applyBorder="true" applyNumberFormat="true" applyFont="true"/>
    <xf numFmtId="0" fontId="10148" fillId="0" borderId="0" xfId="0" applyFill="true" applyBorder="true" applyNumberFormat="true" applyFont="true"/>
    <xf numFmtId="0" fontId="10149" fillId="0" borderId="0" xfId="0" applyFill="true" applyBorder="true" applyNumberFormat="true" applyFont="true"/>
    <xf numFmtId="0" fontId="10150" fillId="0" borderId="0" xfId="0" applyFill="true" applyBorder="true" applyNumberFormat="true" applyFont="true"/>
    <xf numFmtId="0" fontId="10151" fillId="0" borderId="0" xfId="0" applyFill="true" applyBorder="true" applyNumberFormat="true" applyFont="true"/>
    <xf numFmtId="0" fontId="10152" fillId="0" borderId="0" xfId="0" applyFill="true" applyBorder="true" applyNumberFormat="true" applyFont="true"/>
    <xf numFmtId="0" fontId="10153" fillId="0" borderId="0" xfId="0" applyFill="true" applyBorder="true" applyNumberFormat="true" applyFont="true"/>
    <xf numFmtId="0" fontId="10154" fillId="0" borderId="0" xfId="0" applyFill="true" applyBorder="true" applyNumberFormat="true" applyFont="true"/>
    <xf numFmtId="0" fontId="10155" fillId="0" borderId="0" xfId="0" applyFill="true" applyBorder="true" applyNumberFormat="true" applyFont="true"/>
    <xf numFmtId="0" fontId="10156" fillId="0" borderId="0" xfId="0" applyFill="true" applyBorder="true" applyNumberFormat="true" applyFont="true"/>
    <xf numFmtId="0" fontId="10157" fillId="0" borderId="0" xfId="0" applyFill="true" applyBorder="true" applyNumberFormat="true" applyFont="true"/>
    <xf numFmtId="0" fontId="10158" fillId="0" borderId="0" xfId="0" applyFill="true" applyBorder="true" applyNumberFormat="true" applyFont="true"/>
    <xf numFmtId="0" fontId="10159" fillId="0" borderId="0" xfId="0" applyFill="true" applyBorder="true" applyNumberFormat="true" applyFont="true"/>
    <xf numFmtId="0" fontId="10160" fillId="0" borderId="0" xfId="0" applyFill="true" applyBorder="true" applyNumberFormat="true" applyFont="true"/>
    <xf numFmtId="0" fontId="10161" fillId="0" borderId="0" xfId="0" applyFill="true" applyBorder="true" applyNumberFormat="true" applyFont="true"/>
    <xf numFmtId="0" fontId="10162" fillId="0" borderId="0" xfId="0" applyFill="true" applyBorder="true" applyNumberFormat="true" applyFont="true"/>
    <xf numFmtId="0" fontId="10163" fillId="0" borderId="0" xfId="0" applyFill="true" applyBorder="true" applyNumberFormat="true" applyFont="true"/>
    <xf numFmtId="0" fontId="10164" fillId="0" borderId="0" xfId="0" applyFill="true" applyBorder="true" applyNumberFormat="true" applyFont="true"/>
    <xf numFmtId="0" fontId="10165" fillId="0" borderId="0" xfId="0" applyFill="true" applyBorder="true" applyNumberFormat="true" applyFont="true"/>
    <xf numFmtId="0" fontId="10166" fillId="0" borderId="0" xfId="0" applyFill="true" applyBorder="true" applyNumberFormat="true" applyFont="true"/>
    <xf numFmtId="0" fontId="10167" fillId="0" borderId="0" xfId="0" applyFill="true" applyBorder="true" applyNumberFormat="true" applyFont="true"/>
    <xf numFmtId="0" fontId="10168" fillId="0" borderId="0" xfId="0" applyFill="true" applyBorder="true" applyNumberFormat="true" applyFont="true"/>
    <xf numFmtId="0" fontId="10169" fillId="0" borderId="0" xfId="0" applyFill="true" applyBorder="true" applyNumberFormat="true" applyFont="true"/>
    <xf numFmtId="0" fontId="10170" fillId="0" borderId="0" xfId="0" applyFill="true" applyBorder="true" applyNumberFormat="true" applyFont="true"/>
    <xf numFmtId="0" fontId="10171" fillId="0" borderId="0" xfId="0" applyFill="true" applyBorder="true" applyNumberFormat="true" applyFont="true"/>
    <xf numFmtId="0" fontId="10172" fillId="0" borderId="0" xfId="0" applyFill="true" applyBorder="true" applyNumberFormat="true" applyFont="true"/>
    <xf numFmtId="0" fontId="10173" fillId="0" borderId="0" xfId="0" applyFill="true" applyBorder="true" applyNumberFormat="true" applyFont="true"/>
    <xf numFmtId="0" fontId="10174" fillId="0" borderId="0" xfId="0" applyFill="true" applyBorder="true" applyNumberFormat="true" applyFont="true"/>
    <xf numFmtId="0" fontId="10175" fillId="0" borderId="0" xfId="0" applyFill="true" applyBorder="true" applyNumberFormat="true" applyFont="true"/>
    <xf numFmtId="0" fontId="10176" fillId="0" borderId="0" xfId="0" applyFill="true" applyBorder="true" applyNumberFormat="true" applyFont="true"/>
    <xf numFmtId="0" fontId="10177" fillId="0" borderId="0" xfId="0" applyFill="true" applyBorder="true" applyNumberFormat="true" applyFont="true"/>
    <xf numFmtId="0" fontId="10178" fillId="0" borderId="0" xfId="0" applyFill="true" applyBorder="true" applyNumberFormat="true" applyFont="true"/>
    <xf numFmtId="0" fontId="10179" fillId="0" borderId="0" xfId="0" applyFill="true" applyBorder="true" applyNumberFormat="true" applyFont="true"/>
    <xf numFmtId="0" fontId="10180" fillId="0" borderId="0" xfId="0" applyFill="true" applyBorder="true" applyNumberFormat="true" applyFont="true"/>
    <xf numFmtId="0" fontId="10181" fillId="0" borderId="0" xfId="0" applyFill="true" applyBorder="true" applyNumberFormat="true" applyFont="true"/>
    <xf numFmtId="0" fontId="10182" fillId="0" borderId="0" xfId="0" applyFill="true" applyBorder="true" applyNumberFormat="true" applyFont="true"/>
    <xf numFmtId="0" fontId="10183" fillId="0" borderId="0" xfId="0" applyFill="true" applyBorder="true" applyNumberFormat="true" applyFont="true"/>
    <xf numFmtId="0" fontId="10184" fillId="0" borderId="0" xfId="0" applyFill="true" applyBorder="true" applyNumberFormat="true" applyFont="true"/>
    <xf numFmtId="0" fontId="10185" fillId="0" borderId="0" xfId="0" applyFill="true" applyBorder="true" applyNumberFormat="true" applyFont="true"/>
    <xf numFmtId="0" fontId="10186" fillId="0" borderId="0" xfId="0" applyFill="true" applyBorder="true" applyNumberFormat="true" applyFont="true"/>
    <xf numFmtId="0" fontId="10187" fillId="0" borderId="0" xfId="0" applyFill="true" applyBorder="true" applyNumberFormat="true" applyFont="true"/>
    <xf numFmtId="0" fontId="10188" fillId="0" borderId="0" xfId="0" applyFill="true" applyBorder="true" applyNumberFormat="true" applyFont="true"/>
    <xf numFmtId="0" fontId="10189" fillId="0" borderId="0" xfId="0" applyFill="true" applyBorder="true" applyNumberFormat="true" applyFont="true"/>
    <xf numFmtId="0" fontId="10190" fillId="0" borderId="0" xfId="0" applyFill="true" applyBorder="true" applyNumberFormat="true" applyFont="true"/>
    <xf numFmtId="0" fontId="10191" fillId="0" borderId="0" xfId="0" applyFill="true" applyBorder="true" applyNumberFormat="true" applyFont="true"/>
    <xf numFmtId="0" fontId="10192" fillId="0" borderId="0" xfId="0" applyFill="true" applyBorder="true" applyNumberFormat="true" applyFont="true"/>
    <xf numFmtId="0" fontId="10193" fillId="0" borderId="0" xfId="0" applyFill="true" applyBorder="true" applyNumberFormat="true" applyFont="true"/>
    <xf numFmtId="0" fontId="10194" fillId="0" borderId="0" xfId="0" applyFill="true" applyBorder="true" applyNumberFormat="true" applyFont="true"/>
    <xf numFmtId="0" fontId="10195" fillId="0" borderId="0" xfId="0" applyFill="true" applyBorder="true" applyNumberFormat="true" applyFont="true"/>
    <xf numFmtId="0" fontId="10196" fillId="0" borderId="0" xfId="0" applyFill="true" applyBorder="true" applyNumberFormat="true" applyFont="true"/>
    <xf numFmtId="0" fontId="10197" fillId="0" borderId="0" xfId="0" applyFill="true" applyBorder="true" applyNumberFormat="true" applyFont="true"/>
    <xf numFmtId="0" fontId="10198" fillId="0" borderId="0" xfId="0" applyFill="true" applyBorder="true" applyNumberFormat="true" applyFont="true"/>
    <xf numFmtId="0" fontId="10199" fillId="0" borderId="0" xfId="0" applyFill="true" applyBorder="true" applyNumberFormat="true" applyFont="true"/>
    <xf numFmtId="0" fontId="10200" fillId="0" borderId="0" xfId="0" applyFill="true" applyBorder="true" applyNumberFormat="true" applyFont="true"/>
    <xf numFmtId="0" fontId="10201" fillId="0" borderId="0" xfId="0" applyFill="true" applyBorder="true" applyNumberFormat="true" applyFont="true"/>
    <xf numFmtId="0" fontId="10202" fillId="0" borderId="0" xfId="0" applyFill="true" applyBorder="true" applyNumberFormat="true" applyFont="true"/>
    <xf numFmtId="0" fontId="10203" fillId="0" borderId="0" xfId="0" applyFill="true" applyBorder="true" applyNumberFormat="true" applyFont="true"/>
    <xf numFmtId="0" fontId="10204" fillId="0" borderId="0" xfId="0" applyFill="true" applyBorder="true" applyNumberFormat="true" applyFont="true"/>
    <xf numFmtId="0" fontId="10205" fillId="0" borderId="0" xfId="0" applyFill="true" applyBorder="true" applyNumberFormat="true" applyFont="true"/>
    <xf numFmtId="0" fontId="10206" fillId="0" borderId="0" xfId="0" applyFill="true" applyBorder="true" applyNumberFormat="true" applyFont="true"/>
    <xf numFmtId="0" fontId="10207" fillId="0" borderId="0" xfId="0" applyFill="true" applyBorder="true" applyNumberFormat="true" applyFont="true"/>
    <xf numFmtId="0" fontId="10208" fillId="0" borderId="0" xfId="0" applyFill="true" applyBorder="true" applyNumberFormat="true" applyFont="true"/>
    <xf numFmtId="0" fontId="10209" fillId="0" borderId="0" xfId="0" applyFill="true" applyBorder="true" applyNumberFormat="true" applyFont="true"/>
    <xf numFmtId="0" fontId="10210" fillId="0" borderId="0" xfId="0" applyFill="true" applyBorder="true" applyNumberFormat="true" applyFont="true"/>
    <xf numFmtId="0" fontId="10211" fillId="0" borderId="0" xfId="0" applyFill="true" applyBorder="true" applyNumberFormat="true" applyFont="true"/>
    <xf numFmtId="0" fontId="10212" fillId="0" borderId="0" xfId="0" applyFill="true" applyBorder="true" applyNumberFormat="true" applyFont="true"/>
    <xf numFmtId="0" fontId="10213" fillId="0" borderId="0" xfId="0" applyFill="true" applyBorder="true" applyNumberFormat="true" applyFont="true"/>
    <xf numFmtId="0" fontId="10214" fillId="0" borderId="0" xfId="0" applyFill="true" applyBorder="true" applyNumberFormat="true" applyFont="true"/>
    <xf numFmtId="0" fontId="10215" fillId="0" borderId="0" xfId="0" applyFill="true" applyBorder="true" applyNumberFormat="true" applyFont="true"/>
    <xf numFmtId="0" fontId="10216" fillId="0" borderId="0" xfId="0" applyFill="true" applyBorder="true" applyNumberFormat="true" applyFont="true"/>
    <xf numFmtId="0" fontId="10217" fillId="0" borderId="0" xfId="0" applyFill="true" applyBorder="true" applyNumberFormat="true" applyFont="true"/>
    <xf numFmtId="0" fontId="10218" fillId="0" borderId="0" xfId="0" applyFill="true" applyBorder="true" applyNumberFormat="true" applyFont="true"/>
    <xf numFmtId="0" fontId="10219" fillId="0" borderId="0" xfId="0" applyFill="true" applyBorder="true" applyNumberFormat="true" applyFont="true"/>
    <xf numFmtId="0" fontId="10220" fillId="0" borderId="0" xfId="0" applyFill="true" applyBorder="true" applyNumberFormat="true" applyFont="true"/>
    <xf numFmtId="0" fontId="10221" fillId="0" borderId="0" xfId="0" applyFill="true" applyBorder="true" applyNumberFormat="true" applyFont="true"/>
    <xf numFmtId="0" fontId="10222" fillId="0" borderId="0" xfId="0" applyFill="true" applyBorder="true" applyNumberFormat="true" applyFont="true"/>
    <xf numFmtId="0" fontId="10223" fillId="0" borderId="0" xfId="0" applyFill="true" applyBorder="true" applyNumberFormat="true" applyFont="true"/>
    <xf numFmtId="0" fontId="10224" fillId="0" borderId="0" xfId="0" applyFill="true" applyBorder="true" applyNumberFormat="true" applyFont="true"/>
    <xf numFmtId="0" fontId="10225" fillId="0" borderId="0" xfId="0" applyFill="true" applyBorder="true" applyNumberFormat="true" applyFont="true"/>
    <xf numFmtId="0" fontId="10226" fillId="0" borderId="0" xfId="0" applyFill="true" applyBorder="true" applyNumberFormat="true" applyFont="true"/>
    <xf numFmtId="0" fontId="10227" fillId="0" borderId="0" xfId="0" applyFill="true" applyBorder="true" applyNumberFormat="true" applyFont="true"/>
    <xf numFmtId="0" fontId="10228" fillId="0" borderId="0" xfId="0" applyFill="true" applyBorder="true" applyNumberFormat="true" applyFont="true"/>
    <xf numFmtId="0" fontId="10229" fillId="0" borderId="0" xfId="0" applyFill="true" applyBorder="true" applyNumberFormat="true" applyFont="true"/>
    <xf numFmtId="0" fontId="10230" fillId="0" borderId="0" xfId="0" applyFill="true" applyBorder="true" applyNumberFormat="true" applyFont="true"/>
    <xf numFmtId="0" fontId="10231" fillId="0" borderId="0" xfId="0" applyFill="true" applyBorder="true" applyNumberFormat="true" applyFont="true"/>
    <xf numFmtId="0" fontId="10232" fillId="0" borderId="0" xfId="0" applyFill="true" applyBorder="true" applyNumberFormat="true" applyFont="true"/>
    <xf numFmtId="0" fontId="10233" fillId="0" borderId="0" xfId="0" applyFill="true" applyBorder="true" applyNumberFormat="true" applyFont="true"/>
    <xf numFmtId="0" fontId="10234" fillId="0" borderId="0" xfId="0" applyFill="true" applyBorder="true" applyNumberFormat="true" applyFont="true"/>
    <xf numFmtId="0" fontId="10235" fillId="0" borderId="0" xfId="0" applyFont="true" applyFill="true" applyBorder="true" applyNumberFormat="true"/>
    <xf numFmtId="0" fontId="10236" fillId="0" borderId="0" xfId="0" applyFont="true" applyFill="true" applyBorder="true" applyNumberFormat="true"/>
    <xf numFmtId="0" fontId="10237" fillId="37" borderId="0" xfId="0" applyFont="true" applyFill="true" applyBorder="true" applyNumberFormat="true"/>
    <xf numFmtId="0" fontId="10238" fillId="37" borderId="0" xfId="0" applyFont="true" applyFill="true" applyBorder="true" applyNumberFormat="true"/>
    <xf numFmtId="0" fontId="10239" fillId="37" borderId="0" xfId="0" applyFont="true" applyFill="true" applyBorder="true" applyNumberFormat="true"/>
    <xf numFmtId="0" fontId="10240" fillId="37" borderId="0" xfId="0" applyFont="true" applyFill="true" applyBorder="true" applyNumberFormat="true"/>
    <xf numFmtId="0" fontId="10241" fillId="37" borderId="0" xfId="0" applyFont="true" applyFill="true" applyBorder="true" applyNumberFormat="true"/>
    <xf numFmtId="0" fontId="10242" fillId="37" borderId="0" xfId="0" applyFont="true" applyFill="true" applyBorder="true" applyNumberFormat="true"/>
    <xf numFmtId="0" fontId="10243" fillId="37" borderId="0" xfId="0" applyFont="true" applyFill="true" applyBorder="true" applyNumberFormat="true"/>
    <xf numFmtId="0" fontId="10244" fillId="37" borderId="0" xfId="0" applyFont="true" applyFill="true" applyBorder="true" applyNumberFormat="true"/>
    <xf numFmtId="0" fontId="10245" fillId="37" borderId="0" xfId="0" applyFont="true" applyFill="true" applyBorder="true" applyNumberFormat="true"/>
    <xf numFmtId="0" fontId="10246" fillId="37" borderId="0" xfId="0" applyFont="true" applyFill="true" applyBorder="true" applyNumberFormat="true"/>
    <xf numFmtId="175" fontId="10247" fillId="0" borderId="0" xfId="0" applyNumberFormat="true" applyFill="true" applyBorder="true" applyFont="true"/>
    <xf xmlns:main="http://schemas.openxmlformats.org/spreadsheetml/2006/main" numFmtId="0" fontId="10248" fillId="0" borderId="0" xfId="0" applyAlignment="1" applyFill="true" applyBorder="true" applyNumberFormat="true" applyFont="true">
      <main:alignment horizontal="right"/>
    </xf>
    <xf numFmtId="176" fontId="10249" fillId="0" borderId="0" xfId="0" applyNumberFormat="true" applyFill="true" applyBorder="true" applyFont="true"/>
    <xf numFmtId="177" fontId="10250" fillId="0" borderId="0" xfId="0" applyNumberFormat="true" applyFill="true" applyBorder="true" applyFont="true"/>
    <xf numFmtId="177" fontId="10251" fillId="0" borderId="0" xfId="0" applyNumberFormat="true" applyFill="true" applyBorder="true" applyFont="true"/>
    <xf numFmtId="177" fontId="10252" fillId="0" borderId="0" xfId="0" applyNumberFormat="true" applyFill="true" applyBorder="true" applyFont="true"/>
    <xf numFmtId="175" fontId="10253" fillId="0" borderId="0" xfId="0" applyNumberFormat="true" applyFill="true" applyBorder="true" applyFont="true"/>
    <xf numFmtId="175" fontId="10254" fillId="0" borderId="0" xfId="0" applyNumberFormat="true" applyFill="true" applyBorder="true" applyFont="true"/>
    <xf xmlns:main="http://schemas.openxmlformats.org/spreadsheetml/2006/main" numFmtId="0" fontId="10255" fillId="0" borderId="0" xfId="0" applyAlignment="1" applyFill="true" applyBorder="true" applyNumberFormat="true" applyFont="true">
      <main:alignment horizontal="right"/>
    </xf>
    <xf numFmtId="176" fontId="10256" fillId="0" borderId="0" xfId="0" applyNumberFormat="true" applyFill="true" applyBorder="true" applyFont="true"/>
    <xf numFmtId="177" fontId="10257" fillId="0" borderId="0" xfId="0" applyNumberFormat="true" applyFill="true" applyBorder="true" applyFont="true"/>
    <xf numFmtId="177" fontId="10258" fillId="0" borderId="0" xfId="0" applyNumberFormat="true" applyFill="true" applyBorder="true" applyFont="true"/>
    <xf numFmtId="177" fontId="10259" fillId="0" borderId="0" xfId="0" applyNumberFormat="true" applyFill="true" applyBorder="true" applyFont="true"/>
    <xf numFmtId="175" fontId="10260" fillId="0" borderId="0" xfId="0" applyNumberFormat="true" applyFill="true" applyBorder="true" applyFont="true"/>
    <xf numFmtId="175" fontId="10261" fillId="0" borderId="0" xfId="0" applyNumberFormat="true" applyFill="true" applyBorder="true" applyFont="true"/>
    <xf xmlns:main="http://schemas.openxmlformats.org/spreadsheetml/2006/main" numFmtId="0" fontId="1026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263" fillId="0" borderId="0" xfId="0" applyAlignment="1" applyFill="true" applyBorder="true" applyNumberFormat="true" applyFont="true">
      <main:alignment horizontal="right"/>
    </xf>
    <xf numFmtId="176" fontId="10264" fillId="0" borderId="0" xfId="0" applyNumberFormat="true" applyFill="true" applyBorder="true" applyFont="true"/>
    <xf numFmtId="177" fontId="10265" fillId="0" borderId="0" xfId="0" applyNumberFormat="true" applyFill="true" applyBorder="true" applyFont="true"/>
    <xf numFmtId="177" fontId="10266" fillId="0" borderId="0" xfId="0" applyNumberFormat="true" applyFill="true" applyBorder="true" applyFont="true"/>
    <xf numFmtId="177" fontId="10267" fillId="0" borderId="0" xfId="0" applyNumberFormat="true" applyFill="true" applyBorder="true" applyFont="true"/>
    <xf numFmtId="175" fontId="10268" fillId="0" borderId="0" xfId="0" applyNumberFormat="true" applyFill="true" applyBorder="true" applyFont="true"/>
    <xf xmlns:main="http://schemas.openxmlformats.org/spreadsheetml/2006/main" numFmtId="0" fontId="1026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270" fillId="0" borderId="0" xfId="0" applyAlignment="1" applyFill="true" applyBorder="true" applyNumberFormat="true" applyFont="true">
      <main:alignment horizontal="right"/>
    </xf>
    <xf numFmtId="175" fontId="10271" fillId="0" borderId="0" xfId="0" applyNumberFormat="true" applyFill="true" applyBorder="true" applyFont="true"/>
    <xf xmlns:main="http://schemas.openxmlformats.org/spreadsheetml/2006/main" numFmtId="0" fontId="10272" fillId="0" borderId="0" xfId="0" applyAlignment="1" applyFill="true" applyBorder="true" applyNumberFormat="true" applyFont="true">
      <main:alignment horizontal="right"/>
    </xf>
    <xf numFmtId="176" fontId="10273" fillId="0" borderId="0" xfId="0" applyNumberFormat="true" applyFill="true" applyBorder="true" applyFont="true"/>
    <xf numFmtId="177" fontId="10274" fillId="0" borderId="0" xfId="0" applyNumberFormat="true" applyFill="true" applyBorder="true" applyFont="true"/>
    <xf numFmtId="177" fontId="10275" fillId="0" borderId="0" xfId="0" applyNumberFormat="true" applyFill="true" applyBorder="true" applyFont="true"/>
    <xf numFmtId="177" fontId="10276" fillId="0" borderId="0" xfId="0" applyNumberFormat="true" applyFill="true" applyBorder="true" applyFont="true"/>
    <xf numFmtId="175" fontId="10277" fillId="0" borderId="0" xfId="0" applyNumberFormat="true" applyFill="true" applyBorder="true" applyFont="true"/>
    <xf numFmtId="175" fontId="10278" fillId="0" borderId="0" xfId="0" applyNumberFormat="true" applyFill="true" applyBorder="true" applyFont="true"/>
    <xf xmlns:main="http://schemas.openxmlformats.org/spreadsheetml/2006/main" numFmtId="0" fontId="1027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280" fillId="0" borderId="0" xfId="0" applyAlignment="1" applyFill="true" applyBorder="true" applyNumberFormat="true" applyFont="true">
      <main:alignment horizontal="right"/>
    </xf>
    <xf numFmtId="176" fontId="10281" fillId="0" borderId="0" xfId="0" applyNumberFormat="true" applyFill="true" applyBorder="true" applyFont="true"/>
    <xf numFmtId="177" fontId="10282" fillId="0" borderId="0" xfId="0" applyNumberFormat="true" applyFill="true" applyBorder="true" applyFont="true"/>
    <xf numFmtId="177" fontId="10283" fillId="0" borderId="0" xfId="0" applyNumberFormat="true" applyFill="true" applyBorder="true" applyFont="true"/>
    <xf numFmtId="177" fontId="10284" fillId="0" borderId="0" xfId="0" applyNumberFormat="true" applyFill="true" applyBorder="true" applyFont="true"/>
    <xf numFmtId="175" fontId="10285" fillId="0" borderId="0" xfId="0" applyNumberFormat="true" applyFill="true" applyBorder="true" applyFont="true"/>
    <xf xmlns:main="http://schemas.openxmlformats.org/spreadsheetml/2006/main" numFmtId="0" fontId="10286" fillId="0" borderId="0" xfId="0" applyAlignment="1" applyFill="true" applyBorder="true" applyNumberFormat="true" applyFont="true">
      <main:alignment horizontal="right"/>
    </xf>
    <xf numFmtId="175" fontId="10287" fillId="0" borderId="0" xfId="0" applyNumberFormat="true" applyFill="true" applyBorder="true" applyFont="true"/>
    <xf xmlns:main="http://schemas.openxmlformats.org/spreadsheetml/2006/main" numFmtId="0" fontId="10288" fillId="0" borderId="0" xfId="0" applyAlignment="1" applyFill="true" applyBorder="true" applyNumberFormat="true" applyFont="true">
      <main:alignment horizontal="right"/>
    </xf>
    <xf numFmtId="176" fontId="10289" fillId="0" borderId="0" xfId="0" applyNumberFormat="true" applyFill="true" applyBorder="true" applyFont="true"/>
    <xf numFmtId="177" fontId="10290" fillId="0" borderId="0" xfId="0" applyNumberFormat="true" applyFill="true" applyBorder="true" applyFont="true"/>
    <xf numFmtId="177" fontId="10291" fillId="0" borderId="0" xfId="0" applyNumberFormat="true" applyFill="true" applyBorder="true" applyFont="true"/>
    <xf numFmtId="177" fontId="10292" fillId="0" borderId="0" xfId="0" applyNumberFormat="true" applyFill="true" applyBorder="true" applyFont="true"/>
    <xf numFmtId="175" fontId="10293" fillId="0" borderId="0" xfId="0" applyNumberFormat="true" applyFill="true" applyBorder="true" applyFont="true"/>
    <xf numFmtId="175" fontId="10294" fillId="0" borderId="0" xfId="0" applyNumberFormat="true" applyFill="true" applyBorder="true" applyFont="true"/>
    <xf xmlns:main="http://schemas.openxmlformats.org/spreadsheetml/2006/main" numFmtId="0" fontId="1029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296" fillId="0" borderId="0" xfId="0" applyAlignment="1" applyFill="true" applyBorder="true" applyNumberFormat="true" applyFont="true">
      <main:alignment horizontal="right"/>
    </xf>
    <xf numFmtId="176" fontId="10297" fillId="0" borderId="0" xfId="0" applyNumberFormat="true" applyFill="true" applyBorder="true" applyFont="true"/>
    <xf numFmtId="177" fontId="10298" fillId="0" borderId="0" xfId="0" applyNumberFormat="true" applyFill="true" applyBorder="true" applyFont="true"/>
    <xf numFmtId="177" fontId="10299" fillId="0" borderId="0" xfId="0" applyNumberFormat="true" applyFill="true" applyBorder="true" applyFont="true"/>
    <xf numFmtId="177" fontId="10300" fillId="0" borderId="0" xfId="0" applyNumberFormat="true" applyFill="true" applyBorder="true" applyFont="true"/>
    <xf numFmtId="175" fontId="10301" fillId="0" borderId="0" xfId="0" applyNumberFormat="true" applyFill="true" applyBorder="true" applyFont="true"/>
    <xf xmlns:main="http://schemas.openxmlformats.org/spreadsheetml/2006/main" numFmtId="0" fontId="1030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03" fillId="0" borderId="0" xfId="0" applyAlignment="1" applyFill="true" applyBorder="true" applyNumberFormat="true" applyFont="true">
      <main:alignment horizontal="right"/>
    </xf>
    <xf numFmtId="175" fontId="10304" fillId="0" borderId="0" xfId="0" applyNumberFormat="true" applyFill="true" applyBorder="true" applyFont="true"/>
    <xf xmlns:main="http://schemas.openxmlformats.org/spreadsheetml/2006/main" numFmtId="0" fontId="10305" fillId="0" borderId="0" xfId="0" applyAlignment="1" applyFill="true" applyBorder="true" applyNumberFormat="true" applyFont="true">
      <main:alignment horizontal="right"/>
    </xf>
    <xf numFmtId="176" fontId="10306" fillId="0" borderId="0" xfId="0" applyNumberFormat="true" applyFill="true" applyBorder="true" applyFont="true"/>
    <xf numFmtId="177" fontId="10307" fillId="0" borderId="0" xfId="0" applyNumberFormat="true" applyFill="true" applyBorder="true" applyFont="true"/>
    <xf numFmtId="177" fontId="10308" fillId="0" borderId="0" xfId="0" applyNumberFormat="true" applyFill="true" applyBorder="true" applyFont="true"/>
    <xf numFmtId="177" fontId="10309" fillId="0" borderId="0" xfId="0" applyNumberFormat="true" applyFill="true" applyBorder="true" applyFont="true"/>
    <xf numFmtId="175" fontId="10310" fillId="0" borderId="0" xfId="0" applyNumberFormat="true" applyFill="true" applyBorder="true" applyFont="true"/>
    <xf numFmtId="175" fontId="10311" fillId="0" borderId="0" xfId="0" applyNumberFormat="true" applyFill="true" applyBorder="true" applyFont="true"/>
    <xf xmlns:main="http://schemas.openxmlformats.org/spreadsheetml/2006/main" numFmtId="0" fontId="10312" fillId="0" borderId="0" xfId="0" applyAlignment="1" applyFill="true" applyBorder="true" applyNumberFormat="true" applyFont="true">
      <main:alignment horizontal="right"/>
    </xf>
    <xf numFmtId="176" fontId="10313" fillId="0" borderId="0" xfId="0" applyNumberFormat="true" applyFill="true" applyBorder="true" applyFont="true"/>
    <xf numFmtId="177" fontId="10314" fillId="0" borderId="0" xfId="0" applyNumberFormat="true" applyFill="true" applyBorder="true" applyFont="true"/>
    <xf numFmtId="177" fontId="10315" fillId="0" borderId="0" xfId="0" applyNumberFormat="true" applyFill="true" applyBorder="true" applyFont="true"/>
    <xf numFmtId="177" fontId="10316" fillId="0" borderId="0" xfId="0" applyNumberFormat="true" applyFill="true" applyBorder="true" applyFont="true"/>
    <xf numFmtId="175" fontId="10317" fillId="0" borderId="0" xfId="0" applyNumberFormat="true" applyFill="true" applyBorder="true" applyFont="true"/>
    <xf numFmtId="175" fontId="10318" fillId="0" borderId="0" xfId="0" applyNumberFormat="true" applyFill="true" applyBorder="true" applyFont="true"/>
    <xf xmlns:main="http://schemas.openxmlformats.org/spreadsheetml/2006/main" numFmtId="0" fontId="1031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20" fillId="0" borderId="0" xfId="0" applyAlignment="1" applyFill="true" applyBorder="true" applyNumberFormat="true" applyFont="true">
      <main:alignment horizontal="right"/>
    </xf>
    <xf numFmtId="176" fontId="10321" fillId="0" borderId="0" xfId="0" applyNumberFormat="true" applyFill="true" applyBorder="true" applyFont="true"/>
    <xf numFmtId="177" fontId="10322" fillId="0" borderId="0" xfId="0" applyNumberFormat="true" applyFill="true" applyBorder="true" applyFont="true"/>
    <xf numFmtId="177" fontId="10323" fillId="0" borderId="0" xfId="0" applyNumberFormat="true" applyFill="true" applyBorder="true" applyFont="true"/>
    <xf numFmtId="177" fontId="10324" fillId="0" borderId="0" xfId="0" applyNumberFormat="true" applyFill="true" applyBorder="true" applyFont="true"/>
    <xf numFmtId="175" fontId="10325" fillId="0" borderId="0" xfId="0" applyNumberFormat="true" applyFill="true" applyBorder="true" applyFont="true"/>
    <xf xmlns:main="http://schemas.openxmlformats.org/spreadsheetml/2006/main" numFmtId="0" fontId="10326" fillId="0" borderId="0" xfId="0" applyAlignment="1" applyFill="true" applyBorder="true" applyNumberFormat="true" applyFont="true">
      <main:alignment horizontal="right"/>
    </xf>
    <xf numFmtId="175" fontId="10327" fillId="0" borderId="0" xfId="0" applyNumberFormat="true" applyFill="true" applyBorder="true" applyFont="true"/>
    <xf xmlns:main="http://schemas.openxmlformats.org/spreadsheetml/2006/main" numFmtId="0" fontId="1032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29" fillId="0" borderId="0" xfId="0" applyAlignment="1" applyFill="true" applyBorder="true" applyNumberFormat="true" applyFont="true">
      <main:alignment horizontal="right"/>
    </xf>
    <xf numFmtId="176" fontId="10330" fillId="0" borderId="0" xfId="0" applyNumberFormat="true" applyFill="true" applyBorder="true" applyFont="true"/>
    <xf numFmtId="177" fontId="10331" fillId="0" borderId="0" xfId="0" applyNumberFormat="true" applyFill="true" applyBorder="true" applyFont="true"/>
    <xf numFmtId="177" fontId="10332" fillId="0" borderId="0" xfId="0" applyNumberFormat="true" applyFill="true" applyBorder="true" applyFont="true"/>
    <xf numFmtId="177" fontId="10333" fillId="0" borderId="0" xfId="0" applyNumberFormat="true" applyFill="true" applyBorder="true" applyFont="true"/>
    <xf numFmtId="175" fontId="10334" fillId="0" borderId="0" xfId="0" applyNumberFormat="true" applyFill="true" applyBorder="true" applyFont="true"/>
    <xf xmlns:main="http://schemas.openxmlformats.org/spreadsheetml/2006/main" numFmtId="0" fontId="1033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36" fillId="0" borderId="0" xfId="0" applyAlignment="1" applyFill="true" applyBorder="true" applyNumberFormat="true" applyFont="true">
      <main:alignment horizontal="right"/>
    </xf>
    <xf numFmtId="175" fontId="10337" fillId="0" borderId="0" xfId="0" applyNumberFormat="true" applyFill="true" applyBorder="true" applyFont="true"/>
    <xf xmlns:main="http://schemas.openxmlformats.org/spreadsheetml/2006/main" numFmtId="0" fontId="10338" fillId="0" borderId="0" xfId="0" applyAlignment="1" applyFill="true" applyBorder="true" applyNumberFormat="true" applyFont="true">
      <main:alignment horizontal="right"/>
    </xf>
    <xf numFmtId="176" fontId="10339" fillId="0" borderId="0" xfId="0" applyNumberFormat="true" applyFill="true" applyBorder="true" applyFont="true"/>
    <xf numFmtId="177" fontId="10340" fillId="0" borderId="0" xfId="0" applyNumberFormat="true" applyFill="true" applyBorder="true" applyFont="true"/>
    <xf numFmtId="177" fontId="10341" fillId="0" borderId="0" xfId="0" applyNumberFormat="true" applyFill="true" applyBorder="true" applyFont="true"/>
    <xf numFmtId="177" fontId="10342" fillId="0" borderId="0" xfId="0" applyNumberFormat="true" applyFill="true" applyBorder="true" applyFont="true"/>
    <xf numFmtId="175" fontId="10343" fillId="0" borderId="0" xfId="0" applyNumberFormat="true" applyFill="true" applyBorder="true" applyFont="true"/>
    <xf numFmtId="175" fontId="10344" fillId="0" borderId="0" xfId="0" applyNumberFormat="true" applyFill="true" applyBorder="true" applyFont="true"/>
    <xf xmlns:main="http://schemas.openxmlformats.org/spreadsheetml/2006/main" numFmtId="0" fontId="1034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46" fillId="0" borderId="0" xfId="0" applyAlignment="1" applyFill="true" applyBorder="true" applyNumberFormat="true" applyFont="true">
      <main:alignment horizontal="right"/>
    </xf>
    <xf numFmtId="176" fontId="10347" fillId="0" borderId="0" xfId="0" applyNumberFormat="true" applyFill="true" applyBorder="true" applyFont="true"/>
    <xf numFmtId="177" fontId="10348" fillId="0" borderId="0" xfId="0" applyNumberFormat="true" applyFill="true" applyBorder="true" applyFont="true"/>
    <xf numFmtId="177" fontId="10349" fillId="0" borderId="0" xfId="0" applyNumberFormat="true" applyFill="true" applyBorder="true" applyFont="true"/>
    <xf numFmtId="177" fontId="10350" fillId="0" borderId="0" xfId="0" applyNumberFormat="true" applyFill="true" applyBorder="true" applyFont="true"/>
    <xf numFmtId="175" fontId="10351" fillId="0" borderId="0" xfId="0" applyNumberFormat="true" applyFill="true" applyBorder="true" applyFont="true"/>
    <xf xmlns:main="http://schemas.openxmlformats.org/spreadsheetml/2006/main" numFmtId="0" fontId="10352" fillId="0" borderId="0" xfId="0" applyAlignment="1" applyFill="true" applyBorder="true" applyNumberFormat="true" applyFont="true">
      <main:alignment horizontal="right"/>
    </xf>
    <xf numFmtId="175" fontId="10353" fillId="0" borderId="0" xfId="0" applyNumberFormat="true" applyFill="true" applyBorder="true" applyFont="true"/>
    <xf xmlns:main="http://schemas.openxmlformats.org/spreadsheetml/2006/main" numFmtId="0" fontId="1035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55" fillId="0" borderId="0" xfId="0" applyAlignment="1" applyFill="true" applyBorder="true" applyNumberFormat="true" applyFont="true">
      <main:alignment horizontal="right"/>
    </xf>
    <xf numFmtId="176" fontId="10356" fillId="0" borderId="0" xfId="0" applyNumberFormat="true" applyFill="true" applyBorder="true" applyFont="true"/>
    <xf numFmtId="177" fontId="10357" fillId="0" borderId="0" xfId="0" applyNumberFormat="true" applyFill="true" applyBorder="true" applyFont="true"/>
    <xf numFmtId="177" fontId="10358" fillId="0" borderId="0" xfId="0" applyNumberFormat="true" applyFill="true" applyBorder="true" applyFont="true"/>
    <xf numFmtId="177" fontId="10359" fillId="0" borderId="0" xfId="0" applyNumberFormat="true" applyFill="true" applyBorder="true" applyFont="true"/>
    <xf numFmtId="175" fontId="10360" fillId="0" borderId="0" xfId="0" applyNumberFormat="true" applyFill="true" applyBorder="true" applyFont="true"/>
    <xf xmlns:main="http://schemas.openxmlformats.org/spreadsheetml/2006/main" numFmtId="0" fontId="10361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62" fillId="0" borderId="0" xfId="0" applyAlignment="1" applyFill="true" applyBorder="true" applyNumberFormat="true" applyFont="true">
      <main:alignment horizontal="right"/>
    </xf>
    <xf numFmtId="175" fontId="10363" fillId="0" borderId="0" xfId="0" applyNumberFormat="true" applyFill="true" applyBorder="true" applyFont="true"/>
    <xf xmlns:main="http://schemas.openxmlformats.org/spreadsheetml/2006/main" numFmtId="0" fontId="1036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65" fillId="0" borderId="0" xfId="0" applyAlignment="1" applyFill="true" applyBorder="true" applyNumberFormat="true" applyFont="true">
      <main:alignment horizontal="right"/>
    </xf>
    <xf numFmtId="176" fontId="10366" fillId="0" borderId="0" xfId="0" applyNumberFormat="true" applyFill="true" applyBorder="true" applyFont="true"/>
    <xf numFmtId="177" fontId="10367" fillId="0" borderId="0" xfId="0" applyNumberFormat="true" applyFill="true" applyBorder="true" applyFont="true"/>
    <xf numFmtId="177" fontId="10368" fillId="0" borderId="0" xfId="0" applyNumberFormat="true" applyFill="true" applyBorder="true" applyFont="true"/>
    <xf numFmtId="177" fontId="10369" fillId="0" borderId="0" xfId="0" applyNumberFormat="true" applyFill="true" applyBorder="true" applyFont="true"/>
    <xf numFmtId="175" fontId="10370" fillId="0" borderId="0" xfId="0" applyNumberFormat="true" applyFill="true" applyBorder="true" applyFont="true"/>
    <xf xmlns:main="http://schemas.openxmlformats.org/spreadsheetml/2006/main" numFmtId="0" fontId="10371" fillId="0" borderId="0" xfId="0" applyAlignment="1" applyFill="true" applyBorder="true" applyNumberFormat="true" applyFont="true">
      <main:alignment horizontal="right"/>
    </xf>
    <xf numFmtId="175" fontId="10372" fillId="0" borderId="0" xfId="0" applyNumberFormat="true" applyFill="true" applyBorder="true" applyFont="true"/>
    <xf xmlns:main="http://schemas.openxmlformats.org/spreadsheetml/2006/main" numFmtId="0" fontId="10373" fillId="0" borderId="0" xfId="0" applyAlignment="1" applyFill="true" applyBorder="true" applyNumberFormat="true" applyFont="true">
      <main:alignment horizontal="right"/>
    </xf>
    <xf numFmtId="176" fontId="10374" fillId="0" borderId="0" xfId="0" applyNumberFormat="true" applyFill="true" applyBorder="true" applyFont="true"/>
    <xf numFmtId="177" fontId="10375" fillId="0" borderId="0" xfId="0" applyNumberFormat="true" applyFill="true" applyBorder="true" applyFont="true"/>
    <xf numFmtId="177" fontId="10376" fillId="0" borderId="0" xfId="0" applyNumberFormat="true" applyFill="true" applyBorder="true" applyFont="true"/>
    <xf numFmtId="177" fontId="10377" fillId="0" borderId="0" xfId="0" applyNumberFormat="true" applyFill="true" applyBorder="true" applyFont="true"/>
    <xf numFmtId="175" fontId="10378" fillId="0" borderId="0" xfId="0" applyNumberFormat="true" applyFill="true" applyBorder="true" applyFont="true"/>
    <xf numFmtId="175" fontId="10379" fillId="0" borderId="0" xfId="0" applyNumberFormat="true" applyFill="true" applyBorder="true" applyFont="true"/>
    <xf xmlns:main="http://schemas.openxmlformats.org/spreadsheetml/2006/main" numFmtId="0" fontId="1038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81" fillId="0" borderId="0" xfId="0" applyAlignment="1" applyFill="true" applyBorder="true" applyNumberFormat="true" applyFont="true">
      <main:alignment horizontal="right"/>
    </xf>
    <xf numFmtId="176" fontId="10382" fillId="0" borderId="0" xfId="0" applyNumberFormat="true" applyFill="true" applyBorder="true" applyFont="true"/>
    <xf numFmtId="177" fontId="10383" fillId="0" borderId="0" xfId="0" applyNumberFormat="true" applyFill="true" applyBorder="true" applyFont="true"/>
    <xf numFmtId="177" fontId="10384" fillId="0" borderId="0" xfId="0" applyNumberFormat="true" applyFill="true" applyBorder="true" applyFont="true"/>
    <xf numFmtId="177" fontId="10385" fillId="0" borderId="0" xfId="0" applyNumberFormat="true" applyFill="true" applyBorder="true" applyFont="true"/>
    <xf numFmtId="175" fontId="10386" fillId="0" borderId="0" xfId="0" applyNumberFormat="true" applyFill="true" applyBorder="true" applyFont="true"/>
    <xf xmlns:main="http://schemas.openxmlformats.org/spreadsheetml/2006/main" numFmtId="0" fontId="10387" fillId="0" borderId="0" xfId="0" applyAlignment="1" applyFill="true" applyBorder="true" applyNumberFormat="true" applyFont="true">
      <main:alignment horizontal="right"/>
    </xf>
    <xf numFmtId="175" fontId="10388" fillId="0" borderId="0" xfId="0" applyNumberFormat="true" applyFill="true" applyBorder="true" applyFont="true"/>
    <xf xmlns:main="http://schemas.openxmlformats.org/spreadsheetml/2006/main" numFmtId="0" fontId="10389" fillId="0" borderId="0" xfId="0" applyAlignment="1" applyFill="true" applyBorder="true" applyNumberFormat="true" applyFont="true">
      <main:alignment horizontal="right"/>
    </xf>
    <xf numFmtId="176" fontId="10390" fillId="0" borderId="0" xfId="0" applyNumberFormat="true" applyFill="true" applyBorder="true" applyFont="true"/>
    <xf numFmtId="177" fontId="10391" fillId="0" borderId="0" xfId="0" applyNumberFormat="true" applyFill="true" applyBorder="true" applyFont="true"/>
    <xf numFmtId="177" fontId="10392" fillId="0" borderId="0" xfId="0" applyNumberFormat="true" applyFill="true" applyBorder="true" applyFont="true"/>
    <xf numFmtId="177" fontId="10393" fillId="0" borderId="0" xfId="0" applyNumberFormat="true" applyFill="true" applyBorder="true" applyFont="true"/>
    <xf numFmtId="175" fontId="10394" fillId="0" borderId="0" xfId="0" applyNumberFormat="true" applyFill="true" applyBorder="true" applyFont="true"/>
    <xf numFmtId="175" fontId="10395" fillId="0" borderId="0" xfId="0" applyNumberFormat="true" applyFill="true" applyBorder="true" applyFont="true"/>
    <xf xmlns:main="http://schemas.openxmlformats.org/spreadsheetml/2006/main" numFmtId="0" fontId="10396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397" fillId="0" borderId="0" xfId="0" applyAlignment="1" applyFill="true" applyBorder="true" applyNumberFormat="true" applyFont="true">
      <main:alignment horizontal="right"/>
    </xf>
    <xf numFmtId="176" fontId="10398" fillId="0" borderId="0" xfId="0" applyNumberFormat="true" applyFill="true" applyBorder="true" applyFont="true"/>
    <xf numFmtId="177" fontId="10399" fillId="0" borderId="0" xfId="0" applyNumberFormat="true" applyFill="true" applyBorder="true" applyFont="true"/>
    <xf numFmtId="177" fontId="10400" fillId="0" borderId="0" xfId="0" applyNumberFormat="true" applyFill="true" applyBorder="true" applyFont="true"/>
    <xf numFmtId="177" fontId="10401" fillId="0" borderId="0" xfId="0" applyNumberFormat="true" applyFill="true" applyBorder="true" applyFont="true"/>
    <xf numFmtId="175" fontId="10402" fillId="0" borderId="0" xfId="0" applyNumberFormat="true" applyFill="true" applyBorder="true" applyFont="true"/>
    <xf xmlns:main="http://schemas.openxmlformats.org/spreadsheetml/2006/main" numFmtId="0" fontId="10403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404" fillId="0" borderId="0" xfId="0" applyAlignment="1" applyFill="true" applyBorder="true" applyNumberFormat="true" applyFont="true">
      <main:alignment horizontal="right"/>
    </xf>
    <xf numFmtId="175" fontId="10405" fillId="0" borderId="0" xfId="0" applyNumberFormat="true" applyFill="true" applyBorder="true" applyFont="true"/>
    <xf xmlns:main="http://schemas.openxmlformats.org/spreadsheetml/2006/main" numFmtId="0" fontId="10406" fillId="0" borderId="0" xfId="0" applyAlignment="1" applyFill="true" applyBorder="true" applyNumberFormat="true" applyFont="true">
      <main:alignment horizontal="right"/>
    </xf>
    <xf numFmtId="176" fontId="10407" fillId="0" borderId="0" xfId="0" applyNumberFormat="true" applyFill="true" applyBorder="true" applyFont="true"/>
    <xf numFmtId="177" fontId="10408" fillId="0" borderId="0" xfId="0" applyNumberFormat="true" applyFill="true" applyBorder="true" applyFont="true"/>
    <xf numFmtId="177" fontId="10409" fillId="0" borderId="0" xfId="0" applyNumberFormat="true" applyFill="true" applyBorder="true" applyFont="true"/>
    <xf numFmtId="177" fontId="10410" fillId="0" borderId="0" xfId="0" applyNumberFormat="true" applyFill="true" applyBorder="true" applyFont="true"/>
    <xf numFmtId="175" fontId="10411" fillId="0" borderId="0" xfId="0" applyNumberFormat="true" applyFill="true" applyBorder="true" applyFont="true"/>
    <xf numFmtId="175" fontId="10412" fillId="0" borderId="0" xfId="0" applyNumberFormat="true" applyFill="true" applyBorder="true" applyFont="true"/>
    <xf xmlns:main="http://schemas.openxmlformats.org/spreadsheetml/2006/main" numFmtId="0" fontId="10413" fillId="0" borderId="0" xfId="0" applyAlignment="1" applyFill="true" applyBorder="true" applyNumberFormat="true" applyFont="true">
      <main:alignment horizontal="right"/>
    </xf>
    <xf numFmtId="176" fontId="10414" fillId="0" borderId="0" xfId="0" applyNumberFormat="true" applyFill="true" applyBorder="true" applyFont="true"/>
    <xf numFmtId="177" fontId="10415" fillId="0" borderId="0" xfId="0" applyNumberFormat="true" applyFill="true" applyBorder="true" applyFont="true"/>
    <xf numFmtId="177" fontId="10416" fillId="0" borderId="0" xfId="0" applyNumberFormat="true" applyFill="true" applyBorder="true" applyFont="true"/>
    <xf numFmtId="177" fontId="10417" fillId="0" borderId="0" xfId="0" applyNumberFormat="true" applyFill="true" applyBorder="true" applyFont="true"/>
    <xf numFmtId="175" fontId="10418" fillId="0" borderId="0" xfId="0" applyNumberFormat="true" applyFill="true" applyBorder="true" applyFont="true"/>
    <xf numFmtId="175" fontId="10419" fillId="0" borderId="0" xfId="0" applyNumberFormat="true" applyFill="true" applyBorder="true" applyFont="true"/>
    <xf xmlns:main="http://schemas.openxmlformats.org/spreadsheetml/2006/main" numFmtId="0" fontId="10420" fillId="0" borderId="0" xfId="0" applyAlignment="1" applyFill="true" applyBorder="true" applyNumberFormat="true" applyFont="true">
      <main:alignment horizontal="right"/>
    </xf>
    <xf numFmtId="176" fontId="10421" fillId="0" borderId="0" xfId="0" applyNumberFormat="true" applyFill="true" applyBorder="true" applyFont="true"/>
    <xf numFmtId="177" fontId="10422" fillId="0" borderId="0" xfId="0" applyNumberFormat="true" applyFill="true" applyBorder="true" applyFont="true"/>
    <xf numFmtId="177" fontId="10423" fillId="0" borderId="0" xfId="0" applyNumberFormat="true" applyFill="true" applyBorder="true" applyFont="true"/>
    <xf numFmtId="177" fontId="10424" fillId="0" borderId="0" xfId="0" applyNumberFormat="true" applyFill="true" applyBorder="true" applyFont="true"/>
    <xf numFmtId="175" fontId="10425" fillId="0" borderId="0" xfId="0" applyNumberFormat="true" applyFill="true" applyBorder="true" applyFont="true"/>
    <xf numFmtId="175" fontId="10426" fillId="0" borderId="0" xfId="0" applyNumberFormat="true" applyFill="true" applyBorder="true" applyFont="true"/>
    <xf xmlns:main="http://schemas.openxmlformats.org/spreadsheetml/2006/main" numFmtId="0" fontId="10427" fillId="0" borderId="0" xfId="0" applyAlignment="1" applyFill="true" applyBorder="true" applyNumberFormat="true" applyFont="true">
      <main:alignment horizontal="right"/>
    </xf>
    <xf numFmtId="176" fontId="10428" fillId="0" borderId="0" xfId="0" applyNumberFormat="true" applyFill="true" applyBorder="true" applyFont="true"/>
    <xf numFmtId="177" fontId="10429" fillId="0" borderId="0" xfId="0" applyNumberFormat="true" applyFill="true" applyBorder="true" applyFont="true"/>
    <xf numFmtId="177" fontId="10430" fillId="0" borderId="0" xfId="0" applyNumberFormat="true" applyFill="true" applyBorder="true" applyFont="true"/>
    <xf numFmtId="177" fontId="10431" fillId="0" borderId="0" xfId="0" applyNumberFormat="true" applyFill="true" applyBorder="true" applyFont="true"/>
    <xf numFmtId="175" fontId="10432" fillId="0" borderId="0" xfId="0" applyNumberFormat="true" applyFill="true" applyBorder="true" applyFont="true"/>
    <xf numFmtId="175" fontId="10433" fillId="0" borderId="0" xfId="0" applyNumberFormat="true" applyFill="true" applyBorder="true" applyFont="true"/>
    <xf xmlns:main="http://schemas.openxmlformats.org/spreadsheetml/2006/main" numFmtId="0" fontId="10434" fillId="0" borderId="0" xfId="0" applyAlignment="1" applyFill="true" applyBorder="true" applyNumberFormat="true" applyFont="true">
      <main:alignment horizontal="right"/>
    </xf>
    <xf numFmtId="176" fontId="10435" fillId="0" borderId="0" xfId="0" applyNumberFormat="true" applyFill="true" applyBorder="true" applyFont="true"/>
    <xf numFmtId="177" fontId="10436" fillId="0" borderId="0" xfId="0" applyNumberFormat="true" applyFill="true" applyBorder="true" applyFont="true"/>
    <xf numFmtId="177" fontId="10437" fillId="0" borderId="0" xfId="0" applyNumberFormat="true" applyFill="true" applyBorder="true" applyFont="true"/>
    <xf numFmtId="177" fontId="10438" fillId="0" borderId="0" xfId="0" applyNumberFormat="true" applyFill="true" applyBorder="true" applyFont="true"/>
    <xf numFmtId="175" fontId="10439" fillId="0" borderId="0" xfId="0" applyNumberFormat="true" applyFill="true" applyBorder="true" applyFont="true"/>
    <xf numFmtId="175" fontId="10440" fillId="0" borderId="0" xfId="0" applyNumberFormat="true" applyFill="true" applyBorder="true" applyFont="true"/>
    <xf xmlns:main="http://schemas.openxmlformats.org/spreadsheetml/2006/main" numFmtId="0" fontId="10441" fillId="0" borderId="0" xfId="0" applyAlignment="1" applyFill="true" applyBorder="true" applyNumberFormat="true" applyFont="true">
      <main:alignment horizontal="right"/>
    </xf>
    <xf numFmtId="176" fontId="10442" fillId="0" borderId="0" xfId="0" applyNumberFormat="true" applyFill="true" applyBorder="true" applyFont="true"/>
    <xf numFmtId="177" fontId="10443" fillId="0" borderId="0" xfId="0" applyNumberFormat="true" applyFill="true" applyBorder="true" applyFont="true"/>
    <xf numFmtId="177" fontId="10444" fillId="0" borderId="0" xfId="0" applyNumberFormat="true" applyFill="true" applyBorder="true" applyFont="true"/>
    <xf numFmtId="177" fontId="10445" fillId="0" borderId="0" xfId="0" applyNumberFormat="true" applyFill="true" applyBorder="true" applyFont="true"/>
    <xf numFmtId="175" fontId="10446" fillId="0" borderId="0" xfId="0" applyNumberFormat="true" applyFill="true" applyBorder="true" applyFont="true"/>
    <xf numFmtId="175" fontId="10447" fillId="0" borderId="0" xfId="0" applyNumberFormat="true" applyFill="true" applyBorder="true" applyFont="true"/>
    <xf xmlns:main="http://schemas.openxmlformats.org/spreadsheetml/2006/main" numFmtId="0" fontId="10448" fillId="0" borderId="0" xfId="0" applyAlignment="1" applyFill="true" applyBorder="true" applyNumberFormat="true" applyFont="true">
      <main:alignment horizontal="right"/>
    </xf>
    <xf numFmtId="176" fontId="10449" fillId="0" borderId="0" xfId="0" applyNumberFormat="true" applyFill="true" applyBorder="true" applyFont="true"/>
    <xf numFmtId="177" fontId="10450" fillId="0" borderId="0" xfId="0" applyNumberFormat="true" applyFill="true" applyBorder="true" applyFont="true"/>
    <xf numFmtId="177" fontId="10451" fillId="0" borderId="0" xfId="0" applyNumberFormat="true" applyFill="true" applyBorder="true" applyFont="true"/>
    <xf numFmtId="177" fontId="10452" fillId="0" borderId="0" xfId="0" applyNumberFormat="true" applyFill="true" applyBorder="true" applyFont="true"/>
    <xf numFmtId="175" fontId="10453" fillId="0" borderId="0" xfId="0" applyNumberFormat="true" applyFill="true" applyBorder="true" applyFont="true"/>
    <xf numFmtId="175" fontId="10454" fillId="0" borderId="0" xfId="0" applyNumberFormat="true" applyFill="true" applyBorder="true" applyFont="true"/>
    <xf xmlns:main="http://schemas.openxmlformats.org/spreadsheetml/2006/main" numFmtId="0" fontId="10455" fillId="0" borderId="0" xfId="0" applyAlignment="1" applyFill="true" applyBorder="true" applyNumberFormat="true" applyFont="true">
      <main:alignment horizontal="right"/>
    </xf>
    <xf numFmtId="176" fontId="10456" fillId="0" borderId="0" xfId="0" applyNumberFormat="true" applyFill="true" applyBorder="true" applyFont="true"/>
    <xf numFmtId="177" fontId="10457" fillId="0" borderId="0" xfId="0" applyNumberFormat="true" applyFill="true" applyBorder="true" applyFont="true"/>
    <xf numFmtId="177" fontId="10458" fillId="0" borderId="0" xfId="0" applyNumberFormat="true" applyFill="true" applyBorder="true" applyFont="true"/>
    <xf numFmtId="177" fontId="10459" fillId="0" borderId="0" xfId="0" applyNumberFormat="true" applyFill="true" applyBorder="true" applyFont="true"/>
    <xf numFmtId="175" fontId="10460" fillId="0" borderId="0" xfId="0" applyNumberFormat="true" applyFill="true" applyBorder="true" applyFont="true"/>
    <xf numFmtId="175" fontId="10461" fillId="0" borderId="0" xfId="0" applyNumberFormat="true" applyFill="true" applyBorder="true" applyFont="true"/>
    <xf xmlns:main="http://schemas.openxmlformats.org/spreadsheetml/2006/main" numFmtId="0" fontId="1046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463" fillId="0" borderId="0" xfId="0" applyAlignment="1" applyFill="true" applyBorder="true" applyNumberFormat="true" applyFont="true">
      <main:alignment horizontal="right"/>
    </xf>
    <xf numFmtId="176" fontId="10464" fillId="0" borderId="0" xfId="0" applyNumberFormat="true" applyFill="true" applyBorder="true" applyFont="true"/>
    <xf numFmtId="177" fontId="10465" fillId="0" borderId="0" xfId="0" applyNumberFormat="true" applyFill="true" applyBorder="true" applyFont="true"/>
    <xf numFmtId="177" fontId="10466" fillId="0" borderId="0" xfId="0" applyNumberFormat="true" applyFill="true" applyBorder="true" applyFont="true"/>
    <xf numFmtId="177" fontId="10467" fillId="0" borderId="0" xfId="0" applyNumberFormat="true" applyFill="true" applyBorder="true" applyFont="true"/>
    <xf numFmtId="175" fontId="10468" fillId="0" borderId="0" xfId="0" applyNumberFormat="true" applyFill="true" applyBorder="true" applyFont="true"/>
    <xf xmlns:main="http://schemas.openxmlformats.org/spreadsheetml/2006/main" numFmtId="0" fontId="10469" fillId="0" borderId="0" xfId="0" applyAlignment="1" applyFill="true" applyBorder="true" applyNumberFormat="true" applyFont="true">
      <main:alignment horizontal="right"/>
    </xf>
    <xf numFmtId="175" fontId="10470" fillId="0" borderId="0" xfId="0" applyNumberFormat="true" applyFill="true" applyBorder="true" applyFont="true"/>
    <xf xmlns:main="http://schemas.openxmlformats.org/spreadsheetml/2006/main" numFmtId="0" fontId="10471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472" fillId="0" borderId="0" xfId="0" applyAlignment="1" applyFill="true" applyBorder="true" applyNumberFormat="true" applyFont="true">
      <main:alignment horizontal="right"/>
    </xf>
    <xf numFmtId="176" fontId="10473" fillId="0" borderId="0" xfId="0" applyNumberFormat="true" applyFill="true" applyBorder="true" applyFont="true"/>
    <xf numFmtId="177" fontId="10474" fillId="0" borderId="0" xfId="0" applyNumberFormat="true" applyFill="true" applyBorder="true" applyFont="true"/>
    <xf numFmtId="177" fontId="10475" fillId="0" borderId="0" xfId="0" applyNumberFormat="true" applyFill="true" applyBorder="true" applyFont="true"/>
    <xf numFmtId="177" fontId="10476" fillId="0" borderId="0" xfId="0" applyNumberFormat="true" applyFill="true" applyBorder="true" applyFont="true"/>
    <xf numFmtId="175" fontId="10477" fillId="0" borderId="0" xfId="0" applyNumberFormat="true" applyFill="true" applyBorder="true" applyFont="true"/>
    <xf xmlns:main="http://schemas.openxmlformats.org/spreadsheetml/2006/main" numFmtId="0" fontId="1047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479" fillId="0" borderId="0" xfId="0" applyAlignment="1" applyFill="true" applyBorder="true" applyNumberFormat="true" applyFont="true">
      <main:alignment horizontal="right"/>
    </xf>
    <xf numFmtId="0" fontId="10480" fillId="0" borderId="0" xfId="0" applyFont="true" applyFill="true" applyBorder="true" applyNumberFormat="true"/>
    <xf numFmtId="0" fontId="10481" fillId="0" borderId="0" xfId="0" applyFont="true" applyFill="true" applyBorder="true" applyNumberFormat="true"/>
    <xf numFmtId="0" fontId="10482" fillId="37" borderId="0" xfId="0" applyFont="true" applyFill="true" applyBorder="true" applyNumberFormat="true"/>
    <xf numFmtId="0" fontId="10483" fillId="37" borderId="0" xfId="0" applyFont="true" applyFill="true" applyBorder="true" applyNumberFormat="true"/>
    <xf numFmtId="0" fontId="10484" fillId="37" borderId="0" xfId="0" applyFont="true" applyFill="true" applyBorder="true" applyNumberFormat="true"/>
    <xf numFmtId="0" fontId="10485" fillId="37" borderId="0" xfId="0" applyFont="true" applyFill="true" applyBorder="true" applyNumberFormat="true"/>
    <xf numFmtId="0" fontId="10486" fillId="37" borderId="0" xfId="0" applyFont="true" applyFill="true" applyBorder="true" applyNumberFormat="true"/>
    <xf numFmtId="0" fontId="10487" fillId="37" borderId="0" xfId="0" applyFont="true" applyFill="true" applyBorder="true" applyNumberFormat="true"/>
    <xf numFmtId="0" fontId="10488" fillId="37" borderId="0" xfId="0" applyFont="true" applyFill="true" applyBorder="true" applyNumberFormat="true"/>
    <xf numFmtId="0" fontId="10489" fillId="37" borderId="0" xfId="0" applyFont="true" applyFill="true" applyBorder="true" applyNumberFormat="true"/>
    <xf numFmtId="0" fontId="10490" fillId="37" borderId="0" xfId="0" applyFont="true" applyFill="true" applyBorder="true" applyNumberFormat="true"/>
    <xf numFmtId="0" fontId="10491" fillId="37" borderId="0" xfId="0" applyFont="true" applyFill="true" applyBorder="true" applyNumberFormat="true"/>
    <xf numFmtId="175" fontId="10492" fillId="0" borderId="0" xfId="0" applyNumberFormat="true" applyFill="true" applyBorder="true" applyFont="true"/>
    <xf xmlns:main="http://schemas.openxmlformats.org/spreadsheetml/2006/main" numFmtId="0" fontId="10493" fillId="0" borderId="0" xfId="0" applyAlignment="1" applyFill="true" applyBorder="true" applyNumberFormat="true" applyFont="true">
      <main:alignment horizontal="right"/>
    </xf>
    <xf numFmtId="176" fontId="10494" fillId="0" borderId="0" xfId="0" applyNumberFormat="true" applyFill="true" applyBorder="true" applyFont="true"/>
    <xf numFmtId="177" fontId="10495" fillId="0" borderId="0" xfId="0" applyNumberFormat="true" applyFill="true" applyBorder="true" applyFont="true"/>
    <xf numFmtId="177" fontId="10496" fillId="0" borderId="0" xfId="0" applyNumberFormat="true" applyFill="true" applyBorder="true" applyFont="true"/>
    <xf numFmtId="177" fontId="10497" fillId="0" borderId="0" xfId="0" applyNumberFormat="true" applyFill="true" applyBorder="true" applyFont="true"/>
    <xf numFmtId="175" fontId="10498" fillId="0" borderId="0" xfId="0" applyNumberFormat="true" applyFill="true" applyBorder="true" applyFont="true"/>
    <xf numFmtId="175" fontId="10499" fillId="0" borderId="0" xfId="0" applyNumberFormat="true" applyFill="true" applyBorder="true" applyFont="true"/>
    <xf xmlns:main="http://schemas.openxmlformats.org/spreadsheetml/2006/main" numFmtId="0" fontId="10500" fillId="0" borderId="0" xfId="0" applyAlignment="1" applyFill="true" applyBorder="true" applyNumberFormat="true" applyFont="true">
      <main:alignment horizontal="right"/>
    </xf>
    <xf numFmtId="176" fontId="10501" fillId="0" borderId="0" xfId="0" applyNumberFormat="true" applyFill="true" applyBorder="true" applyFont="true"/>
    <xf numFmtId="177" fontId="10502" fillId="0" borderId="0" xfId="0" applyNumberFormat="true" applyFill="true" applyBorder="true" applyFont="true"/>
    <xf numFmtId="177" fontId="10503" fillId="0" borderId="0" xfId="0" applyNumberFormat="true" applyFill="true" applyBorder="true" applyFont="true"/>
    <xf numFmtId="177" fontId="10504" fillId="0" borderId="0" xfId="0" applyNumberFormat="true" applyFill="true" applyBorder="true" applyFont="true"/>
    <xf numFmtId="175" fontId="10505" fillId="0" borderId="0" xfId="0" applyNumberFormat="true" applyFill="true" applyBorder="true" applyFont="true"/>
    <xf numFmtId="175" fontId="10506" fillId="0" borderId="0" xfId="0" applyNumberFormat="true" applyFill="true" applyBorder="true" applyFont="true"/>
    <xf xmlns:main="http://schemas.openxmlformats.org/spreadsheetml/2006/main" numFmtId="0" fontId="10507" fillId="0" borderId="0" xfId="0" applyAlignment="1" applyFill="true" applyBorder="true" applyNumberFormat="true" applyFont="true">
      <main:alignment horizontal="right"/>
    </xf>
    <xf numFmtId="176" fontId="10508" fillId="0" borderId="0" xfId="0" applyNumberFormat="true" applyFill="true" applyBorder="true" applyFont="true"/>
    <xf numFmtId="177" fontId="10509" fillId="0" borderId="0" xfId="0" applyNumberFormat="true" applyFill="true" applyBorder="true" applyFont="true"/>
    <xf numFmtId="177" fontId="10510" fillId="0" borderId="0" xfId="0" applyNumberFormat="true" applyFill="true" applyBorder="true" applyFont="true"/>
    <xf numFmtId="177" fontId="10511" fillId="0" borderId="0" xfId="0" applyNumberFormat="true" applyFill="true" applyBorder="true" applyFont="true"/>
    <xf numFmtId="175" fontId="10512" fillId="0" borderId="0" xfId="0" applyNumberFormat="true" applyFill="true" applyBorder="true" applyFont="true"/>
    <xf numFmtId="175" fontId="10513" fillId="0" borderId="0" xfId="0" applyNumberFormat="true" applyFill="true" applyBorder="true" applyFont="true"/>
    <xf xmlns:main="http://schemas.openxmlformats.org/spreadsheetml/2006/main" numFmtId="0" fontId="10514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15" fillId="0" borderId="0" xfId="0" applyAlignment="1" applyFill="true" applyBorder="true" applyNumberFormat="true" applyFont="true">
      <main:alignment horizontal="right"/>
    </xf>
    <xf numFmtId="176" fontId="10516" fillId="0" borderId="0" xfId="0" applyNumberFormat="true" applyFill="true" applyBorder="true" applyFont="true"/>
    <xf numFmtId="177" fontId="10517" fillId="0" borderId="0" xfId="0" applyNumberFormat="true" applyFill="true" applyBorder="true" applyFont="true"/>
    <xf numFmtId="177" fontId="10518" fillId="0" borderId="0" xfId="0" applyNumberFormat="true" applyFill="true" applyBorder="true" applyFont="true"/>
    <xf numFmtId="177" fontId="10519" fillId="0" borderId="0" xfId="0" applyNumberFormat="true" applyFill="true" applyBorder="true" applyFont="true"/>
    <xf numFmtId="175" fontId="10520" fillId="0" borderId="0" xfId="0" applyNumberFormat="true" applyFill="true" applyBorder="true" applyFont="true"/>
    <xf xmlns:main="http://schemas.openxmlformats.org/spreadsheetml/2006/main" numFmtId="0" fontId="10521" fillId="0" borderId="0" xfId="0" applyAlignment="1" applyFill="true" applyBorder="true" applyNumberFormat="true" applyFont="true">
      <main:alignment horizontal="right"/>
    </xf>
    <xf numFmtId="175" fontId="10522" fillId="0" borderId="0" xfId="0" applyNumberFormat="true" applyFill="true" applyBorder="true" applyFont="true"/>
    <xf xmlns:main="http://schemas.openxmlformats.org/spreadsheetml/2006/main" numFmtId="0" fontId="10523" fillId="0" borderId="0" xfId="0" applyAlignment="1" applyFill="true" applyBorder="true" applyNumberFormat="true" applyFont="true">
      <main:alignment horizontal="right"/>
    </xf>
    <xf numFmtId="176" fontId="10524" fillId="0" borderId="0" xfId="0" applyNumberFormat="true" applyFill="true" applyBorder="true" applyFont="true"/>
    <xf numFmtId="177" fontId="10525" fillId="0" borderId="0" xfId="0" applyNumberFormat="true" applyFill="true" applyBorder="true" applyFont="true"/>
    <xf numFmtId="177" fontId="10526" fillId="0" borderId="0" xfId="0" applyNumberFormat="true" applyFill="true" applyBorder="true" applyFont="true"/>
    <xf numFmtId="177" fontId="10527" fillId="0" borderId="0" xfId="0" applyNumberFormat="true" applyFill="true" applyBorder="true" applyFont="true"/>
    <xf numFmtId="175" fontId="10528" fillId="0" borderId="0" xfId="0" applyNumberFormat="true" applyFill="true" applyBorder="true" applyFont="true"/>
    <xf numFmtId="175" fontId="10529" fillId="0" borderId="0" xfId="0" applyNumberFormat="true" applyFill="true" applyBorder="true" applyFont="true"/>
    <xf xmlns:main="http://schemas.openxmlformats.org/spreadsheetml/2006/main" numFmtId="0" fontId="1053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31" fillId="0" borderId="0" xfId="0" applyAlignment="1" applyFill="true" applyBorder="true" applyNumberFormat="true" applyFont="true">
      <main:alignment horizontal="right"/>
    </xf>
    <xf numFmtId="176" fontId="10532" fillId="0" borderId="0" xfId="0" applyNumberFormat="true" applyFill="true" applyBorder="true" applyFont="true"/>
    <xf numFmtId="177" fontId="10533" fillId="0" borderId="0" xfId="0" applyNumberFormat="true" applyFill="true" applyBorder="true" applyFont="true"/>
    <xf numFmtId="177" fontId="10534" fillId="0" borderId="0" xfId="0" applyNumberFormat="true" applyFill="true" applyBorder="true" applyFont="true"/>
    <xf numFmtId="177" fontId="10535" fillId="0" borderId="0" xfId="0" applyNumberFormat="true" applyFill="true" applyBorder="true" applyFont="true"/>
    <xf numFmtId="175" fontId="10536" fillId="0" borderId="0" xfId="0" applyNumberFormat="true" applyFill="true" applyBorder="true" applyFont="true"/>
    <xf xmlns:main="http://schemas.openxmlformats.org/spreadsheetml/2006/main" numFmtId="0" fontId="10537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38" fillId="0" borderId="0" xfId="0" applyAlignment="1" applyFill="true" applyBorder="true" applyNumberFormat="true" applyFont="true">
      <main:alignment horizontal="right"/>
    </xf>
    <xf numFmtId="175" fontId="10539" fillId="0" borderId="0" xfId="0" applyNumberFormat="true" applyFill="true" applyBorder="true" applyFont="true"/>
    <xf xmlns:main="http://schemas.openxmlformats.org/spreadsheetml/2006/main" numFmtId="0" fontId="10540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41" fillId="0" borderId="0" xfId="0" applyAlignment="1" applyFill="true" applyBorder="true" applyNumberFormat="true" applyFont="true">
      <main:alignment horizontal="right"/>
    </xf>
    <xf numFmtId="176" fontId="10542" fillId="0" borderId="0" xfId="0" applyNumberFormat="true" applyFill="true" applyBorder="true" applyFont="true"/>
    <xf numFmtId="177" fontId="10543" fillId="0" borderId="0" xfId="0" applyNumberFormat="true" applyFill="true" applyBorder="true" applyFont="true"/>
    <xf numFmtId="177" fontId="10544" fillId="0" borderId="0" xfId="0" applyNumberFormat="true" applyFill="true" applyBorder="true" applyFont="true"/>
    <xf numFmtId="177" fontId="10545" fillId="0" borderId="0" xfId="0" applyNumberFormat="true" applyFill="true" applyBorder="true" applyFont="true"/>
    <xf numFmtId="175" fontId="10546" fillId="0" borderId="0" xfId="0" applyNumberFormat="true" applyFill="true" applyBorder="true" applyFont="true"/>
    <xf xmlns:main="http://schemas.openxmlformats.org/spreadsheetml/2006/main" numFmtId="0" fontId="10547" fillId="0" borderId="0" xfId="0" applyAlignment="1" applyFill="true" applyBorder="true" applyNumberFormat="true" applyFont="true">
      <main:alignment horizontal="right"/>
    </xf>
    <xf numFmtId="175" fontId="10548" fillId="0" borderId="0" xfId="0" applyNumberFormat="true" applyFill="true" applyBorder="true" applyFont="true"/>
    <xf xmlns:main="http://schemas.openxmlformats.org/spreadsheetml/2006/main" numFmtId="0" fontId="1054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50" fillId="0" borderId="0" xfId="0" applyAlignment="1" applyFill="true" applyBorder="true" applyNumberFormat="true" applyFont="true">
      <main:alignment horizontal="right"/>
    </xf>
    <xf numFmtId="176" fontId="10551" fillId="0" borderId="0" xfId="0" applyNumberFormat="true" applyFill="true" applyBorder="true" applyFont="true"/>
    <xf numFmtId="177" fontId="10552" fillId="0" borderId="0" xfId="0" applyNumberFormat="true" applyFill="true" applyBorder="true" applyFont="true"/>
    <xf numFmtId="177" fontId="10553" fillId="0" borderId="0" xfId="0" applyNumberFormat="true" applyFill="true" applyBorder="true" applyFont="true"/>
    <xf numFmtId="177" fontId="10554" fillId="0" borderId="0" xfId="0" applyNumberFormat="true" applyFill="true" applyBorder="true" applyFont="true"/>
    <xf numFmtId="175" fontId="10555" fillId="0" borderId="0" xfId="0" applyNumberFormat="true" applyFill="true" applyBorder="true" applyFont="true"/>
    <xf xmlns:main="http://schemas.openxmlformats.org/spreadsheetml/2006/main" numFmtId="0" fontId="10556" fillId="0" borderId="0" xfId="0" applyAlignment="1" applyFill="true" applyBorder="true" applyNumberFormat="true" applyFont="true">
      <main:alignment horizontal="right"/>
    </xf>
    <xf numFmtId="175" fontId="10557" fillId="0" borderId="0" xfId="0" applyNumberFormat="true" applyFill="true" applyBorder="true" applyFont="true"/>
    <xf xmlns:main="http://schemas.openxmlformats.org/spreadsheetml/2006/main" numFmtId="0" fontId="1055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59" fillId="0" borderId="0" xfId="0" applyAlignment="1" applyFill="true" applyBorder="true" applyNumberFormat="true" applyFont="true">
      <main:alignment horizontal="right"/>
    </xf>
    <xf numFmtId="176" fontId="10560" fillId="0" borderId="0" xfId="0" applyNumberFormat="true" applyFill="true" applyBorder="true" applyFont="true"/>
    <xf numFmtId="177" fontId="10561" fillId="0" borderId="0" xfId="0" applyNumberFormat="true" applyFill="true" applyBorder="true" applyFont="true"/>
    <xf numFmtId="177" fontId="10562" fillId="0" borderId="0" xfId="0" applyNumberFormat="true" applyFill="true" applyBorder="true" applyFont="true"/>
    <xf numFmtId="177" fontId="10563" fillId="0" borderId="0" xfId="0" applyNumberFormat="true" applyFill="true" applyBorder="true" applyFont="true"/>
    <xf numFmtId="175" fontId="10564" fillId="0" borderId="0" xfId="0" applyNumberFormat="true" applyFill="true" applyBorder="true" applyFont="true"/>
    <xf xmlns:main="http://schemas.openxmlformats.org/spreadsheetml/2006/main" numFmtId="0" fontId="1056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66" fillId="0" borderId="0" xfId="0" applyAlignment="1" applyFill="true" applyBorder="true" applyNumberFormat="true" applyFont="true">
      <main:alignment horizontal="right"/>
    </xf>
    <xf numFmtId="175" fontId="10567" fillId="0" borderId="0" xfId="0" applyNumberFormat="true" applyFill="true" applyBorder="true" applyFont="true"/>
    <xf xmlns:main="http://schemas.openxmlformats.org/spreadsheetml/2006/main" numFmtId="0" fontId="10568" fillId="0" borderId="0" xfId="0" applyAlignment="1" applyFill="true" applyBorder="true" applyNumberFormat="true" applyFont="true">
      <main:alignment horizontal="right"/>
    </xf>
    <xf numFmtId="176" fontId="10569" fillId="0" borderId="0" xfId="0" applyNumberFormat="true" applyFill="true" applyBorder="true" applyFont="true"/>
    <xf numFmtId="177" fontId="10570" fillId="0" borderId="0" xfId="0" applyNumberFormat="true" applyFill="true" applyBorder="true" applyFont="true"/>
    <xf numFmtId="177" fontId="10571" fillId="0" borderId="0" xfId="0" applyNumberFormat="true" applyFill="true" applyBorder="true" applyFont="true"/>
    <xf numFmtId="177" fontId="10572" fillId="0" borderId="0" xfId="0" applyNumberFormat="true" applyFill="true" applyBorder="true" applyFont="true"/>
    <xf numFmtId="175" fontId="10573" fillId="0" borderId="0" xfId="0" applyNumberFormat="true" applyFill="true" applyBorder="true" applyFont="true"/>
    <xf numFmtId="175" fontId="10574" fillId="0" borderId="0" xfId="0" applyNumberFormat="true" applyFill="true" applyBorder="true" applyFont="true"/>
    <xf xmlns:main="http://schemas.openxmlformats.org/spreadsheetml/2006/main" numFmtId="0" fontId="1057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576" fillId="0" borderId="0" xfId="0" applyAlignment="1" applyFill="true" applyBorder="true" applyNumberFormat="true" applyFont="true">
      <main:alignment horizontal="right"/>
    </xf>
    <xf numFmtId="176" fontId="10577" fillId="0" borderId="0" xfId="0" applyNumberFormat="true" applyFill="true" applyBorder="true" applyFont="true"/>
    <xf numFmtId="177" fontId="10578" fillId="0" borderId="0" xfId="0" applyNumberFormat="true" applyFill="true" applyBorder="true" applyFont="true"/>
    <xf numFmtId="177" fontId="10579" fillId="0" borderId="0" xfId="0" applyNumberFormat="true" applyFill="true" applyBorder="true" applyFont="true"/>
    <xf numFmtId="177" fontId="10580" fillId="0" borderId="0" xfId="0" applyNumberFormat="true" applyFill="true" applyBorder="true" applyFont="true"/>
    <xf numFmtId="175" fontId="10581" fillId="0" borderId="0" xfId="0" applyNumberFormat="true" applyFill="true" applyBorder="true" applyFont="true"/>
    <xf xmlns:main="http://schemas.openxmlformats.org/spreadsheetml/2006/main" numFmtId="0" fontId="10582" fillId="0" borderId="0" xfId="0" applyAlignment="1" applyFill="true" applyBorder="true" applyNumberFormat="true" applyFont="true">
      <main:alignment horizontal="right"/>
    </xf>
    <xf numFmtId="175" fontId="10583" fillId="0" borderId="0" xfId="0" applyNumberFormat="true" applyFill="true" applyBorder="true" applyFont="true"/>
    <xf xmlns:main="http://schemas.openxmlformats.org/spreadsheetml/2006/main" numFmtId="0" fontId="10584" fillId="0" borderId="0" xfId="0" applyAlignment="1" applyFill="true" applyBorder="true" applyNumberFormat="true" applyFont="true">
      <main:alignment horizontal="right"/>
    </xf>
    <xf numFmtId="176" fontId="10585" fillId="0" borderId="0" xfId="0" applyNumberFormat="true" applyFill="true" applyBorder="true" applyFont="true"/>
    <xf numFmtId="177" fontId="10586" fillId="0" borderId="0" xfId="0" applyNumberFormat="true" applyFill="true" applyBorder="true" applyFont="true"/>
    <xf numFmtId="177" fontId="10587" fillId="0" borderId="0" xfId="0" applyNumberFormat="true" applyFill="true" applyBorder="true" applyFont="true"/>
    <xf numFmtId="177" fontId="10588" fillId="0" borderId="0" xfId="0" applyNumberFormat="true" applyFill="true" applyBorder="true" applyFont="true"/>
    <xf numFmtId="175" fontId="10589" fillId="0" borderId="0" xfId="0" applyNumberFormat="true" applyFill="true" applyBorder="true" applyFont="true"/>
    <xf numFmtId="175" fontId="10590" fillId="0" borderId="0" xfId="0" applyNumberFormat="true" applyFill="true" applyBorder="true" applyFont="true"/>
    <xf xmlns:main="http://schemas.openxmlformats.org/spreadsheetml/2006/main" numFmtId="0" fontId="10591" fillId="0" borderId="0" xfId="0" applyAlignment="1" applyFill="true" applyBorder="true" applyNumberFormat="true" applyFont="true">
      <main:alignment horizontal="right"/>
    </xf>
    <xf numFmtId="176" fontId="10592" fillId="0" borderId="0" xfId="0" applyNumberFormat="true" applyFill="true" applyBorder="true" applyFont="true"/>
    <xf numFmtId="177" fontId="10593" fillId="0" borderId="0" xfId="0" applyNumberFormat="true" applyFill="true" applyBorder="true" applyFont="true"/>
    <xf numFmtId="177" fontId="10594" fillId="0" borderId="0" xfId="0" applyNumberFormat="true" applyFill="true" applyBorder="true" applyFont="true"/>
    <xf numFmtId="177" fontId="10595" fillId="0" borderId="0" xfId="0" applyNumberFormat="true" applyFill="true" applyBorder="true" applyFont="true"/>
    <xf numFmtId="175" fontId="10596" fillId="0" borderId="0" xfId="0" applyNumberFormat="true" applyFill="true" applyBorder="true" applyFont="true"/>
    <xf numFmtId="175" fontId="10597" fillId="0" borderId="0" xfId="0" applyNumberFormat="true" applyFill="true" applyBorder="true" applyFont="true"/>
    <xf xmlns:main="http://schemas.openxmlformats.org/spreadsheetml/2006/main" numFmtId="0" fontId="10598" fillId="0" borderId="0" xfId="0" applyAlignment="1" applyFill="true" applyBorder="true" applyNumberFormat="true" applyFont="true">
      <main:alignment horizontal="right"/>
    </xf>
    <xf numFmtId="176" fontId="10599" fillId="0" borderId="0" xfId="0" applyNumberFormat="true" applyFill="true" applyBorder="true" applyFont="true"/>
    <xf numFmtId="177" fontId="10600" fillId="0" borderId="0" xfId="0" applyNumberFormat="true" applyFill="true" applyBorder="true" applyFont="true"/>
    <xf numFmtId="177" fontId="10601" fillId="0" borderId="0" xfId="0" applyNumberFormat="true" applyFill="true" applyBorder="true" applyFont="true"/>
    <xf numFmtId="177" fontId="10602" fillId="0" borderId="0" xfId="0" applyNumberFormat="true" applyFill="true" applyBorder="true" applyFont="true"/>
    <xf numFmtId="175" fontId="10603" fillId="0" borderId="0" xfId="0" applyNumberFormat="true" applyFill="true" applyBorder="true" applyFont="true"/>
    <xf numFmtId="175" fontId="10604" fillId="0" borderId="0" xfId="0" applyNumberFormat="true" applyFill="true" applyBorder="true" applyFont="true"/>
    <xf xmlns:main="http://schemas.openxmlformats.org/spreadsheetml/2006/main" numFmtId="0" fontId="10605" fillId="0" borderId="0" xfId="0" applyAlignment="1" applyFill="true" applyBorder="true" applyNumberFormat="true" applyFont="true">
      <main:alignment horizontal="right"/>
    </xf>
    <xf numFmtId="176" fontId="10606" fillId="0" borderId="0" xfId="0" applyNumberFormat="true" applyFill="true" applyBorder="true" applyFont="true"/>
    <xf numFmtId="177" fontId="10607" fillId="0" borderId="0" xfId="0" applyNumberFormat="true" applyFill="true" applyBorder="true" applyFont="true"/>
    <xf numFmtId="177" fontId="10608" fillId="0" borderId="0" xfId="0" applyNumberFormat="true" applyFill="true" applyBorder="true" applyFont="true"/>
    <xf numFmtId="177" fontId="10609" fillId="0" borderId="0" xfId="0" applyNumberFormat="true" applyFill="true" applyBorder="true" applyFont="true"/>
    <xf numFmtId="175" fontId="10610" fillId="0" borderId="0" xfId="0" applyNumberFormat="true" applyFill="true" applyBorder="true" applyFont="true"/>
    <xf numFmtId="175" fontId="10611" fillId="0" borderId="0" xfId="0" applyNumberFormat="true" applyFill="true" applyBorder="true" applyFont="true"/>
    <xf xmlns:main="http://schemas.openxmlformats.org/spreadsheetml/2006/main" numFmtId="0" fontId="1061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13" fillId="0" borderId="0" xfId="0" applyAlignment="1" applyFill="true" applyBorder="true" applyNumberFormat="true" applyFont="true">
      <main:alignment horizontal="right"/>
    </xf>
    <xf numFmtId="176" fontId="10614" fillId="0" borderId="0" xfId="0" applyNumberFormat="true" applyFill="true" applyBorder="true" applyFont="true"/>
    <xf numFmtId="177" fontId="10615" fillId="0" borderId="0" xfId="0" applyNumberFormat="true" applyFill="true" applyBorder="true" applyFont="true"/>
    <xf numFmtId="177" fontId="10616" fillId="0" borderId="0" xfId="0" applyNumberFormat="true" applyFill="true" applyBorder="true" applyFont="true"/>
    <xf numFmtId="177" fontId="10617" fillId="0" borderId="0" xfId="0" applyNumberFormat="true" applyFill="true" applyBorder="true" applyFont="true"/>
    <xf numFmtId="175" fontId="10618" fillId="0" borderId="0" xfId="0" applyNumberFormat="true" applyFill="true" applyBorder="true" applyFont="true"/>
    <xf xmlns:main="http://schemas.openxmlformats.org/spreadsheetml/2006/main" numFmtId="0" fontId="1061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20" fillId="0" borderId="0" xfId="0" applyAlignment="1" applyFill="true" applyBorder="true" applyNumberFormat="true" applyFont="true">
      <main:alignment horizontal="right"/>
    </xf>
    <xf numFmtId="175" fontId="10621" fillId="0" borderId="0" xfId="0" applyNumberFormat="true" applyFill="true" applyBorder="true" applyFont="true"/>
    <xf xmlns:main="http://schemas.openxmlformats.org/spreadsheetml/2006/main" numFmtId="0" fontId="1062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23" fillId="0" borderId="0" xfId="0" applyAlignment="1" applyFill="true" applyBorder="true" applyNumberFormat="true" applyFont="true">
      <main:alignment horizontal="right"/>
    </xf>
    <xf numFmtId="176" fontId="10624" fillId="0" borderId="0" xfId="0" applyNumberFormat="true" applyFill="true" applyBorder="true" applyFont="true"/>
    <xf numFmtId="177" fontId="10625" fillId="0" borderId="0" xfId="0" applyNumberFormat="true" applyFill="true" applyBorder="true" applyFont="true"/>
    <xf numFmtId="177" fontId="10626" fillId="0" borderId="0" xfId="0" applyNumberFormat="true" applyFill="true" applyBorder="true" applyFont="true"/>
    <xf numFmtId="177" fontId="10627" fillId="0" borderId="0" xfId="0" applyNumberFormat="true" applyFill="true" applyBorder="true" applyFont="true"/>
    <xf numFmtId="175" fontId="10628" fillId="0" borderId="0" xfId="0" applyNumberFormat="true" applyFill="true" applyBorder="true" applyFont="true"/>
    <xf xmlns:main="http://schemas.openxmlformats.org/spreadsheetml/2006/main" numFmtId="0" fontId="10629" fillId="0" borderId="0" xfId="0" applyAlignment="1" applyFill="true" applyBorder="true" applyNumberFormat="true" applyFont="true">
      <main:alignment horizontal="right"/>
    </xf>
    <xf numFmtId="175" fontId="10630" fillId="0" borderId="0" xfId="0" applyNumberFormat="true" applyFill="true" applyBorder="true" applyFont="true"/>
    <xf xmlns:main="http://schemas.openxmlformats.org/spreadsheetml/2006/main" numFmtId="0" fontId="10631" fillId="0" borderId="0" xfId="0" applyAlignment="1" applyFill="true" applyBorder="true" applyNumberFormat="true" applyFont="true">
      <main:alignment horizontal="right"/>
    </xf>
    <xf numFmtId="176" fontId="10632" fillId="0" borderId="0" xfId="0" applyNumberFormat="true" applyFill="true" applyBorder="true" applyFont="true"/>
    <xf numFmtId="177" fontId="10633" fillId="0" borderId="0" xfId="0" applyNumberFormat="true" applyFill="true" applyBorder="true" applyFont="true"/>
    <xf numFmtId="177" fontId="10634" fillId="0" borderId="0" xfId="0" applyNumberFormat="true" applyFill="true" applyBorder="true" applyFont="true"/>
    <xf numFmtId="177" fontId="10635" fillId="0" borderId="0" xfId="0" applyNumberFormat="true" applyFill="true" applyBorder="true" applyFont="true"/>
    <xf numFmtId="175" fontId="10636" fillId="0" borderId="0" xfId="0" applyNumberFormat="true" applyFill="true" applyBorder="true" applyFont="true"/>
    <xf numFmtId="175" fontId="10637" fillId="0" borderId="0" xfId="0" applyNumberFormat="true" applyFill="true" applyBorder="true" applyFont="true"/>
    <xf xmlns:main="http://schemas.openxmlformats.org/spreadsheetml/2006/main" numFmtId="0" fontId="10638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39" fillId="0" borderId="0" xfId="0" applyAlignment="1" applyFill="true" applyBorder="true" applyNumberFormat="true" applyFont="true">
      <main:alignment horizontal="right"/>
    </xf>
    <xf numFmtId="176" fontId="10640" fillId="0" borderId="0" xfId="0" applyNumberFormat="true" applyFill="true" applyBorder="true" applyFont="true"/>
    <xf numFmtId="177" fontId="10641" fillId="0" borderId="0" xfId="0" applyNumberFormat="true" applyFill="true" applyBorder="true" applyFont="true"/>
    <xf numFmtId="177" fontId="10642" fillId="0" borderId="0" xfId="0" applyNumberFormat="true" applyFill="true" applyBorder="true" applyFont="true"/>
    <xf numFmtId="177" fontId="10643" fillId="0" borderId="0" xfId="0" applyNumberFormat="true" applyFill="true" applyBorder="true" applyFont="true"/>
    <xf numFmtId="175" fontId="10644" fillId="0" borderId="0" xfId="0" applyNumberFormat="true" applyFill="true" applyBorder="true" applyFont="true"/>
    <xf xmlns:main="http://schemas.openxmlformats.org/spreadsheetml/2006/main" numFmtId="0" fontId="10645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46" fillId="0" borderId="0" xfId="0" applyAlignment="1" applyFill="true" applyBorder="true" applyNumberFormat="true" applyFont="true">
      <main:alignment horizontal="right"/>
    </xf>
    <xf numFmtId="175" fontId="10647" fillId="0" borderId="0" xfId="0" applyNumberFormat="true" applyFill="true" applyBorder="true" applyFont="true"/>
    <xf xmlns:main="http://schemas.openxmlformats.org/spreadsheetml/2006/main" numFmtId="0" fontId="10648" fillId="0" borderId="0" xfId="0" applyAlignment="1" applyFill="true" applyBorder="true" applyNumberFormat="true" applyFont="true">
      <main:alignment horizontal="right"/>
    </xf>
    <xf numFmtId="176" fontId="10649" fillId="0" borderId="0" xfId="0" applyNumberFormat="true" applyFill="true" applyBorder="true" applyFont="true"/>
    <xf numFmtId="177" fontId="10650" fillId="0" borderId="0" xfId="0" applyNumberFormat="true" applyFill="true" applyBorder="true" applyFont="true"/>
    <xf numFmtId="177" fontId="10651" fillId="0" borderId="0" xfId="0" applyNumberFormat="true" applyFill="true" applyBorder="true" applyFont="true"/>
    <xf numFmtId="177" fontId="10652" fillId="0" borderId="0" xfId="0" applyNumberFormat="true" applyFill="true" applyBorder="true" applyFont="true"/>
    <xf numFmtId="175" fontId="10653" fillId="0" borderId="0" xfId="0" applyNumberFormat="true" applyFill="true" applyBorder="true" applyFont="true"/>
    <xf numFmtId="175" fontId="10654" fillId="0" borderId="0" xfId="0" applyNumberFormat="true" applyFill="true" applyBorder="true" applyFont="true"/>
    <xf xmlns:main="http://schemas.openxmlformats.org/spreadsheetml/2006/main" numFmtId="0" fontId="10655" fillId="0" borderId="0" xfId="0" applyAlignment="1" applyFill="true" applyBorder="true" applyNumberFormat="true" applyFont="true">
      <main:alignment horizontal="right"/>
    </xf>
    <xf numFmtId="176" fontId="10656" fillId="0" borderId="0" xfId="0" applyNumberFormat="true" applyFill="true" applyBorder="true" applyFont="true"/>
    <xf numFmtId="177" fontId="10657" fillId="0" borderId="0" xfId="0" applyNumberFormat="true" applyFill="true" applyBorder="true" applyFont="true"/>
    <xf numFmtId="177" fontId="10658" fillId="0" borderId="0" xfId="0" applyNumberFormat="true" applyFill="true" applyBorder="true" applyFont="true"/>
    <xf numFmtId="177" fontId="10659" fillId="0" borderId="0" xfId="0" applyNumberFormat="true" applyFill="true" applyBorder="true" applyFont="true"/>
    <xf numFmtId="175" fontId="10660" fillId="0" borderId="0" xfId="0" applyNumberFormat="true" applyFill="true" applyBorder="true" applyFont="true"/>
    <xf numFmtId="175" fontId="10661" fillId="0" borderId="0" xfId="0" applyNumberFormat="true" applyFill="true" applyBorder="true" applyFont="true"/>
    <xf xmlns:main="http://schemas.openxmlformats.org/spreadsheetml/2006/main" numFmtId="0" fontId="1066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63" fillId="0" borderId="0" xfId="0" applyAlignment="1" applyFill="true" applyBorder="true" applyNumberFormat="true" applyFont="true">
      <main:alignment horizontal="right"/>
    </xf>
    <xf numFmtId="176" fontId="10664" fillId="0" borderId="0" xfId="0" applyNumberFormat="true" applyFill="true" applyBorder="true" applyFont="true"/>
    <xf numFmtId="177" fontId="10665" fillId="0" borderId="0" xfId="0" applyNumberFormat="true" applyFill="true" applyBorder="true" applyFont="true"/>
    <xf numFmtId="177" fontId="10666" fillId="0" borderId="0" xfId="0" applyNumberFormat="true" applyFill="true" applyBorder="true" applyFont="true"/>
    <xf numFmtId="177" fontId="10667" fillId="0" borderId="0" xfId="0" applyNumberFormat="true" applyFill="true" applyBorder="true" applyFont="true"/>
    <xf numFmtId="175" fontId="10668" fillId="0" borderId="0" xfId="0" applyNumberFormat="true" applyFill="true" applyBorder="true" applyFont="true"/>
    <xf xmlns:main="http://schemas.openxmlformats.org/spreadsheetml/2006/main" numFmtId="0" fontId="1066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70" fillId="0" borderId="0" xfId="0" applyAlignment="1" applyFill="true" applyBorder="true" applyNumberFormat="true" applyFont="true">
      <main:alignment horizontal="right"/>
    </xf>
    <xf numFmtId="175" fontId="10671" fillId="0" borderId="0" xfId="0" applyNumberFormat="true" applyFill="true" applyBorder="true" applyFont="true"/>
    <xf xmlns:main="http://schemas.openxmlformats.org/spreadsheetml/2006/main" numFmtId="0" fontId="1067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73" fillId="0" borderId="0" xfId="0" applyAlignment="1" applyFill="true" applyBorder="true" applyNumberFormat="true" applyFont="true">
      <main:alignment horizontal="right"/>
    </xf>
    <xf numFmtId="176" fontId="10674" fillId="0" borderId="0" xfId="0" applyNumberFormat="true" applyFill="true" applyBorder="true" applyFont="true"/>
    <xf numFmtId="177" fontId="10675" fillId="0" borderId="0" xfId="0" applyNumberFormat="true" applyFill="true" applyBorder="true" applyFont="true"/>
    <xf numFmtId="177" fontId="10676" fillId="0" borderId="0" xfId="0" applyNumberFormat="true" applyFill="true" applyBorder="true" applyFont="true"/>
    <xf numFmtId="177" fontId="10677" fillId="0" borderId="0" xfId="0" applyNumberFormat="true" applyFill="true" applyBorder="true" applyFont="true"/>
    <xf numFmtId="175" fontId="10678" fillId="0" borderId="0" xfId="0" applyNumberFormat="true" applyFill="true" applyBorder="true" applyFont="true"/>
    <xf xmlns:main="http://schemas.openxmlformats.org/spreadsheetml/2006/main" numFmtId="0" fontId="10679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80" fillId="0" borderId="0" xfId="0" applyAlignment="1" applyFill="true" applyBorder="true" applyNumberFormat="true" applyFont="true">
      <main:alignment horizontal="right"/>
    </xf>
    <xf numFmtId="175" fontId="10681" fillId="0" borderId="0" xfId="0" applyNumberFormat="true" applyFill="true" applyBorder="true" applyFont="true"/>
    <xf xmlns:main="http://schemas.openxmlformats.org/spreadsheetml/2006/main" numFmtId="0" fontId="10682" fillId="0" borderId="0" xfId="0" applyAlignment="1" applyFill="true" applyBorder="true" applyNumberFormat="true" applyFont="true">
      <main:alignment horizontal="right"/>
    </xf>
    <xf xmlns:main="http://schemas.openxmlformats.org/spreadsheetml/2006/main" numFmtId="0" fontId="10683" fillId="0" borderId="0" xfId="0" applyAlignment="1" applyFill="true" applyBorder="true" applyNumberFormat="true" applyFont="true">
      <main:alignment horizontal="right"/>
    </xf>
    <xf numFmtId="176" fontId="10684" fillId="0" borderId="0" xfId="0" applyNumberFormat="true" applyFill="true" applyBorder="true" applyFont="true"/>
    <xf numFmtId="177" fontId="10685" fillId="0" borderId="0" xfId="0" applyNumberFormat="true" applyFill="true" applyBorder="true" applyFont="true"/>
    <xf numFmtId="177" fontId="10686" fillId="0" borderId="0" xfId="0" applyNumberFormat="true" applyFill="true" applyBorder="true" applyFont="true"/>
    <xf numFmtId="177" fontId="10687" fillId="0" borderId="0" xfId="0" applyNumberFormat="true" applyFill="true" applyBorder="true" applyFont="true"/>
    <xf numFmtId="175" fontId="10688" fillId="0" borderId="0" xfId="0" applyNumberFormat="true" applyFill="true" applyBorder="true" applyFont="true"/>
    <xf xmlns:main="http://schemas.openxmlformats.org/spreadsheetml/2006/main" numFmtId="0" fontId="10689" fillId="0" borderId="0" xfId="0" applyAlignment="1" applyFill="true" applyBorder="true" applyNumberFormat="true" applyFont="true">
      <main:alignment horizontal="right"/>
    </xf>
    <xf numFmtId="175" fontId="10690" fillId="0" borderId="0" xfId="0" applyNumberFormat="true" applyFill="true" applyBorder="true" applyFont="true"/>
    <xf xmlns:main="http://schemas.openxmlformats.org/spreadsheetml/2006/main" numFmtId="0" fontId="10691" fillId="0" borderId="0" xfId="0" applyAlignment="1" applyFill="true" applyBorder="true" applyNumberFormat="true" applyFont="true">
      <main:alignment horizontal="right"/>
    </xf>
    <xf numFmtId="176" fontId="10692" fillId="0" borderId="0" xfId="0" applyNumberFormat="true" applyFill="true" applyBorder="true" applyFont="true"/>
    <xf numFmtId="177" fontId="10693" fillId="0" borderId="0" xfId="0" applyNumberFormat="true" applyFill="true" applyBorder="true" applyFont="true"/>
    <xf numFmtId="177" fontId="10694" fillId="0" borderId="0" xfId="0" applyNumberFormat="true" applyFill="true" applyBorder="true" applyFont="true"/>
    <xf numFmtId="177" fontId="10695" fillId="0" borderId="0" xfId="0" applyNumberFormat="true" applyFill="true" applyBorder="true" applyFont="true"/>
    <xf numFmtId="175" fontId="10696" fillId="0" borderId="0" xfId="0" applyNumberFormat="true" applyFill="true" applyBorder="true" applyFont="true"/>
    <xf numFmtId="175" fontId="10697" fillId="0" borderId="0" xfId="0" applyNumberFormat="true" applyFill="true" applyBorder="true" applyFont="true"/>
    <xf xmlns:main="http://schemas.openxmlformats.org/spreadsheetml/2006/main" numFmtId="0" fontId="10698" fillId="0" borderId="0" xfId="0" applyAlignment="1" applyFill="true" applyBorder="true" applyNumberFormat="true" applyFont="true">
      <main:alignment horizontal="right"/>
    </xf>
    <xf numFmtId="176" fontId="10699" fillId="0" borderId="0" xfId="0" applyNumberFormat="true" applyFill="true" applyBorder="true" applyFont="true"/>
    <xf numFmtId="177" fontId="10700" fillId="0" borderId="0" xfId="0" applyNumberFormat="true" applyFill="true" applyBorder="true" applyFont="true"/>
    <xf numFmtId="177" fontId="10701" fillId="0" borderId="0" xfId="0" applyNumberFormat="true" applyFill="true" applyBorder="true" applyFont="true"/>
    <xf numFmtId="177" fontId="10702" fillId="0" borderId="0" xfId="0" applyNumberFormat="true" applyFill="true" applyBorder="true" applyFont="true"/>
    <xf numFmtId="175" fontId="10703" fillId="0" borderId="0" xfId="0" applyNumberFormat="true" applyFill="true" applyBorder="true" applyFont="true"/>
    <xf numFmtId="175" fontId="10704" fillId="0" borderId="0" xfId="0" applyNumberFormat="true" applyFill="true" applyBorder="true" applyFont="true"/>
    <xf xmlns:main="http://schemas.openxmlformats.org/spreadsheetml/2006/main" numFmtId="0" fontId="10705" fillId="0" borderId="0" xfId="0" applyAlignment="1" applyFill="true" applyBorder="true" applyNumberFormat="true" applyFont="true">
      <main:alignment horizontal="right"/>
    </xf>
    <xf numFmtId="176" fontId="10706" fillId="0" borderId="0" xfId="0" applyNumberFormat="true" applyFill="true" applyBorder="true" applyFont="true"/>
    <xf numFmtId="177" fontId="10707" fillId="0" borderId="0" xfId="0" applyNumberFormat="true" applyFill="true" applyBorder="true" applyFont="true"/>
    <xf numFmtId="177" fontId="10708" fillId="0" borderId="0" xfId="0" applyNumberFormat="true" applyFill="true" applyBorder="true" applyFont="true"/>
    <xf numFmtId="177" fontId="10709" fillId="0" borderId="0" xfId="0" applyNumberFormat="true" applyFill="true" applyBorder="true" applyFont="true"/>
    <xf numFmtId="175" fontId="10710" fillId="0" borderId="0" xfId="0" applyNumberFormat="true" applyFill="true" applyBorder="true" applyFont="true"/>
    <xf numFmtId="175" fontId="10711" fillId="0" borderId="0" xfId="0" applyNumberFormat="true" applyFill="true" applyBorder="true" applyFont="true"/>
    <xf xmlns:main="http://schemas.openxmlformats.org/spreadsheetml/2006/main" numFmtId="0" fontId="10712" fillId="0" borderId="0" xfId="0" applyAlignment="1" applyFill="true" applyBorder="true" applyNumberFormat="true" applyFont="true">
      <main:alignment horizontal="right"/>
    </xf>
    <xf numFmtId="176" fontId="10713" fillId="0" borderId="0" xfId="0" applyNumberFormat="true" applyFill="true" applyBorder="true" applyFont="true"/>
    <xf numFmtId="177" fontId="10714" fillId="0" borderId="0" xfId="0" applyNumberFormat="true" applyFill="true" applyBorder="true" applyFont="true"/>
    <xf numFmtId="177" fontId="10715" fillId="0" borderId="0" xfId="0" applyNumberFormat="true" applyFill="true" applyBorder="true" applyFont="true"/>
    <xf numFmtId="177" fontId="10716" fillId="0" borderId="0" xfId="0" applyNumberFormat="true" applyFill="true" applyBorder="true" applyFont="true"/>
    <xf numFmtId="175" fontId="10717" fillId="0" borderId="0" xfId="0" applyNumberFormat="true" applyFill="true" applyBorder="true" applyFont="true"/>
    <xf numFmtId="175" fontId="10718" fillId="0" borderId="0" xfId="0" applyNumberFormat="true" applyFill="true" applyBorder="true" applyFont="true"/>
    <xf xmlns:main="http://schemas.openxmlformats.org/spreadsheetml/2006/main" numFmtId="0" fontId="10719" fillId="0" borderId="0" xfId="0" applyAlignment="1" applyFill="true" applyBorder="true" applyNumberFormat="true" applyFont="true">
      <main:alignment horizontal="right"/>
    </xf>
    <xf numFmtId="176" fontId="10720" fillId="0" borderId="0" xfId="0" applyNumberFormat="true" applyFill="true" applyBorder="true" applyFont="true"/>
    <xf numFmtId="177" fontId="10721" fillId="0" borderId="0" xfId="0" applyNumberFormat="true" applyFill="true" applyBorder="true" applyFont="true"/>
    <xf numFmtId="177" fontId="10722" fillId="0" borderId="0" xfId="0" applyNumberFormat="true" applyFill="true" applyBorder="true" applyFont="true"/>
    <xf numFmtId="177" fontId="10723" fillId="0" borderId="0" xfId="0" applyNumberFormat="true" applyFill="true" applyBorder="true" applyFont="true"/>
    <xf numFmtId="175" fontId="10724" fillId="0" borderId="0" xfId="0" applyNumberFormat="true" applyFill="true" applyBorder="true" applyFont="true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146"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ont>
        <color rgb="FF0066CC"/>
      </font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0066CC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0066CC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0066CC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Tahoma"/>
        <scheme val="none"/>
      </font>
      <numFmt numFmtId="0" formatCode="General"/>
      <fill>
        <patternFill patternType="solid">
          <fgColor indexed="64"/>
          <bgColor rgb="FFF6891F"/>
        </patternFill>
      </fill>
      <alignment horizontal="center" vertical="top" textRotation="0" wrapText="1" indent="0" justifyLastLine="0" shrinkToFit="0" readingOrder="0"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45"/>
      <tableStyleElement type="headerRow" dxfId="144"/>
      <tableStyleElement type="totalRow" dxfId="143"/>
      <tableStyleElement type="firstSubtotalRow" dxfId="142"/>
      <tableStyleElement type="secondSubtotalRow" dxfId="141"/>
      <tableStyleElement type="thirdSubtotalRow" dxfId="140"/>
      <tableStyleElement type="firstColumnSubheading" dxfId="139"/>
      <tableStyleElement type="secondColumnSubheading" dxfId="138"/>
      <tableStyleElement type="thirdColumnSubheading" dxfId="137"/>
      <tableStyleElement type="firstRowSubheading" dxfId="136"/>
      <tableStyleElement type="secondRowSubheading" dxfId="135"/>
      <tableStyleElement type="thirdRowSubheading" dxfId="134"/>
    </tableStyle>
  </tableStyles>
  <colors>
    <mruColors>
      <color rgb="FF7030A0"/>
      <color rgb="FFF6891F"/>
      <color rgb="FF0066CC"/>
      <color rgb="FFF60000"/>
      <color rgb="FFBC0000"/>
      <color rgb="FFEBF9FF"/>
      <color rgb="FFAA72D4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22" Target="calcChain.xml" Type="http://schemas.openxmlformats.org/officeDocument/2006/relationships/calcChain"/><Relationship Id="rId23" Target="worksheets/sheet28.xml" Type="http://schemas.openxmlformats.org/officeDocument/2006/relationships/worksheet"/><Relationship Id="rId24" Target="worksheets/sheet29.xml" Type="http://schemas.openxmlformats.org/officeDocument/2006/relationships/worksheet"/><Relationship Id="rId25" Target="worksheets/sheet30.xml" Type="http://schemas.openxmlformats.org/officeDocument/2006/relationships/worksheet"/><Relationship Id="rId26" Target="worksheets/sheet31.xml" Type="http://schemas.openxmlformats.org/officeDocument/2006/relationships/worksheet"/><Relationship Id="rId27" Target="worksheets/sheet32.xml" Type="http://schemas.openxmlformats.org/officeDocument/2006/relationships/worksheet"/><Relationship Id="rId28" Target="worksheets/sheet33.xml" Type="http://schemas.openxmlformats.org/officeDocument/2006/relationships/worksheet"/><Relationship Id="rId29" Target="worksheets/sheet34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5.xml" Type="http://schemas.openxmlformats.org/officeDocument/2006/relationships/worksheet"/><Relationship Id="rId31" Target="worksheets/sheet36.xml" Type="http://schemas.openxmlformats.org/officeDocument/2006/relationships/worksheet"/><Relationship Id="rId32" Target="worksheets/sheet37.xml" Type="http://schemas.openxmlformats.org/officeDocument/2006/relationships/worksheet"/><Relationship Id="rId33" Target="worksheets/sheet38.xml" Type="http://schemas.openxmlformats.org/officeDocument/2006/relationships/worksheet"/><Relationship Id="rId34" Target="worksheets/sheet39.xml" Type="http://schemas.openxmlformats.org/officeDocument/2006/relationships/worksheet"/><Relationship Id="rId35" Target="worksheets/sheet40.xml" Type="http://schemas.openxmlformats.org/officeDocument/2006/relationships/worksheet"/><Relationship Id="rId36" Target="worksheets/sheet41.xml" Type="http://schemas.openxmlformats.org/officeDocument/2006/relationships/worksheet"/><Relationship Id="rId37" Target="worksheets/sheet42.xml" Type="http://schemas.openxmlformats.org/officeDocument/2006/relationships/worksheet"/><Relationship Id="rId38" Target="worksheets/sheet4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harts/_rels/chart1.xml.rels><?xml version="1.0" encoding="UTF-8" standalone="no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no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הוצאות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07-4392-8F90-EA99113291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07-4392-8F90-EA99113291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07-4392-8F90-EA99113291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707-4392-8F90-EA99113291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707-4392-8F90-EA99113291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707-4392-8F90-EA99113291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707-4392-8F90-EA99113291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707-4392-8F90-EA99113291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707-4392-8F90-EA99113291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707-4392-8F90-EA99113291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707-4392-8F90-EA99113291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707-4392-8F90-EA991132913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707-4392-8F90-EA991132913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707-4392-8F90-EA991132913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707-4392-8F90-EA991132913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E73-4DE2-ACB7-D367E899F7BE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707-4392-8F90-EA9911329133}"/>
                </c:ext>
              </c:extLst>
            </c:dLbl>
            <c:dLbl>
              <c:idx val="1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707-4392-8F90-EA9911329133}"/>
                </c:ext>
              </c:extLst>
            </c:dLbl>
            <c:dLbl>
              <c:idx val="2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D707-4392-8F90-EA9911329133}"/>
                </c:ext>
              </c:extLst>
            </c:dLbl>
            <c:dLbl>
              <c:idx val="3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D707-4392-8F90-EA9911329133}"/>
                </c:ext>
              </c:extLst>
            </c:dLbl>
            <c:dLbl>
              <c:idx val="4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D707-4392-8F90-EA9911329133}"/>
                </c:ext>
              </c:extLst>
            </c:dLbl>
            <c:dLbl>
              <c:idx val="5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D707-4392-8F90-EA9911329133}"/>
                </c:ext>
              </c:extLst>
            </c:dLbl>
            <c:dLbl>
              <c:idx val="6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D-D707-4392-8F90-EA9911329133}"/>
                </c:ext>
              </c:extLst>
            </c:dLbl>
            <c:dLbl>
              <c:idx val="7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F-D707-4392-8F90-EA9911329133}"/>
                </c:ext>
              </c:extLst>
            </c:dLbl>
            <c:dLbl>
              <c:idx val="8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1-D707-4392-8F90-EA9911329133}"/>
                </c:ext>
              </c:extLst>
            </c:dLbl>
            <c:dLbl>
              <c:idx val="9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D707-4392-8F90-EA9911329133}"/>
                </c:ext>
              </c:extLst>
            </c:dLbl>
            <c:dLbl>
              <c:idx val="1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D707-4392-8F90-EA9911329133}"/>
                </c:ext>
              </c:extLst>
            </c:dLbl>
            <c:dLbl>
              <c:idx val="11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7-D707-4392-8F90-EA9911329133}"/>
                </c:ext>
              </c:extLst>
            </c:dLbl>
            <c:dLbl>
              <c:idx val="12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9-D707-4392-8F90-EA9911329133}"/>
                </c:ext>
              </c:extLst>
            </c:dLbl>
            <c:dLbl>
              <c:idx val="13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B-D707-4392-8F90-EA9911329133}"/>
                </c:ext>
              </c:extLst>
            </c:dLbl>
            <c:dLbl>
              <c:idx val="14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D-D707-4392-8F90-EA9911329133}"/>
                </c:ext>
              </c:extLst>
            </c:dLbl>
            <c:dLbl>
              <c:idx val="15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F-8E73-4DE2-ACB7-D367E899F7BE}"/>
                </c:ext>
              </c:extLst>
            </c:dLbl>
            <c:spPr>
              <a:ln>
                <a:noFill/>
              </a:ln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('שלב ג - תוצאות השיקוף'!$A$4,'שלב ג - תוצאות השיקוף'!$A$25,'שלב ג - תוצאות השיקוף'!$A$46,'שלב ג - תוצאות השיקוף'!$A$67,'שלב ג - תוצאות השיקוף'!$A$88,'שלב ג - תוצאות השיקוף'!$A$109,'שלב ג - תוצאות השיקוף'!$A$130,'שלב ג - תוצאות השיקוף'!$A$151,'שלב ג - תוצאות השיקוף'!$A$172,'שלב ג - תוצאות השיקוף'!$A$193,'שלב ג - תוצאות השיקוף'!$A$214,'שלב ג - תוצאות השיקוף'!$A$235,'שלב ג - תוצאות השיקוף'!$A$256,'שלב ג - תוצאות השיקוף'!$A$277,'שלב ג - תוצאות השיקוף'!$A$298,'שלב ג - תוצאות השיקוף'!$A$319)</c:f>
              <c:strCache>
                <c:ptCount val="16"/>
                <c:pt idx="0">
                  <c:v>מזון ופארמה</c:v>
                </c:pt>
                <c:pt idx="1">
                  <c:v>פנאי, בילוי ותחביבים</c:v>
                </c:pt>
                <c:pt idx="2">
                  <c:v>ביגוד והנעלה</c:v>
                </c:pt>
                <c:pt idx="3">
                  <c:v>תכולת בית</c:v>
                </c:pt>
                <c:pt idx="4">
                  <c:v>אחזקת בית</c:v>
                </c:pt>
                <c:pt idx="5">
                  <c:v>טיפוח</c:v>
                </c:pt>
                <c:pt idx="6">
                  <c:v>חינוך</c:v>
                </c:pt>
                <c:pt idx="7">
                  <c:v>אירועים, תרומות, צרכי דת</c:v>
                </c:pt>
                <c:pt idx="8">
                  <c:v>בריאות</c:v>
                </c:pt>
                <c:pt idx="9">
                  <c:v>תחבורה</c:v>
                </c:pt>
                <c:pt idx="10">
                  <c:v>משפחה</c:v>
                </c:pt>
                <c:pt idx="11">
                  <c:v>תקשורת</c:v>
                </c:pt>
                <c:pt idx="12">
                  <c:v>דיור</c:v>
                </c:pt>
                <c:pt idx="13">
                  <c:v>התחייבויות</c:v>
                </c:pt>
                <c:pt idx="14">
                  <c:v>נכסים</c:v>
                </c:pt>
                <c:pt idx="15">
                  <c:v>פיננסים</c:v>
                </c:pt>
              </c:strCache>
            </c:strRef>
          </c:cat>
          <c:val>
            <c:numRef>
              <c:f>('שלב ג - תוצאות השיקוף'!$B$4,'שלב ג - תוצאות השיקוף'!$B$25,'שלב ג - תוצאות השיקוף'!$B$46,'שלב ג - תוצאות השיקוף'!$B$67,'שלב ג - תוצאות השיקוף'!$B$88,'שלב ג - תוצאות השיקוף'!$B$109,'שלב ג - תוצאות השיקוף'!$B$130,'שלב ג - תוצאות השיקוף'!$B$151,'שלב ג - תוצאות השיקוף'!$B$172,'שלב ג - תוצאות השיקוף'!$B$193,'שלב ג - תוצאות השיקוף'!$B$214,'שלב ג - תוצאות השיקוף'!$B$235,'שלב ג - תוצאות השיקוף'!$B$256,'שלב ג - תוצאות השיקוף'!$B$277,'שלב ג - תוצאות השיקוף'!$B$298,'שלב ג - תוצאות השיקוף'!$B$319)</c:f>
              <c:numCache>
                <c:formatCode>"₪"\ 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707-4392-8F90-EA991132913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הכנסות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B1-4AA1-983F-B4C19EE47D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B1-4AA1-983F-B4C19EE47D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B1-4AA1-983F-B4C19EE47DEE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CB1-4AA1-983F-B4C19EE47DEE}"/>
                </c:ext>
              </c:extLst>
            </c:dLbl>
            <c:dLbl>
              <c:idx val="1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CB1-4AA1-983F-B4C19EE47DEE}"/>
                </c:ext>
              </c:extLst>
            </c:dLbl>
            <c:dLbl>
              <c:idx val="2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CB1-4AA1-983F-B4C19EE47DEE}"/>
                </c:ext>
              </c:extLst>
            </c:dLbl>
            <c:spPr>
              <a:ln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('שלב ג - תוצאות השיקוף'!$D$4,'שלב ג - תוצאות השיקוף'!$D$25,'שלב ג - תוצאות השיקוף'!$D$46)</c:f>
              <c:strCache>
                <c:ptCount val="3"/>
                <c:pt idx="0">
                  <c:v>שכר</c:v>
                </c:pt>
                <c:pt idx="1">
                  <c:v>קצבאות</c:v>
                </c:pt>
                <c:pt idx="2">
                  <c:v>הכנסות שונות</c:v>
                </c:pt>
              </c:strCache>
            </c:strRef>
          </c:cat>
          <c:val>
            <c:numRef>
              <c:f>('שלב ג - תוצאות השיקוף'!$E$4,'שלב ג - תוצאות השיקוף'!$E$25,'שלב ג - תוצאות השיקוף'!$E$46)</c:f>
              <c:numCache>
                <c:formatCode>"₪"\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B1-4AA1-983F-B4C19EE47DE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274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10" dropStyle="combo" dx="16" fmlaLink="'שלב ב - סיווג תנועות'!$AI$2" fmlaRange="'שלב ב - סיווג תנועות'!$AD$6:$AD$23" noThreeD="1" sel="1" val="0"/>
</file>

<file path=xl/drawings/_rels/drawing1.xml.rels><?xml version="1.0" encoding="UTF-8" standalone="no"?><Relationships xmlns="http://schemas.openxmlformats.org/package/2006/relationships"><Relationship Id="rId1" Target="https://youtu.be/HNSvwqGjM2o" TargetMode="External" Type="http://schemas.openxmlformats.org/officeDocument/2006/relationships/hyperlink"/><Relationship Id="rId2" Target="../media/image1.png" Type="http://schemas.openxmlformats.org/officeDocument/2006/relationships/image"/><Relationship Id="rId3" Target="../media/image2.png" Type="http://schemas.openxmlformats.org/officeDocument/2006/relationships/image"/><Relationship Id="rId4" Target="https://paamonim.ravpage.co.il/shamir" TargetMode="External" Type="http://schemas.openxmlformats.org/officeDocument/2006/relationships/hyperlink"/><Relationship Id="rId5" Target="../media/image3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247652</xdr:colOff>
      <xdr:row>3</xdr:row>
      <xdr:rowOff>504825</xdr:rowOff>
    </xdr:from>
    <xdr:to>
      <xdr:col>3</xdr:col>
      <xdr:colOff>1143001</xdr:colOff>
      <xdr:row>6</xdr:row>
      <xdr:rowOff>104774</xdr:rowOff>
    </xdr:to>
    <xdr:pic>
      <xdr:nvPicPr>
        <xdr:cNvPr id="2" name="תמונה 1" descr="File:YouTube social white square (2017).svg - Wikimedia ..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8659274" y="1866900"/>
          <a:ext cx="895349" cy="895349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3</xdr:row>
      <xdr:rowOff>466725</xdr:rowOff>
    </xdr:from>
    <xdr:to>
      <xdr:col>3</xdr:col>
      <xdr:colOff>1181100</xdr:colOff>
      <xdr:row>4</xdr:row>
      <xdr:rowOff>0</xdr:rowOff>
    </xdr:to>
    <xdr:sp macro="" textlink="">
      <xdr:nvSpPr>
        <xdr:cNvPr id="3" name="מלבן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438621175" y="1828800"/>
          <a:ext cx="97155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he-IL" sz="1100">
              <a:solidFill>
                <a:sysClr val="windowText" lastClr="000000"/>
              </a:solidFill>
            </a:rPr>
            <a:t>סרטון</a:t>
          </a:r>
          <a:r>
            <a:rPr lang="he-IL" sz="1100" baseline="0">
              <a:solidFill>
                <a:sysClr val="windowText" lastClr="000000"/>
              </a:solidFill>
            </a:rPr>
            <a:t> הדרכה</a:t>
          </a:r>
          <a:endParaRPr lang="he-IL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19050</xdr:colOff>
      <xdr:row>0</xdr:row>
      <xdr:rowOff>142875</xdr:rowOff>
    </xdr:from>
    <xdr:to>
      <xdr:col>3</xdr:col>
      <xdr:colOff>1182785</xdr:colOff>
      <xdr:row>0</xdr:row>
      <xdr:rowOff>669241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8619490" y="142875"/>
          <a:ext cx="1163735" cy="526366"/>
        </a:xfrm>
        <a:prstGeom prst="rect">
          <a:avLst/>
        </a:prstGeom>
      </xdr:spPr>
    </xdr:pic>
    <xdr:clientData/>
  </xdr:twoCellAnchor>
  <xdr:twoCellAnchor>
    <xdr:from>
      <xdr:col>0</xdr:col>
      <xdr:colOff>-20426191050</xdr:colOff>
      <xdr:row>3</xdr:row>
      <xdr:rowOff>466725</xdr:rowOff>
    </xdr:from>
    <xdr:to>
      <xdr:col>0</xdr:col>
      <xdr:colOff>-20425219500</xdr:colOff>
      <xdr:row>4</xdr:row>
      <xdr:rowOff>0</xdr:rowOff>
    </xdr:to>
    <xdr:sp macro="" textlink="">
      <xdr:nvSpPr>
        <xdr:cNvPr id="5" name="מלבן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437649625" y="1828800"/>
          <a:ext cx="97155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he-IL" sz="1100">
              <a:solidFill>
                <a:sysClr val="windowText" lastClr="000000"/>
              </a:solidFill>
            </a:rPr>
            <a:t>סרטון</a:t>
          </a:r>
          <a:r>
            <a:rPr lang="he-IL" sz="1100" baseline="0">
              <a:solidFill>
                <a:sysClr val="windowText" lastClr="000000"/>
              </a:solidFill>
            </a:rPr>
            <a:t> הדרכה</a:t>
          </a:r>
          <a:endParaRPr lang="he-I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9363075</xdr:colOff>
      <xdr:row>6</xdr:row>
      <xdr:rowOff>180975</xdr:rowOff>
    </xdr:from>
    <xdr:to>
      <xdr:col>4</xdr:col>
      <xdr:colOff>190500</xdr:colOff>
      <xdr:row>6</xdr:row>
      <xdr:rowOff>438150</xdr:rowOff>
    </xdr:to>
    <xdr:sp macro="" textlink="">
      <xdr:nvSpPr>
        <xdr:cNvPr id="6" name="מלבן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09550" y="3057525"/>
          <a:ext cx="144780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he-IL" sz="1100">
              <a:solidFill>
                <a:sysClr val="windowText" lastClr="000000"/>
              </a:solidFill>
            </a:rPr>
            <a:t>שאלות ותשובות</a:t>
          </a:r>
        </a:p>
      </xdr:txBody>
    </xdr:sp>
    <xdr:clientData/>
  </xdr:twoCellAnchor>
  <xdr:twoCellAnchor editAs="oneCell">
    <xdr:from>
      <xdr:col>3</xdr:col>
      <xdr:colOff>359507</xdr:colOff>
      <xdr:row>7</xdr:row>
      <xdr:rowOff>66674</xdr:rowOff>
    </xdr:from>
    <xdr:to>
      <xdr:col>3</xdr:col>
      <xdr:colOff>1001733</xdr:colOff>
      <xdr:row>7</xdr:row>
      <xdr:rowOff>502920</xdr:rowOff>
    </xdr:to>
    <xdr:pic>
      <xdr:nvPicPr>
        <xdr:cNvPr id="7" name="תמונה 6" descr="Clipart - owlita Folder icon - fre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092" y="3495674"/>
          <a:ext cx="642226" cy="436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28578</xdr:rowOff>
    </xdr:from>
    <xdr:to>
      <xdr:col>10</xdr:col>
      <xdr:colOff>455295</xdr:colOff>
      <xdr:row>21</xdr:row>
      <xdr:rowOff>114300</xdr:rowOff>
    </xdr:to>
    <xdr:grpSp>
      <xdr:nvGrpSpPr>
        <xdr:cNvPr id="8" name="קבוצה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>
          <a:grpSpLocks noChangeAspect="1"/>
        </xdr:cNvGrpSpPr>
      </xdr:nvGrpSpPr>
      <xdr:grpSpPr>
        <a:xfrm>
          <a:off x="11228833905" y="28578"/>
          <a:ext cx="7008495" cy="3905247"/>
          <a:chOff x="11228689125" y="28578"/>
          <a:chExt cx="7038975" cy="3905247"/>
        </a:xfrm>
      </xdr:grpSpPr>
      <xdr:sp macro="" textlink="">
        <xdr:nvSpPr>
          <xdr:cNvPr id="2" name="מלבן מעוגל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>
            <a:spLocks noChangeAspect="1"/>
          </xdr:cNvSpPr>
        </xdr:nvSpPr>
        <xdr:spPr>
          <a:xfrm>
            <a:off x="11228689125" y="122299"/>
            <a:ext cx="5610226" cy="3811526"/>
          </a:xfrm>
          <a:prstGeom prst="roundRect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r>
              <a:rPr lang="he-IL" sz="1100"/>
              <a:t>לטעינה</a:t>
            </a:r>
            <a:r>
              <a:rPr lang="he-IL" sz="1100" baseline="0"/>
              <a:t> אוטומטית של דפי אקסל ממקורות בנקים וכרטיסי אשראי:</a:t>
            </a:r>
          </a:p>
          <a:p>
            <a:pPr algn="r" rtl="1"/>
            <a:endParaRPr lang="he-IL" sz="1100" baseline="0"/>
          </a:p>
          <a:p>
            <a:pPr lvl="1" algn="r" rtl="1"/>
            <a:r>
              <a:rPr lang="he-IL" sz="1400" b="1" baseline="0"/>
              <a:t>1</a:t>
            </a:r>
            <a:r>
              <a:rPr lang="he-IL" sz="1100" b="1" baseline="0"/>
              <a:t>. </a:t>
            </a:r>
            <a:r>
              <a:rPr lang="he-IL" sz="1100" baseline="0"/>
              <a:t>העתיקו את דף המקור הראשון.</a:t>
            </a:r>
          </a:p>
          <a:p>
            <a:pPr lvl="1" algn="r" rtl="1"/>
            <a:r>
              <a:rPr lang="he-IL" sz="1100" baseline="0"/>
              <a:t>    לשם כך לחצו בפינה ימנית עליונה של הגיליון </a:t>
            </a:r>
            <a:r>
              <a:rPr lang="he-IL" sz="1100" b="1" baseline="0"/>
              <a:t>בקובץ דף המקור</a:t>
            </a:r>
            <a:r>
              <a:rPr lang="he-IL" sz="1100" baseline="0"/>
              <a:t>, </a:t>
            </a:r>
            <a:br>
              <a:rPr lang="en-US" sz="1100" baseline="0"/>
            </a:br>
            <a:r>
              <a:rPr lang="he-IL" sz="1100" baseline="0"/>
              <a:t>    ואח"כ קליק ימני -&gt; 'העתק'.</a:t>
            </a:r>
          </a:p>
          <a:p>
            <a:pPr lvl="1" algn="r" rtl="1"/>
            <a:endParaRPr lang="he-IL" sz="1100" baseline="0"/>
          </a:p>
          <a:p>
            <a:pPr lvl="1" algn="r" rtl="1"/>
            <a:r>
              <a:rPr lang="he-IL" sz="1400" b="1" baseline="0"/>
              <a:t>2. </a:t>
            </a:r>
            <a:r>
              <a:rPr lang="he-IL" sz="1100" baseline="0"/>
              <a:t>בחרו בפינה ימנית עליונה, הפעם כאן, </a:t>
            </a:r>
            <a:r>
              <a:rPr lang="he-IL" sz="1100" b="1" baseline="0"/>
              <a:t>בגיליון זה</a:t>
            </a:r>
            <a:r>
              <a:rPr lang="he-IL" sz="1100" baseline="0"/>
              <a:t>, </a:t>
            </a:r>
            <a:br>
              <a:rPr lang="en-US" sz="1100" baseline="0"/>
            </a:br>
            <a:r>
              <a:rPr lang="he-IL" sz="1100" baseline="0"/>
              <a:t>     ואח"כ קליק ימני -&gt; 'הדבק'</a:t>
            </a:r>
          </a:p>
          <a:p>
            <a:pPr lvl="1" algn="r" rtl="1"/>
            <a:endParaRPr lang="he-IL" sz="1100" baseline="0"/>
          </a:p>
          <a:p>
            <a:pPr lvl="1" algn="r" rtl="1"/>
            <a:r>
              <a:rPr lang="he-IL" sz="1400" b="1" baseline="0"/>
              <a:t>3. </a:t>
            </a:r>
            <a:r>
              <a:rPr lang="he-IL" sz="1100" baseline="0"/>
              <a:t>בחרו כאן מהרשימה הנפתחת את שם המקור המתאים </a:t>
            </a:r>
            <a:br>
              <a:rPr lang="en-US" sz="1100" baseline="0"/>
            </a:br>
            <a:r>
              <a:rPr lang="he-IL" sz="1100" baseline="0"/>
              <a:t>     ולחצו על כפתור "טעינה".</a:t>
            </a:r>
          </a:p>
          <a:p>
            <a:pPr algn="r" rtl="1"/>
            <a:endParaRPr lang="he-IL" sz="1100"/>
          </a:p>
          <a:p>
            <a:pPr lvl="1" algn="r" rtl="1"/>
            <a:r>
              <a:rPr lang="he-IL" sz="1100">
                <a:solidFill>
                  <a:srgbClr val="FFFF00"/>
                </a:solidFill>
              </a:rPr>
              <a:t>אם אינכם מוצאים ברשימה את המקור שלכם </a:t>
            </a:r>
          </a:p>
          <a:p>
            <a:pPr lvl="1" algn="r" rtl="1"/>
            <a:r>
              <a:rPr lang="he-IL" sz="1100">
                <a:solidFill>
                  <a:srgbClr val="FFFF00"/>
                </a:solidFill>
              </a:rPr>
              <a:t>או אם הטעינה</a:t>
            </a:r>
            <a:r>
              <a:rPr lang="he-IL" sz="1100" baseline="0">
                <a:solidFill>
                  <a:srgbClr val="FFFF00"/>
                </a:solidFill>
              </a:rPr>
              <a:t> </a:t>
            </a:r>
            <a:r>
              <a:rPr lang="he-IL" sz="1100" b="0">
                <a:solidFill>
                  <a:srgbClr val="FFFF00"/>
                </a:solidFill>
              </a:rPr>
              <a:t>האוטומטית נכשלה, </a:t>
            </a:r>
          </a:p>
          <a:p>
            <a:pPr lvl="1" algn="r" rtl="1"/>
            <a:r>
              <a:rPr lang="he-IL" sz="1100" b="1">
                <a:solidFill>
                  <a:srgbClr val="FFFF00"/>
                </a:solidFill>
              </a:rPr>
              <a:t>השאירו אותו אחרון</a:t>
            </a:r>
            <a:r>
              <a:rPr lang="he-IL" sz="1100">
                <a:solidFill>
                  <a:srgbClr val="FFFF00"/>
                </a:solidFill>
              </a:rPr>
              <a:t>, וטענו אותו ידנית בשלב ב'.</a:t>
            </a:r>
          </a:p>
          <a:p>
            <a:pPr lvl="1" algn="r" rtl="1"/>
            <a:endParaRPr lang="he-IL" sz="1100"/>
          </a:p>
          <a:p>
            <a:pPr lvl="1" algn="r" rtl="1"/>
            <a:r>
              <a:rPr lang="he-IL" sz="1100"/>
              <a:t>חזרו על הפעולות 1-3 עבור כל מקור בפני עצמו.</a:t>
            </a:r>
          </a:p>
          <a:p>
            <a:pPr lvl="1" algn="r" rtl="1"/>
            <a:endParaRPr lang="he-IL" sz="1100"/>
          </a:p>
          <a:p>
            <a:pPr lvl="1" algn="r" rtl="1"/>
            <a:r>
              <a:rPr lang="he-IL" sz="1600" b="1"/>
              <a:t>סיימתם</a:t>
            </a:r>
            <a:r>
              <a:rPr lang="he-IL" sz="1800" b="1"/>
              <a:t>?</a:t>
            </a:r>
            <a:r>
              <a:rPr lang="he-IL" sz="1100" b="1"/>
              <a:t> המשיכו</a:t>
            </a:r>
            <a:r>
              <a:rPr lang="he-IL" sz="1100" b="1" baseline="0"/>
              <a:t> לשלב ב - סיווג תנועות.</a:t>
            </a:r>
            <a:endParaRPr lang="he-IL" sz="1100" b="1"/>
          </a:p>
          <a:p>
            <a:pPr lvl="1" algn="r" rtl="1"/>
            <a:endParaRPr lang="he-IL" sz="1100"/>
          </a:p>
          <a:p>
            <a:pPr lvl="1" algn="r" rtl="1"/>
            <a:endParaRPr lang="he-IL" sz="1100"/>
          </a:p>
          <a:p>
            <a:pPr lvl="1" algn="r" rtl="1"/>
            <a:endParaRPr lang="he-IL" sz="1100"/>
          </a:p>
        </xdr:txBody>
      </xdr:sp>
      <xdr:cxnSp macro="">
        <xdr:nvCxnSpPr>
          <xdr:cNvPr id="4" name="מחבר חץ ישר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>
            <a:cxnSpLocks noChangeAspect="1"/>
            <a:stCxn id="2" idx="3"/>
          </xdr:cNvCxnSpPr>
        </xdr:nvCxnSpPr>
        <xdr:spPr>
          <a:xfrm flipV="1">
            <a:off x="11234299351" y="28578"/>
            <a:ext cx="1428749" cy="1999484"/>
          </a:xfrm>
          <a:prstGeom prst="straightConnector1">
            <a:avLst/>
          </a:prstGeom>
          <a:ln w="38100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Drop Down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11228927250" y="1915541"/>
                <a:ext cx="1485900" cy="249936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[0]!CopySrcData" textlink="">
        <xdr:nvSpPr>
          <xdr:cNvPr id="6" name="מלבן מעוגל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spect="1"/>
          </xdr:cNvSpPr>
        </xdr:nvSpPr>
        <xdr:spPr>
          <a:xfrm>
            <a:off x="11229346350" y="2283588"/>
            <a:ext cx="762000" cy="302006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ctr" rtl="1"/>
            <a:r>
              <a:rPr lang="he-IL" sz="1200" b="1">
                <a:solidFill>
                  <a:srgbClr val="7030A0"/>
                </a:solidFill>
              </a:rPr>
              <a:t>טעינה</a:t>
            </a:r>
            <a:endParaRPr lang="he-IL" sz="1100" b="1">
              <a:solidFill>
                <a:srgbClr val="7030A0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982132</xdr:colOff>
      <xdr:row>0</xdr:row>
      <xdr:rowOff>202141</xdr:rowOff>
    </xdr:from>
    <xdr:to>
      <xdr:col>2</xdr:col>
      <xdr:colOff>869949</xdr:colOff>
      <xdr:row>2</xdr:row>
      <xdr:rowOff>39159</xdr:rowOff>
    </xdr:to>
    <xdr:sp macro="" textlink="">
      <xdr:nvSpPr>
        <xdr:cNvPr id="6" name="חץ למטה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 rot="16200000">
          <a:off x="15678626251" y="-119592"/>
          <a:ext cx="311151" cy="954617"/>
        </a:xfrm>
        <a:prstGeom prst="downArrow">
          <a:avLst/>
        </a:prstGeom>
        <a:solidFill>
          <a:srgbClr val="EBF9FF"/>
        </a:solidFill>
        <a:ln w="19050">
          <a:solidFill>
            <a:srgbClr val="00B0F0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lIns="18288" tIns="0" rIns="0" bIns="0" rtlCol="1" anchor="t" upright="1"/>
        <a:lstStyle/>
        <a:p>
          <a:pPr algn="r" rtl="1"/>
          <a:endParaRPr lang="he-IL"/>
        </a:p>
      </xdr:txBody>
    </xdr:sp>
    <xdr:clientData/>
  </xdr:twoCellAnchor>
  <xdr:twoCellAnchor>
    <xdr:from>
      <xdr:col>2</xdr:col>
      <xdr:colOff>257176</xdr:colOff>
      <xdr:row>0</xdr:row>
      <xdr:rowOff>152399</xdr:rowOff>
    </xdr:from>
    <xdr:to>
      <xdr:col>3</xdr:col>
      <xdr:colOff>70351</xdr:colOff>
      <xdr:row>2</xdr:row>
      <xdr:rowOff>85356</xdr:rowOff>
    </xdr:to>
    <xdr:sp macro="" textlink="">
      <xdr:nvSpPr>
        <xdr:cNvPr id="7" name="מלבן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15677309182" y="152399"/>
          <a:ext cx="1608109" cy="407090"/>
        </a:xfrm>
        <a:prstGeom prst="rect">
          <a:avLst/>
        </a:prstGeom>
        <a:solidFill>
          <a:srgbClr val="EBF9FF"/>
        </a:solidFill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1" anchor="ctr" upright="1"/>
        <a:lstStyle/>
        <a:p>
          <a:pPr algn="ctr" rtl="1"/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 רשמו כמה חודשים (שלמים!) מתוארים בתנועות שהורדתם</a:t>
          </a:r>
          <a:endParaRPr lang="he-IL" sz="1000" b="1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</xdr:txBody>
    </xdr:sp>
    <xdr:clientData/>
  </xdr:twoCellAnchor>
  <xdr:twoCellAnchor>
    <xdr:from>
      <xdr:col>2</xdr:col>
      <xdr:colOff>726281</xdr:colOff>
      <xdr:row>4</xdr:row>
      <xdr:rowOff>211932</xdr:rowOff>
    </xdr:from>
    <xdr:to>
      <xdr:col>2</xdr:col>
      <xdr:colOff>1019175</xdr:colOff>
      <xdr:row>6</xdr:row>
      <xdr:rowOff>28575</xdr:rowOff>
    </xdr:to>
    <xdr:sp macro="" textlink="">
      <xdr:nvSpPr>
        <xdr:cNvPr id="2" name="חץ למטה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678155292" y="1075532"/>
          <a:ext cx="292894" cy="299243"/>
        </a:xfrm>
        <a:prstGeom prst="downArrow">
          <a:avLst/>
        </a:prstGeom>
        <a:solidFill>
          <a:srgbClr val="EBF9FF"/>
        </a:solidFill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/>
        </a:p>
      </xdr:txBody>
    </xdr:sp>
    <xdr:clientData/>
  </xdr:twoCellAnchor>
  <xdr:twoCellAnchor>
    <xdr:from>
      <xdr:col>2</xdr:col>
      <xdr:colOff>257175</xdr:colOff>
      <xdr:row>2</xdr:row>
      <xdr:rowOff>167203</xdr:rowOff>
    </xdr:from>
    <xdr:to>
      <xdr:col>4</xdr:col>
      <xdr:colOff>609600</xdr:colOff>
      <xdr:row>4</xdr:row>
      <xdr:rowOff>276225</xdr:rowOff>
    </xdr:to>
    <xdr:sp macro="" textlink="">
      <xdr:nvSpPr>
        <xdr:cNvPr id="10" name="מלבן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 bwMode="auto">
        <a:xfrm>
          <a:off x="15675804733" y="641336"/>
          <a:ext cx="3112559" cy="498489"/>
        </a:xfrm>
        <a:prstGeom prst="rect">
          <a:avLst/>
        </a:prstGeom>
        <a:solidFill>
          <a:srgbClr val="EBF9FF"/>
        </a:solidFill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1" anchor="t" upright="1"/>
        <a:lstStyle/>
        <a:p>
          <a:pPr algn="r" rtl="1"/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 אם יש דפי מקור או תנועות שלא טענתם אוטומטית בשלב א, העתיקו מהם את נתוני התנועות לעמודות </a:t>
          </a:r>
          <a:r>
            <a:rPr lang="en-US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B</a:t>
          </a:r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-</a:t>
          </a:r>
          <a:r>
            <a:rPr lang="en-US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D</a:t>
          </a:r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.</a:t>
          </a:r>
          <a:endParaRPr lang="he-IL" sz="1000" b="0" baseline="0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 </a:t>
          </a:r>
          <a:r>
            <a:rPr kumimoji="0" lang="he-IL" sz="9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להדבקה: קליק ימני -&gt; הדבקה מיוחדת - &gt; הדבק ערכים בלבד</a:t>
          </a:r>
        </a:p>
        <a:p>
          <a:pPr algn="ctr" rtl="1"/>
          <a:endParaRPr lang="he-IL" sz="900" b="0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</xdr:txBody>
    </xdr:sp>
    <xdr:clientData/>
  </xdr:twoCellAnchor>
  <xdr:twoCellAnchor>
    <xdr:from>
      <xdr:col>4</xdr:col>
      <xdr:colOff>523875</xdr:colOff>
      <xdr:row>2</xdr:row>
      <xdr:rowOff>20291</xdr:rowOff>
    </xdr:from>
    <xdr:to>
      <xdr:col>4</xdr:col>
      <xdr:colOff>834638</xdr:colOff>
      <xdr:row>3</xdr:row>
      <xdr:rowOff>133350</xdr:rowOff>
    </xdr:to>
    <xdr:sp macro="" textlink="">
      <xdr:nvSpPr>
        <xdr:cNvPr id="17" name="אליפסה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5675579695" y="494424"/>
          <a:ext cx="310763" cy="307793"/>
        </a:xfrm>
        <a:prstGeom prst="ellipse">
          <a:avLst/>
        </a:prstGeom>
        <a:solidFill>
          <a:srgbClr val="F6891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l" rtl="1"/>
          <a:r>
            <a:rPr lang="he-IL" sz="1200" b="1"/>
            <a:t>2</a:t>
          </a:r>
          <a:endParaRPr lang="he-IL" sz="1100" b="1"/>
        </a:p>
      </xdr:txBody>
    </xdr:sp>
    <xdr:clientData/>
  </xdr:twoCellAnchor>
  <xdr:twoCellAnchor>
    <xdr:from>
      <xdr:col>5</xdr:col>
      <xdr:colOff>452969</xdr:colOff>
      <xdr:row>4</xdr:row>
      <xdr:rowOff>13137</xdr:rowOff>
    </xdr:from>
    <xdr:to>
      <xdr:col>5</xdr:col>
      <xdr:colOff>728137</xdr:colOff>
      <xdr:row>6</xdr:row>
      <xdr:rowOff>207432</xdr:rowOff>
    </xdr:to>
    <xdr:sp macro="" textlink="">
      <xdr:nvSpPr>
        <xdr:cNvPr id="12" name="חץ למטה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15674704063" y="876737"/>
          <a:ext cx="275168" cy="676895"/>
        </a:xfrm>
        <a:prstGeom prst="downArrow">
          <a:avLst/>
        </a:prstGeom>
        <a:solidFill>
          <a:srgbClr val="EBF9FF"/>
        </a:solidFill>
        <a:ln w="19050">
          <a:solidFill>
            <a:srgbClr val="00B0F0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lIns="18288" tIns="0" rIns="0" bIns="0" rtlCol="1" anchor="t" upright="1"/>
        <a:lstStyle/>
        <a:p>
          <a:pPr algn="r" rtl="1"/>
          <a:endParaRPr lang="he-IL"/>
        </a:p>
      </xdr:txBody>
    </xdr:sp>
    <xdr:clientData/>
  </xdr:twoCellAnchor>
  <xdr:twoCellAnchor>
    <xdr:from>
      <xdr:col>4</xdr:col>
      <xdr:colOff>866050</xdr:colOff>
      <xdr:row>3</xdr:row>
      <xdr:rowOff>120973</xdr:rowOff>
    </xdr:from>
    <xdr:to>
      <xdr:col>7</xdr:col>
      <xdr:colOff>1017787</xdr:colOff>
      <xdr:row>5</xdr:row>
      <xdr:rowOff>57151</xdr:rowOff>
    </xdr:to>
    <xdr:sp macro="" textlink="">
      <xdr:nvSpPr>
        <xdr:cNvPr id="13" name="מלבן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15671857480" y="789840"/>
          <a:ext cx="3690803" cy="418778"/>
        </a:xfrm>
        <a:prstGeom prst="rect">
          <a:avLst/>
        </a:prstGeom>
        <a:solidFill>
          <a:srgbClr val="EBF9FF"/>
        </a:solidFill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1" anchor="ctr" upright="1"/>
        <a:lstStyle/>
        <a:p>
          <a:pPr algn="ctr" rtl="1"/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סווגו כל תנועה לפי עמודות </a:t>
          </a:r>
          <a:r>
            <a:rPr lang="en-US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E</a:t>
          </a:r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-</a:t>
          </a:r>
          <a:r>
            <a:rPr lang="en-US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H</a:t>
          </a:r>
          <a:endParaRPr lang="he-IL" sz="1000" b="1" baseline="0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  <a:p>
          <a:pPr algn="ctr" rtl="1"/>
          <a:r>
            <a:rPr lang="he-IL" sz="1000" b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תנועה ללא</a:t>
          </a:r>
          <a:r>
            <a:rPr lang="he-IL" sz="1000" b="0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 שם סעיף לא נכללת בחישוב</a:t>
          </a:r>
          <a:endParaRPr lang="he-IL" sz="1000" b="0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</xdr:txBody>
    </xdr:sp>
    <xdr:clientData/>
  </xdr:twoCellAnchor>
  <xdr:twoCellAnchor>
    <xdr:from>
      <xdr:col>8</xdr:col>
      <xdr:colOff>752474</xdr:colOff>
      <xdr:row>0</xdr:row>
      <xdr:rowOff>209550</xdr:rowOff>
    </xdr:from>
    <xdr:to>
      <xdr:col>8</xdr:col>
      <xdr:colOff>2581274</xdr:colOff>
      <xdr:row>4</xdr:row>
      <xdr:rowOff>76200</xdr:rowOff>
    </xdr:to>
    <xdr:sp macro="" textlink="">
      <xdr:nvSpPr>
        <xdr:cNvPr id="15" name="מלבן מעוגל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5668693793" y="209550"/>
          <a:ext cx="1828800" cy="730250"/>
        </a:xfrm>
        <a:prstGeom prst="roundRect">
          <a:avLst/>
        </a:prstGeom>
        <a:solidFill>
          <a:srgbClr val="0066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  <a:p>
          <a:pPr algn="ctr" rtl="1"/>
          <a:r>
            <a:rPr lang="he-IL" sz="1100" baseline="0"/>
            <a:t>למידע נוסף ראו את ההערות על כותרות העמודות בטבלה</a:t>
          </a:r>
          <a:endParaRPr lang="he-IL" sz="1100"/>
        </a:p>
      </xdr:txBody>
    </xdr:sp>
    <xdr:clientData/>
  </xdr:twoCellAnchor>
  <xdr:twoCellAnchor editAs="oneCell">
    <xdr:from>
      <xdr:col>8</xdr:col>
      <xdr:colOff>1466850</xdr:colOff>
      <xdr:row>0</xdr:row>
      <xdr:rowOff>76200</xdr:rowOff>
    </xdr:from>
    <xdr:to>
      <xdr:col>8</xdr:col>
      <xdr:colOff>1857374</xdr:colOff>
      <xdr:row>1</xdr:row>
      <xdr:rowOff>228599</xdr:rowOff>
    </xdr:to>
    <xdr:pic>
      <xdr:nvPicPr>
        <xdr:cNvPr id="14" name="תמונה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9146851" y="76200"/>
          <a:ext cx="390524" cy="390524"/>
        </a:xfrm>
        <a:prstGeom prst="rect">
          <a:avLst/>
        </a:prstGeom>
      </xdr:spPr>
    </xdr:pic>
    <xdr:clientData/>
  </xdr:twoCellAnchor>
  <xdr:twoCellAnchor>
    <xdr:from>
      <xdr:col>16379</xdr:col>
      <xdr:colOff>364216</xdr:colOff>
      <xdr:row>4</xdr:row>
      <xdr:rowOff>8539</xdr:rowOff>
    </xdr:from>
    <xdr:to>
      <xdr:col>16379</xdr:col>
      <xdr:colOff>639384</xdr:colOff>
      <xdr:row>6</xdr:row>
      <xdr:rowOff>202834</xdr:rowOff>
    </xdr:to>
    <xdr:sp macro="" textlink="">
      <xdr:nvSpPr>
        <xdr:cNvPr id="21" name="חץ למטה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6057749" y="872139"/>
          <a:ext cx="275168" cy="676895"/>
        </a:xfrm>
        <a:prstGeom prst="downArrow">
          <a:avLst/>
        </a:prstGeom>
        <a:solidFill>
          <a:srgbClr val="EBF9FF"/>
        </a:solidFill>
        <a:ln w="19050">
          <a:solidFill>
            <a:srgbClr val="00B0F0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lIns="18288" tIns="0" rIns="0" bIns="0" rtlCol="1" anchor="t" upright="1"/>
        <a:lstStyle/>
        <a:p>
          <a:pPr algn="r" rtl="1"/>
          <a:endParaRPr lang="he-IL"/>
        </a:p>
      </xdr:txBody>
    </xdr:sp>
    <xdr:clientData/>
  </xdr:twoCellAnchor>
  <xdr:twoCellAnchor>
    <xdr:from>
      <xdr:col>16379</xdr:col>
      <xdr:colOff>639384</xdr:colOff>
      <xdr:row>4</xdr:row>
      <xdr:rowOff>8539</xdr:rowOff>
    </xdr:from>
    <xdr:to>
      <xdr:col>16379</xdr:col>
      <xdr:colOff>914552</xdr:colOff>
      <xdr:row>6</xdr:row>
      <xdr:rowOff>202834</xdr:rowOff>
    </xdr:to>
    <xdr:sp macro="" textlink="">
      <xdr:nvSpPr>
        <xdr:cNvPr id="22" name="חץ למטה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5782581" y="872139"/>
          <a:ext cx="275168" cy="676895"/>
        </a:xfrm>
        <a:prstGeom prst="downArrow">
          <a:avLst/>
        </a:prstGeom>
        <a:solidFill>
          <a:srgbClr val="EBF9FF"/>
        </a:solidFill>
        <a:ln w="19050">
          <a:solidFill>
            <a:srgbClr val="00B0F0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lIns="18288" tIns="0" rIns="0" bIns="0" rtlCol="1" anchor="t" upright="1"/>
        <a:lstStyle/>
        <a:p>
          <a:pPr algn="r" rtl="1"/>
          <a:endParaRPr lang="he-IL"/>
        </a:p>
      </xdr:txBody>
    </xdr:sp>
    <xdr:clientData/>
  </xdr:twoCellAnchor>
  <xdr:twoCellAnchor>
    <xdr:from>
      <xdr:col>2</xdr:col>
      <xdr:colOff>1768088</xdr:colOff>
      <xdr:row>0</xdr:row>
      <xdr:rowOff>0</xdr:rowOff>
    </xdr:from>
    <xdr:to>
      <xdr:col>3</xdr:col>
      <xdr:colOff>288151</xdr:colOff>
      <xdr:row>1</xdr:row>
      <xdr:rowOff>65434</xdr:rowOff>
    </xdr:to>
    <xdr:sp macro="" textlink="">
      <xdr:nvSpPr>
        <xdr:cNvPr id="23" name="אליפסה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5677091382" y="0"/>
          <a:ext cx="314997" cy="302501"/>
        </a:xfrm>
        <a:prstGeom prst="ellipse">
          <a:avLst/>
        </a:prstGeom>
        <a:solidFill>
          <a:srgbClr val="F6891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l" rtl="1"/>
          <a:r>
            <a:rPr lang="he-IL" sz="1200" b="1"/>
            <a:t>1</a:t>
          </a:r>
          <a:endParaRPr lang="he-IL" sz="1100" b="1"/>
        </a:p>
      </xdr:txBody>
    </xdr:sp>
    <xdr:clientData/>
  </xdr:twoCellAnchor>
  <xdr:twoCellAnchor>
    <xdr:from>
      <xdr:col>7</xdr:col>
      <xdr:colOff>872738</xdr:colOff>
      <xdr:row>2</xdr:row>
      <xdr:rowOff>153641</xdr:rowOff>
    </xdr:from>
    <xdr:to>
      <xdr:col>7</xdr:col>
      <xdr:colOff>1183501</xdr:colOff>
      <xdr:row>4</xdr:row>
      <xdr:rowOff>76200</xdr:rowOff>
    </xdr:to>
    <xdr:sp macro="" textlink="">
      <xdr:nvSpPr>
        <xdr:cNvPr id="24" name="אליפסה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5671691766" y="627774"/>
          <a:ext cx="310763" cy="312026"/>
        </a:xfrm>
        <a:prstGeom prst="ellipse">
          <a:avLst/>
        </a:prstGeom>
        <a:solidFill>
          <a:srgbClr val="F6891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l" rtl="1"/>
          <a:r>
            <a:rPr lang="he-IL" sz="1200" b="1"/>
            <a:t>3</a:t>
          </a:r>
          <a:endParaRPr lang="he-IL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60960</xdr:colOff>
      <xdr:row>1</xdr:row>
      <xdr:rowOff>15240</xdr:rowOff>
    </xdr:from>
    <xdr:to>
      <xdr:col>18</xdr:col>
      <xdr:colOff>236220</xdr:colOff>
      <xdr:row>347</xdr:row>
      <xdr:rowOff>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60960</xdr:colOff>
      <xdr:row>347</xdr:row>
      <xdr:rowOff>91440</xdr:rowOff>
    </xdr:from>
    <xdr:to>
      <xdr:col>18</xdr:col>
      <xdr:colOff>228600</xdr:colOff>
      <xdr:row>374</xdr:row>
      <xdr:rowOff>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414866</xdr:colOff>
      <xdr:row>22</xdr:row>
      <xdr:rowOff>101600</xdr:rowOff>
    </xdr:from>
    <xdr:to>
      <xdr:col>11</xdr:col>
      <xdr:colOff>1202266</xdr:colOff>
      <xdr:row>24</xdr:row>
      <xdr:rowOff>101600</xdr:rowOff>
    </xdr:to>
    <xdr:sp macro="" textlink="">
      <xdr:nvSpPr>
        <xdr:cNvPr id="2" name="חץ שמאלה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0949296534" y="4207933"/>
          <a:ext cx="787400" cy="3556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14</xdr:col>
      <xdr:colOff>101598</xdr:colOff>
      <xdr:row>22</xdr:row>
      <xdr:rowOff>93132</xdr:rowOff>
    </xdr:from>
    <xdr:to>
      <xdr:col>14</xdr:col>
      <xdr:colOff>888998</xdr:colOff>
      <xdr:row>24</xdr:row>
      <xdr:rowOff>93132</xdr:rowOff>
    </xdr:to>
    <xdr:sp macro="" textlink="">
      <xdr:nvSpPr>
        <xdr:cNvPr id="3" name="חץ שמאלה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0945164802" y="4199465"/>
          <a:ext cx="787400" cy="35560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17</xdr:col>
      <xdr:colOff>491065</xdr:colOff>
      <xdr:row>22</xdr:row>
      <xdr:rowOff>101600</xdr:rowOff>
    </xdr:from>
    <xdr:to>
      <xdr:col>18</xdr:col>
      <xdr:colOff>203199</xdr:colOff>
      <xdr:row>24</xdr:row>
      <xdr:rowOff>101600</xdr:rowOff>
    </xdr:to>
    <xdr:sp macro="" textlink="">
      <xdr:nvSpPr>
        <xdr:cNvPr id="4" name="חץ שמאלה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0974867561" y="3964940"/>
          <a:ext cx="786554" cy="350520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18</xdr:col>
      <xdr:colOff>1100667</xdr:colOff>
      <xdr:row>22</xdr:row>
      <xdr:rowOff>16933</xdr:rowOff>
    </xdr:from>
    <xdr:to>
      <xdr:col>19</xdr:col>
      <xdr:colOff>2540</xdr:colOff>
      <xdr:row>25</xdr:row>
      <xdr:rowOff>16933</xdr:rowOff>
    </xdr:to>
    <xdr:sp macro="" textlink="">
      <xdr:nvSpPr>
        <xdr:cNvPr id="5" name="מלבן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 flipH="1">
          <a:off x="10946000460" y="4030133"/>
          <a:ext cx="78740" cy="5334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8</xdr:col>
      <xdr:colOff>330200</xdr:colOff>
      <xdr:row>22</xdr:row>
      <xdr:rowOff>107527</xdr:rowOff>
    </xdr:from>
    <xdr:to>
      <xdr:col>9</xdr:col>
      <xdr:colOff>213602</xdr:colOff>
      <xdr:row>24</xdr:row>
      <xdr:rowOff>107528</xdr:rowOff>
    </xdr:to>
    <xdr:sp macro="" textlink="">
      <xdr:nvSpPr>
        <xdr:cNvPr id="6" name="חץ שמאלה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0953781931" y="4120727"/>
          <a:ext cx="975602" cy="355601"/>
        </a:xfrm>
        <a:prstGeom prst="leftArrow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2</xdr:col>
      <xdr:colOff>282841</xdr:colOff>
      <xdr:row>21</xdr:row>
      <xdr:rowOff>61657</xdr:rowOff>
    </xdr:from>
    <xdr:to>
      <xdr:col>2</xdr:col>
      <xdr:colOff>575735</xdr:colOff>
      <xdr:row>23</xdr:row>
      <xdr:rowOff>5300</xdr:rowOff>
    </xdr:to>
    <xdr:sp macro="" textlink="">
      <xdr:nvSpPr>
        <xdr:cNvPr id="7" name="חץ למטה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 rot="10800000">
          <a:off x="10961386932" y="3990190"/>
          <a:ext cx="292894" cy="299243"/>
        </a:xfrm>
        <a:prstGeom prst="downArrow">
          <a:avLst/>
        </a:prstGeom>
        <a:solidFill>
          <a:srgbClr val="EBF9FF"/>
        </a:solidFill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/>
        </a:p>
      </xdr:txBody>
    </xdr:sp>
    <xdr:clientData/>
  </xdr:twoCellAnchor>
  <xdr:twoCellAnchor>
    <xdr:from>
      <xdr:col>0</xdr:col>
      <xdr:colOff>177801</xdr:colOff>
      <xdr:row>23</xdr:row>
      <xdr:rowOff>16934</xdr:rowOff>
    </xdr:from>
    <xdr:to>
      <xdr:col>4</xdr:col>
      <xdr:colOff>423333</xdr:colOff>
      <xdr:row>30</xdr:row>
      <xdr:rowOff>169334</xdr:rowOff>
    </xdr:to>
    <xdr:sp macro="" textlink="">
      <xdr:nvSpPr>
        <xdr:cNvPr id="8" name="מלבן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 bwMode="auto">
        <a:xfrm>
          <a:off x="10958957000" y="4301067"/>
          <a:ext cx="4952999" cy="1397000"/>
        </a:xfrm>
        <a:prstGeom prst="rect">
          <a:avLst/>
        </a:prstGeom>
        <a:solidFill>
          <a:srgbClr val="EBF9FF"/>
        </a:solidFill>
        <a:ln w="1905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1" anchor="t" upright="1"/>
        <a:lstStyle/>
        <a:p>
          <a:pPr algn="r" rtl="1"/>
          <a:r>
            <a:rPr lang="he-IL" sz="1000" b="1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 בטבלה זו ניתן להוסיף סעיפים פרטיים, לפי הכללים הבאים:</a:t>
          </a:r>
          <a:endParaRPr lang="he-IL" sz="1000" b="0" baseline="0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  <a:p>
          <a:pPr marL="457200" marR="0" lvl="1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000" b="0" baseline="0">
              <a:solidFill>
                <a:srgbClr val="23408E"/>
              </a:solidFill>
              <a:latin typeface="Segoe UI" panose="020B0502040204020203" pitchFamily="34" charset="0"/>
              <a:cs typeface="+mn-cs"/>
            </a:rPr>
            <a:t> - </a:t>
          </a:r>
          <a:r>
            <a:rPr kumimoji="0" lang="he-IL" sz="9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רשמו את הסעיף/ים הפרטי/ים תחת הסעיף/ים הראשי/ים המתאים/ים, בהמשך הרשימה הקיימת.</a:t>
          </a:r>
        </a:p>
        <a:p>
          <a:pPr marL="457200" marR="0" lvl="1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he-IL" sz="9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 - הוסיפו ברצף. אל תשאירו תאים ריקים באמצע רשימה של אותו סעיף ראשי.</a:t>
          </a:r>
        </a:p>
        <a:p>
          <a:pPr marL="457200" marR="0" lvl="1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he-IL" sz="9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 - כל שם סעיף  צריך להיות יחודי.</a:t>
          </a:r>
        </a:p>
        <a:p>
          <a:pPr marL="457200" marR="0" lvl="1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he-IL" sz="900" b="0" i="0" u="none" strike="noStrike" kern="0" cap="none" spc="0" normalizeH="0" baseline="0" noProof="0">
            <a:ln>
              <a:noFill/>
            </a:ln>
            <a:solidFill>
              <a:srgbClr val="23408E"/>
            </a:solidFill>
            <a:effectLst/>
            <a:uLnTx/>
            <a:uFillTx/>
            <a:latin typeface="Segoe UI" panose="020B0502040204020203" pitchFamily="34" charset="0"/>
            <a:ea typeface="+mn-ea"/>
            <a:cs typeface="+mn-cs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he-IL" sz="9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  הסעיפים הפרטיים יסומנו בצבע שונה.</a:t>
          </a:r>
        </a:p>
        <a:p>
          <a:pPr marL="457200" marR="0" lvl="1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he-IL" sz="900" b="0" i="0" u="none" strike="noStrike" kern="0" cap="none" spc="0" normalizeH="0" baseline="0" noProof="0">
            <a:ln>
              <a:noFill/>
            </a:ln>
            <a:solidFill>
              <a:srgbClr val="23408E"/>
            </a:solidFill>
            <a:effectLst/>
            <a:uLnTx/>
            <a:uFillTx/>
            <a:latin typeface="Segoe UI" panose="020B0502040204020203" pitchFamily="34" charset="0"/>
            <a:ea typeface="+mn-ea"/>
            <a:cs typeface="+mn-cs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he-IL" sz="10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 </a:t>
          </a:r>
          <a:r>
            <a:rPr kumimoji="0" lang="he-IL" sz="1000" b="1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זכרו! </a:t>
          </a:r>
          <a:r>
            <a:rPr kumimoji="0" lang="he-IL" sz="10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סעיפים פרטיים </a:t>
          </a:r>
          <a:r>
            <a:rPr kumimoji="0" lang="he-IL" sz="1000" b="1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לא</a:t>
          </a:r>
          <a:r>
            <a:rPr kumimoji="0" lang="he-IL" sz="1000" b="0" i="0" u="none" strike="noStrike" kern="0" cap="none" spc="0" normalizeH="0" baseline="0" noProof="0">
              <a:ln>
                <a:noFill/>
              </a:ln>
              <a:solidFill>
                <a:srgbClr val="23408E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+mn-cs"/>
            </a:rPr>
            <a:t> מועברים ביבוא אוטומטי מהתוכנה.</a:t>
          </a:r>
        </a:p>
        <a:p>
          <a:pPr algn="ctr" rtl="1"/>
          <a:endParaRPr lang="he-IL" sz="900" b="0">
            <a:solidFill>
              <a:srgbClr val="23408E"/>
            </a:solidFill>
            <a:latin typeface="Segoe UI" panose="020B0502040204020203" pitchFamily="34" charset="0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A1:A7" totalsRowShown="0" headerRowDxfId="133" dataDxfId="131" headerRowBorderDxfId="132" tableBorderDxfId="130" totalsRowBorderDxfId="129" headerRowCellStyle="Normal 3" dataCellStyle="Normal 3">
  <autoFilter ref="A1:A7" xr:uid="{00000000-0009-0000-0100-000004000000}"/>
  <tableColumns count="1">
    <tableColumn id="1" xr3:uid="{00000000-0010-0000-0000-000001000000}" name="מזון ופארמה" dataDxfId="128" dataCellStyle="Normal 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1:B10" totalsRowShown="0" headerRowDxfId="127" dataDxfId="125" headerRowBorderDxfId="126" tableBorderDxfId="124" totalsRowBorderDxfId="123" headerRowCellStyle="Normal 3" dataCellStyle="Normal 3">
  <autoFilter ref="B1:B10" xr:uid="{00000000-0009-0000-0100-000007000000}"/>
  <tableColumns count="1">
    <tableColumn id="1" xr3:uid="{00000000-0010-0000-0100-000001000000}" name="פנאי, בילוי ותחביבים" dataDxfId="122" dataCellStyle="Normal 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טבלה8" displayName="טבלה8" ref="C1:C5" totalsRowShown="0" headerRowDxfId="121" dataDxfId="119" headerRowBorderDxfId="120" tableBorderDxfId="118" totalsRowBorderDxfId="117" headerRowCellStyle="Normal 3" dataCellStyle="Normal 3">
  <autoFilter ref="C1:C5" xr:uid="{00000000-0009-0000-0100-000008000000}"/>
  <tableColumns count="1">
    <tableColumn id="1" xr3:uid="{00000000-0010-0000-0200-000001000000}" name="ביגוד והנעלה" dataDxfId="116" dataCellStyle="Normal 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טבלה9" displayName="טבלה9" ref="D1:D6" totalsRowShown="0" headerRowDxfId="115" dataDxfId="113" headerRowBorderDxfId="114" tableBorderDxfId="112" totalsRowBorderDxfId="111" headerRowCellStyle="Normal 3" dataCellStyle="Normal 3">
  <autoFilter ref="D1:D6" xr:uid="{00000000-0009-0000-0100-000009000000}"/>
  <tableColumns count="1">
    <tableColumn id="1" xr3:uid="{00000000-0010-0000-0300-000001000000}" name="תכולת בית" dataDxfId="110" dataCellStyle="Normal 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טבלה10" displayName="טבלה10" ref="E1:E8" totalsRowShown="0" headerRowDxfId="109" dataDxfId="107" headerRowBorderDxfId="108" tableBorderDxfId="106" totalsRowBorderDxfId="105" headerRowCellStyle="Normal 3" dataCellStyle="Normal 3">
  <autoFilter ref="E1:E8" xr:uid="{00000000-0009-0000-0100-00000A000000}"/>
  <tableColumns count="1">
    <tableColumn id="1" xr3:uid="{00000000-0010-0000-0400-000001000000}" name="אחזקת בית" dataDxfId="104" dataCellStyle="Normal 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טבלה11" displayName="טבלה11" ref="F1:F4" totalsRowShown="0" headerRowDxfId="103" dataDxfId="101" headerRowBorderDxfId="102" tableBorderDxfId="100" totalsRowBorderDxfId="99" headerRowCellStyle="Normal 3" dataCellStyle="Normal 3">
  <autoFilter ref="F1:F4" xr:uid="{00000000-0009-0000-0100-00000B000000}"/>
  <tableColumns count="1">
    <tableColumn id="1" xr3:uid="{00000000-0010-0000-0500-000001000000}" name="טיפוח" dataDxfId="98" dataCellStyle="Normal 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טבלה12" displayName="טבלה12" ref="G1:G11" totalsRowShown="0" headerRowDxfId="97" dataDxfId="95" headerRowBorderDxfId="96" tableBorderDxfId="94" totalsRowBorderDxfId="93" headerRowCellStyle="Normal 3" dataCellStyle="Normal 3">
  <autoFilter ref="G1:G11" xr:uid="{00000000-0009-0000-0100-00000C000000}"/>
  <tableColumns count="1">
    <tableColumn id="1" xr3:uid="{00000000-0010-0000-0600-000001000000}" name="חינוך" dataDxfId="92" dataCellStyle="Normal 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טבלה13" displayName="טבלה13" ref="H1:H4" totalsRowShown="0" headerRowDxfId="91" dataDxfId="89" headerRowBorderDxfId="90" tableBorderDxfId="88" totalsRowBorderDxfId="87" headerRowCellStyle="Normal 3" dataCellStyle="Normal 3">
  <autoFilter ref="H1:H4" xr:uid="{00000000-0009-0000-0100-00000D000000}"/>
  <tableColumns count="1">
    <tableColumn id="1" xr3:uid="{00000000-0010-0000-0700-000001000000}" name="אירועים, תרומות, צרכי דת" dataDxfId="86" dataCellStyle="Normal 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טבלה14" displayName="טבלה14" ref="I1:I8" totalsRowShown="0" headerRowDxfId="85" dataDxfId="83" headerRowBorderDxfId="84" tableBorderDxfId="82" totalsRowBorderDxfId="81" headerRowCellStyle="Normal 3" dataCellStyle="Normal 3">
  <autoFilter ref="I1:I8" xr:uid="{00000000-0009-0000-0100-00000E000000}"/>
  <tableColumns count="1">
    <tableColumn id="1" xr3:uid="{00000000-0010-0000-0800-000001000000}" name="בריאות" dataDxfId="80" dataCellStyle="Normal 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טבלה15" displayName="טבלה15" ref="J1:J11" totalsRowShown="0" headerRowDxfId="79" dataDxfId="77" headerRowBorderDxfId="78" tableBorderDxfId="76" totalsRowBorderDxfId="75" headerRowCellStyle="Normal 3" dataCellStyle="Normal 3">
  <autoFilter ref="J1:J11" xr:uid="{00000000-0009-0000-0100-00000F000000}"/>
  <tableColumns count="1">
    <tableColumn id="1" xr3:uid="{00000000-0010-0000-0900-000001000000}" name="תחבורה" dataDxfId="74" dataCellStyle="Normal 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טבלה16" displayName="טבלה16" ref="K1:K6" totalsRowShown="0" headerRowDxfId="73" dataDxfId="71" headerRowBorderDxfId="72" tableBorderDxfId="70" totalsRowBorderDxfId="69" headerRowCellStyle="Normal 3" dataCellStyle="Normal 3">
  <autoFilter ref="K1:K6" xr:uid="{00000000-0009-0000-0100-000010000000}"/>
  <tableColumns count="1">
    <tableColumn id="1" xr3:uid="{00000000-0010-0000-0A00-000001000000}" name="משפחה" dataDxfId="68" dataCellStyle="Normal 3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טבלה17" displayName="טבלה17" ref="L1:L5" totalsRowShown="0" headerRowDxfId="67" dataDxfId="65" headerRowBorderDxfId="66" tableBorderDxfId="64" totalsRowBorderDxfId="63" headerRowCellStyle="Normal 3" dataCellStyle="Normal 3">
  <autoFilter ref="L1:L5" xr:uid="{00000000-0009-0000-0100-000011000000}"/>
  <tableColumns count="1">
    <tableColumn id="1" xr3:uid="{00000000-0010-0000-0B00-000001000000}" name="תקשורת" dataDxfId="62" dataCellStyle="Normal 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טבלה18" displayName="טבלה18" ref="M1:M7" totalsRowShown="0" headerRowDxfId="61" dataDxfId="59" headerRowBorderDxfId="60" tableBorderDxfId="58" totalsRowBorderDxfId="57" headerRowCellStyle="Normal 3" dataCellStyle="Normal 3">
  <autoFilter ref="M1:M7" xr:uid="{00000000-0009-0000-0100-000012000000}"/>
  <tableColumns count="1">
    <tableColumn id="1" xr3:uid="{00000000-0010-0000-0C00-000001000000}" name="דיור" dataDxfId="56" dataCellStyle="Normal 3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טבלה19" displayName="טבלה19" ref="N1:N3" totalsRowShown="0" headerRowDxfId="55" dataDxfId="53" headerRowBorderDxfId="54" tableBorderDxfId="52" totalsRowBorderDxfId="51" headerRowCellStyle="Normal 3" dataCellStyle="Normal 3">
  <autoFilter ref="N1:N3" xr:uid="{00000000-0009-0000-0100-000013000000}"/>
  <tableColumns count="1">
    <tableColumn id="1" xr3:uid="{00000000-0010-0000-0D00-000001000000}" name="התחייבויות" dataDxfId="50" dataCellStyle="Normal 3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טבלה20" displayName="טבלה20" ref="O1:O2" totalsRowShown="0" headerRowDxfId="49" dataDxfId="47" headerRowBorderDxfId="48" tableBorderDxfId="46" totalsRowBorderDxfId="45" headerRowCellStyle="Normal 3" dataCellStyle="Normal 3">
  <autoFilter ref="O1:O2" xr:uid="{00000000-0009-0000-0100-000014000000}"/>
  <tableColumns count="1">
    <tableColumn id="1" xr3:uid="{00000000-0010-0000-0E00-000001000000}" name="נכסים" dataDxfId="44" dataCellStyle="Normal 3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טבלה21" displayName="טבלה21" ref="P1:P5" totalsRowShown="0" headerRowDxfId="43" dataDxfId="41" headerRowBorderDxfId="42" tableBorderDxfId="40" totalsRowBorderDxfId="39" headerRowCellStyle="Normal 3" dataCellStyle="Normal 3">
  <autoFilter ref="P1:P5" xr:uid="{00000000-0009-0000-0100-000015000000}"/>
  <tableColumns count="1">
    <tableColumn id="1" xr3:uid="{00000000-0010-0000-0F00-000001000000}" name="פיננסים" dataDxfId="38" dataCellStyle="Normal 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0000000}" name="טבלה22" displayName="טבלה22" ref="Q1:Q6" totalsRowShown="0" headerRowDxfId="37" dataDxfId="35" headerRowBorderDxfId="36" tableBorderDxfId="34" totalsRowBorderDxfId="33" headerRowCellStyle="Normal 3" dataCellStyle="Normal 3">
  <autoFilter ref="Q1:Q6" xr:uid="{00000000-0009-0000-0100-000016000000}"/>
  <tableColumns count="1">
    <tableColumn id="1" xr3:uid="{00000000-0010-0000-1000-000001000000}" name="שכר" dataDxfId="32" dataCellStyle="Normal 3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1000000}" name="טבלה23" displayName="טבלה23" ref="R1:R6" totalsRowShown="0" headerRowDxfId="31" dataDxfId="29" headerRowBorderDxfId="30" tableBorderDxfId="28" totalsRowBorderDxfId="27" headerRowCellStyle="Normal 3" dataCellStyle="Normal 3">
  <autoFilter ref="R1:R6" xr:uid="{00000000-0009-0000-0100-000017000000}"/>
  <tableColumns count="1">
    <tableColumn id="1" xr3:uid="{00000000-0010-0000-1100-000001000000}" name="קצבאות" dataDxfId="26" dataCellStyle="Normal 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טבלה24" displayName="טבלה24" ref="S1:S5" totalsRowShown="0" headerRowDxfId="25" dataDxfId="23" headerRowBorderDxfId="24" tableBorderDxfId="22" totalsRowBorderDxfId="21" headerRowCellStyle="Normal 3" dataCellStyle="Normal 3">
  <autoFilter ref="S1:S5" xr:uid="{00000000-0009-0000-0100-000018000000}"/>
  <tableColumns count="1">
    <tableColumn id="1" xr3:uid="{00000000-0010-0000-1200-000001000000}" name="הכנסות שונות" dataDxfId="20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Relationship Id="rId3" Target="../drawings/vmlDrawing2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10" Target="../tables/table7.xml" Type="http://schemas.openxmlformats.org/officeDocument/2006/relationships/table"/><Relationship Id="rId11" Target="../tables/table8.xml" Type="http://schemas.openxmlformats.org/officeDocument/2006/relationships/table"/><Relationship Id="rId12" Target="../tables/table9.xml" Type="http://schemas.openxmlformats.org/officeDocument/2006/relationships/table"/><Relationship Id="rId13" Target="../tables/table10.xml" Type="http://schemas.openxmlformats.org/officeDocument/2006/relationships/table"/><Relationship Id="rId14" Target="../tables/table11.xml" Type="http://schemas.openxmlformats.org/officeDocument/2006/relationships/table"/><Relationship Id="rId15" Target="../tables/table12.xml" Type="http://schemas.openxmlformats.org/officeDocument/2006/relationships/table"/><Relationship Id="rId16" Target="../tables/table13.xml" Type="http://schemas.openxmlformats.org/officeDocument/2006/relationships/table"/><Relationship Id="rId17" Target="../tables/table14.xml" Type="http://schemas.openxmlformats.org/officeDocument/2006/relationships/table"/><Relationship Id="rId18" Target="../tables/table15.xml" Type="http://schemas.openxmlformats.org/officeDocument/2006/relationships/table"/><Relationship Id="rId19" Target="../tables/table16.xml" Type="http://schemas.openxmlformats.org/officeDocument/2006/relationships/table"/><Relationship Id="rId2" Target="../drawings/drawing5.xml" Type="http://schemas.openxmlformats.org/officeDocument/2006/relationships/drawing"/><Relationship Id="rId20" Target="../tables/table17.xml" Type="http://schemas.openxmlformats.org/officeDocument/2006/relationships/table"/><Relationship Id="rId21" Target="../tables/table18.xml" Type="http://schemas.openxmlformats.org/officeDocument/2006/relationships/table"/><Relationship Id="rId22" Target="../tables/table19.xml" Type="http://schemas.openxmlformats.org/officeDocument/2006/relationships/table"/><Relationship Id="rId23" Target="../comments2.xml" Type="http://schemas.openxmlformats.org/officeDocument/2006/relationships/comments"/><Relationship Id="rId3" Target="../drawings/vmlDrawing3.vml" Type="http://schemas.openxmlformats.org/officeDocument/2006/relationships/vmlDrawing"/><Relationship Id="rId4" Target="../tables/table1.xml" Type="http://schemas.openxmlformats.org/officeDocument/2006/relationships/table"/><Relationship Id="rId5" Target="../tables/table2.xml" Type="http://schemas.openxmlformats.org/officeDocument/2006/relationships/table"/><Relationship Id="rId6" Target="../tables/table3.xml" Type="http://schemas.openxmlformats.org/officeDocument/2006/relationships/table"/><Relationship Id="rId7" Target="../tables/table4.xml" Type="http://schemas.openxmlformats.org/officeDocument/2006/relationships/table"/><Relationship Id="rId8" Target="../tables/table5.xml" Type="http://schemas.openxmlformats.org/officeDocument/2006/relationships/table"/><Relationship Id="rId9" Target="../tables/table6.xml" Type="http://schemas.openxmlformats.org/officeDocument/2006/relationships/table"/></Relationships>
</file>

<file path=xl/worksheets/_rels/sheet10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5.vml" Type="http://schemas.openxmlformats.org/officeDocument/2006/relationships/vmlDrawing"/><Relationship Id="rId3" Target="../comments4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outlinePr summaryBelow="0" summaryRight="0"/>
  </sheetPr>
  <dimension ref="A1:E997"/>
  <sheetViews>
    <sheetView rightToLeft="1" zoomScaleNormal="100" workbookViewId="0">
      <selection activeCell="C7" sqref="C7"/>
    </sheetView>
  </sheetViews>
  <sheetFormatPr defaultColWidth="0" defaultRowHeight="15" customHeight="1"/>
  <cols>
    <col min="1" max="1" customWidth="true" style="41" width="4.375"/>
    <col min="2" max="2" customWidth="true" width="14.125"/>
    <col min="3" max="3" customWidth="true" width="123.0"/>
    <col min="4" max="4" customWidth="true" width="16.375"/>
    <col min="5" max="5" customWidth="true" width="5.25"/>
    <col min="6" max="16384" hidden="true" width="16.375"/>
  </cols>
  <sheetData>
    <row r="1" spans="1:5" ht="57.6" customHeight="1">
      <c r="A1" s="36"/>
      <c r="B1" s="52" t="s">
        <v>422</v>
      </c>
      <c r="C1" s="32"/>
      <c r="D1" s="32"/>
      <c r="E1" s="32"/>
    </row>
    <row r="2" spans="1:5" ht="13.9" customHeight="1">
      <c r="A2" s="37"/>
      <c r="B2" s="95"/>
      <c r="C2" s="95"/>
      <c r="D2" s="93" t="s">
        <v>113</v>
      </c>
      <c r="E2" s="34"/>
    </row>
    <row r="3" spans="1:5" ht="18.600000000000001" customHeight="1">
      <c r="A3" s="37"/>
      <c r="B3" s="33"/>
      <c r="D3" s="117" t="s">
        <v>421</v>
      </c>
      <c r="E3" s="34"/>
    </row>
    <row r="4" spans="1:5" ht="36.6" customHeight="1">
      <c r="A4" s="38"/>
      <c r="B4" s="97" t="s">
        <v>165</v>
      </c>
      <c r="C4" s="35" t="s">
        <v>423</v>
      </c>
      <c r="D4" s="34"/>
      <c r="E4" s="34"/>
    </row>
    <row r="5" spans="1:5" ht="23.25" customHeight="1">
      <c r="A5" s="38"/>
      <c r="B5" s="97" t="s">
        <v>114</v>
      </c>
      <c r="C5" s="98" t="s">
        <v>424</v>
      </c>
      <c r="D5" s="32"/>
      <c r="E5" s="32"/>
    </row>
    <row r="6" spans="1:5" ht="39" customHeight="1">
      <c r="A6" s="38"/>
      <c r="B6" s="97" t="s">
        <v>115</v>
      </c>
      <c r="C6" s="98" t="s">
        <v>425</v>
      </c>
      <c r="D6" s="32"/>
      <c r="E6" s="32"/>
    </row>
    <row r="7" spans="1:5" ht="28.15" customHeight="1">
      <c r="A7" s="38"/>
      <c r="B7" s="97" t="s">
        <v>116</v>
      </c>
      <c r="C7" s="98" t="s">
        <v>426</v>
      </c>
      <c r="D7" s="32"/>
      <c r="E7" s="32"/>
    </row>
    <row r="8" spans="1:5" ht="40.9" customHeight="1">
      <c r="A8" s="38"/>
      <c r="B8" s="97" t="s">
        <v>117</v>
      </c>
      <c r="C8" s="96" t="s">
        <v>427</v>
      </c>
      <c r="D8" s="32"/>
      <c r="E8" s="32"/>
    </row>
    <row r="9" spans="1:5" ht="54" customHeight="1">
      <c r="A9" s="38"/>
      <c r="B9" s="197" t="s">
        <v>118</v>
      </c>
      <c r="C9" s="197"/>
      <c r="D9" s="32"/>
      <c r="E9" s="32"/>
    </row>
    <row r="10" spans="1:5" ht="7.15" customHeight="1">
      <c r="A10" s="37"/>
      <c r="B10" s="31"/>
      <c r="C10" s="34"/>
      <c r="D10" s="34"/>
      <c r="E10" s="34"/>
    </row>
    <row r="11" spans="1:5" ht="87.75" customHeight="1">
      <c r="A11" s="39"/>
      <c r="B11" s="198" t="s">
        <v>428</v>
      </c>
      <c r="C11" s="198"/>
      <c r="D11" s="32"/>
      <c r="E11" s="32"/>
    </row>
    <row r="12" spans="1:5">
      <c r="A12" s="39"/>
      <c r="B12" s="32"/>
      <c r="C12" s="32"/>
      <c r="D12" s="32"/>
      <c r="E12" s="32"/>
    </row>
    <row r="13" spans="1:5">
      <c r="A13" s="39"/>
      <c r="B13" s="32"/>
      <c r="C13" s="32"/>
      <c r="D13" s="32"/>
      <c r="E13" s="32"/>
    </row>
    <row r="14" spans="1:5">
      <c r="A14" s="39"/>
      <c r="B14" s="32"/>
      <c r="C14" s="32"/>
      <c r="D14" s="32"/>
      <c r="E14" s="32"/>
    </row>
    <row r="15" spans="1:5">
      <c r="A15" s="39"/>
      <c r="B15" s="32"/>
      <c r="C15" s="32"/>
      <c r="D15" s="32"/>
      <c r="E15" s="32"/>
    </row>
    <row r="16" spans="1:5">
      <c r="A16" s="39"/>
      <c r="B16" s="32"/>
      <c r="C16" s="32"/>
      <c r="D16" s="32"/>
      <c r="E16" s="32"/>
    </row>
    <row r="17" spans="1:5">
      <c r="A17" s="39"/>
      <c r="B17" s="32"/>
      <c r="C17" s="32"/>
      <c r="D17" s="32"/>
      <c r="E17" s="32"/>
    </row>
    <row r="18" spans="1:5">
      <c r="A18" s="39"/>
      <c r="B18" s="32"/>
      <c r="C18" s="32"/>
      <c r="D18" s="32"/>
      <c r="E18" s="32"/>
    </row>
    <row r="19" spans="1:5">
      <c r="A19" s="39"/>
      <c r="B19" s="32"/>
      <c r="C19" s="32"/>
      <c r="D19" s="32"/>
      <c r="E19" s="32"/>
    </row>
    <row r="20" spans="1:5">
      <c r="A20" s="39"/>
      <c r="B20" s="32"/>
      <c r="C20" s="32"/>
      <c r="D20" s="32"/>
      <c r="E20" s="32"/>
    </row>
    <row r="21" spans="1:5">
      <c r="A21" s="39"/>
      <c r="B21" s="32"/>
      <c r="C21" s="32"/>
      <c r="D21" s="32"/>
      <c r="E21" s="32"/>
    </row>
    <row r="22" spans="1:5">
      <c r="A22" s="40"/>
    </row>
    <row r="23" spans="1:5">
      <c r="A23" s="40"/>
    </row>
    <row r="24" spans="1:5">
      <c r="A24" s="40"/>
    </row>
    <row r="25" spans="1:5">
      <c r="A25" s="40"/>
    </row>
    <row r="26" spans="1:5">
      <c r="A26" s="40"/>
    </row>
    <row r="27" spans="1:5">
      <c r="A27" s="40"/>
    </row>
    <row r="28" spans="1:5">
      <c r="A28" s="40"/>
    </row>
    <row r="29" spans="1:5">
      <c r="A29" s="40"/>
    </row>
    <row r="30" spans="1:5">
      <c r="A30" s="40"/>
    </row>
    <row r="31" spans="1:5">
      <c r="A31" s="40"/>
    </row>
    <row r="32" spans="1:5">
      <c r="A32" s="40"/>
    </row>
    <row r="33" spans="1:1">
      <c r="A33" s="40"/>
    </row>
    <row r="34" spans="1:1">
      <c r="A34" s="40"/>
    </row>
    <row r="35" spans="1:1">
      <c r="A35" s="40"/>
    </row>
    <row r="36" spans="1:1">
      <c r="A36" s="40"/>
    </row>
    <row r="37" spans="1:1">
      <c r="A37" s="40"/>
    </row>
    <row r="38" spans="1:1">
      <c r="A38" s="40"/>
    </row>
    <row r="39" spans="1:1">
      <c r="A39" s="40"/>
    </row>
    <row r="40" spans="1:1">
      <c r="A40" s="40"/>
    </row>
    <row r="41" spans="1:1">
      <c r="A41" s="40"/>
    </row>
    <row r="42" spans="1:1">
      <c r="A42" s="40"/>
    </row>
    <row r="43" spans="1:1">
      <c r="A43" s="40"/>
    </row>
    <row r="44" spans="1:1">
      <c r="A44" s="40"/>
    </row>
    <row r="45" spans="1:1">
      <c r="A45" s="40"/>
    </row>
    <row r="46" spans="1:1">
      <c r="A46" s="40"/>
    </row>
    <row r="47" spans="1:1">
      <c r="A47" s="40"/>
    </row>
    <row r="48" spans="1:1">
      <c r="A48" s="40"/>
    </row>
    <row r="49" spans="1:1">
      <c r="A49" s="40"/>
    </row>
    <row r="50" spans="1:1">
      <c r="A50" s="40"/>
    </row>
    <row r="51" spans="1:1">
      <c r="A51" s="40"/>
    </row>
    <row r="52" spans="1:1">
      <c r="A52" s="40"/>
    </row>
    <row r="53" spans="1:1">
      <c r="A53" s="40"/>
    </row>
    <row r="54" spans="1:1">
      <c r="A54" s="40"/>
    </row>
    <row r="55" spans="1:1">
      <c r="A55" s="40"/>
    </row>
    <row r="56" spans="1:1">
      <c r="A56" s="40"/>
    </row>
    <row r="57" spans="1:1">
      <c r="A57" s="40"/>
    </row>
    <row r="58" spans="1:1">
      <c r="A58" s="40"/>
    </row>
    <row r="59" spans="1:1">
      <c r="A59" s="40"/>
    </row>
    <row r="60" spans="1:1">
      <c r="A60" s="40"/>
    </row>
    <row r="61" spans="1:1">
      <c r="A61" s="40"/>
    </row>
    <row r="62" spans="1:1">
      <c r="A62" s="40"/>
    </row>
    <row r="63" spans="1:1">
      <c r="A63" s="40"/>
    </row>
    <row r="64" spans="1:1">
      <c r="A64" s="40"/>
    </row>
    <row r="65" spans="1:1">
      <c r="A65" s="40"/>
    </row>
    <row r="66" spans="1:1">
      <c r="A66" s="40"/>
    </row>
    <row r="67" spans="1:1">
      <c r="A67" s="40"/>
    </row>
    <row r="68" spans="1:1">
      <c r="A68" s="40"/>
    </row>
    <row r="69" spans="1:1">
      <c r="A69" s="40"/>
    </row>
    <row r="70" spans="1:1">
      <c r="A70" s="40"/>
    </row>
    <row r="71" spans="1:1">
      <c r="A71" s="40"/>
    </row>
    <row r="72" spans="1:1">
      <c r="A72" s="40"/>
    </row>
    <row r="73" spans="1:1">
      <c r="A73" s="40"/>
    </row>
    <row r="74" spans="1:1">
      <c r="A74" s="40"/>
    </row>
    <row r="75" spans="1:1">
      <c r="A75" s="40"/>
    </row>
    <row r="76" spans="1:1">
      <c r="A76" s="40"/>
    </row>
    <row r="77" spans="1:1">
      <c r="A77" s="40"/>
    </row>
    <row r="78" spans="1:1">
      <c r="A78" s="40"/>
    </row>
    <row r="79" spans="1:1">
      <c r="A79" s="40"/>
    </row>
    <row r="80" spans="1:1">
      <c r="A80" s="40"/>
    </row>
    <row r="81" spans="1:1">
      <c r="A81" s="40"/>
    </row>
    <row r="82" spans="1:1">
      <c r="A82" s="40"/>
    </row>
    <row r="83" spans="1:1">
      <c r="A83" s="40"/>
    </row>
    <row r="84" spans="1:1">
      <c r="A84" s="40"/>
    </row>
    <row r="85" spans="1:1">
      <c r="A85" s="40"/>
    </row>
    <row r="86" spans="1:1">
      <c r="A86" s="40"/>
    </row>
    <row r="87" spans="1:1">
      <c r="A87" s="40"/>
    </row>
    <row r="88" spans="1:1">
      <c r="A88" s="40"/>
    </row>
    <row r="89" spans="1:1">
      <c r="A89" s="40"/>
    </row>
    <row r="90" spans="1:1">
      <c r="A90" s="40"/>
    </row>
    <row r="91" spans="1:1">
      <c r="A91" s="40"/>
    </row>
    <row r="92" spans="1:1">
      <c r="A92" s="40"/>
    </row>
    <row r="93" spans="1:1">
      <c r="A93" s="40"/>
    </row>
    <row r="94" spans="1:1">
      <c r="A94" s="40"/>
    </row>
    <row r="95" spans="1:1">
      <c r="A95" s="40"/>
    </row>
    <row r="96" spans="1:1">
      <c r="A96" s="40"/>
    </row>
    <row r="97" spans="1:1">
      <c r="A97" s="40"/>
    </row>
    <row r="98" spans="1:1">
      <c r="A98" s="40"/>
    </row>
    <row r="99" spans="1:1">
      <c r="A99" s="40"/>
    </row>
    <row r="100" spans="1:1">
      <c r="A100" s="40"/>
    </row>
    <row r="101" spans="1:1">
      <c r="A101" s="40"/>
    </row>
    <row r="102" spans="1:1">
      <c r="A102" s="40"/>
    </row>
    <row r="103" spans="1:1">
      <c r="A103" s="40"/>
    </row>
    <row r="104" spans="1:1">
      <c r="A104" s="40"/>
    </row>
    <row r="105" spans="1:1">
      <c r="A105" s="40"/>
    </row>
    <row r="106" spans="1:1">
      <c r="A106" s="40"/>
    </row>
    <row r="107" spans="1:1">
      <c r="A107" s="40"/>
    </row>
    <row r="108" spans="1:1">
      <c r="A108" s="40"/>
    </row>
    <row r="109" spans="1:1">
      <c r="A109" s="40"/>
    </row>
    <row r="110" spans="1:1">
      <c r="A110" s="40"/>
    </row>
    <row r="111" spans="1:1">
      <c r="A111" s="40"/>
    </row>
    <row r="112" spans="1:1">
      <c r="A112" s="40"/>
    </row>
    <row r="113" spans="1:1">
      <c r="A113" s="40"/>
    </row>
    <row r="114" spans="1:1">
      <c r="A114" s="40"/>
    </row>
    <row r="115" spans="1:1">
      <c r="A115" s="40"/>
    </row>
    <row r="116" spans="1:1">
      <c r="A116" s="40"/>
    </row>
    <row r="117" spans="1:1">
      <c r="A117" s="40"/>
    </row>
    <row r="118" spans="1:1">
      <c r="A118" s="40"/>
    </row>
    <row r="119" spans="1:1">
      <c r="A119" s="40"/>
    </row>
    <row r="120" spans="1:1">
      <c r="A120" s="40"/>
    </row>
    <row r="121" spans="1:1">
      <c r="A121" s="40"/>
    </row>
    <row r="122" spans="1:1">
      <c r="A122" s="40"/>
    </row>
    <row r="123" spans="1:1">
      <c r="A123" s="40"/>
    </row>
    <row r="124" spans="1:1">
      <c r="A124" s="40"/>
    </row>
    <row r="125" spans="1:1">
      <c r="A125" s="40"/>
    </row>
    <row r="126" spans="1:1">
      <c r="A126" s="40"/>
    </row>
    <row r="127" spans="1:1">
      <c r="A127" s="40"/>
    </row>
    <row r="128" spans="1:1">
      <c r="A128" s="40"/>
    </row>
    <row r="129" spans="1:1">
      <c r="A129" s="40"/>
    </row>
    <row r="130" spans="1:1">
      <c r="A130" s="40"/>
    </row>
    <row r="131" spans="1:1">
      <c r="A131" s="40"/>
    </row>
    <row r="132" spans="1:1">
      <c r="A132" s="40"/>
    </row>
    <row r="133" spans="1:1">
      <c r="A133" s="40"/>
    </row>
    <row r="134" spans="1:1">
      <c r="A134" s="40"/>
    </row>
    <row r="135" spans="1:1">
      <c r="A135" s="40"/>
    </row>
    <row r="136" spans="1:1">
      <c r="A136" s="40"/>
    </row>
    <row r="137" spans="1:1">
      <c r="A137" s="40"/>
    </row>
    <row r="138" spans="1:1">
      <c r="A138" s="40"/>
    </row>
    <row r="139" spans="1:1">
      <c r="A139" s="40"/>
    </row>
    <row r="140" spans="1:1">
      <c r="A140" s="40"/>
    </row>
    <row r="141" spans="1:1">
      <c r="A141" s="40"/>
    </row>
    <row r="142" spans="1:1">
      <c r="A142" s="40"/>
    </row>
    <row r="143" spans="1:1">
      <c r="A143" s="40"/>
    </row>
    <row r="144" spans="1:1">
      <c r="A144" s="40"/>
    </row>
    <row r="145" spans="1:1">
      <c r="A145" s="40"/>
    </row>
    <row r="146" spans="1:1">
      <c r="A146" s="40"/>
    </row>
    <row r="147" spans="1:1">
      <c r="A147" s="40"/>
    </row>
    <row r="148" spans="1:1">
      <c r="A148" s="40"/>
    </row>
    <row r="149" spans="1:1">
      <c r="A149" s="40"/>
    </row>
    <row r="150" spans="1:1">
      <c r="A150" s="40"/>
    </row>
    <row r="151" spans="1:1">
      <c r="A151" s="40"/>
    </row>
    <row r="152" spans="1:1">
      <c r="A152" s="40"/>
    </row>
    <row r="153" spans="1:1">
      <c r="A153" s="40"/>
    </row>
    <row r="154" spans="1:1">
      <c r="A154" s="40"/>
    </row>
    <row r="155" spans="1:1">
      <c r="A155" s="40"/>
    </row>
    <row r="156" spans="1:1">
      <c r="A156" s="40"/>
    </row>
    <row r="157" spans="1:1">
      <c r="A157" s="40"/>
    </row>
    <row r="158" spans="1:1">
      <c r="A158" s="40"/>
    </row>
    <row r="159" spans="1:1">
      <c r="A159" s="40"/>
    </row>
    <row r="160" spans="1:1">
      <c r="A160" s="40"/>
    </row>
    <row r="161" spans="1:1">
      <c r="A161" s="40"/>
    </row>
    <row r="162" spans="1:1">
      <c r="A162" s="40"/>
    </row>
    <row r="163" spans="1:1">
      <c r="A163" s="40"/>
    </row>
    <row r="164" spans="1:1">
      <c r="A164" s="40"/>
    </row>
    <row r="165" spans="1:1">
      <c r="A165" s="40"/>
    </row>
    <row r="166" spans="1:1">
      <c r="A166" s="40"/>
    </row>
    <row r="167" spans="1:1">
      <c r="A167" s="40"/>
    </row>
    <row r="168" spans="1:1">
      <c r="A168" s="40"/>
    </row>
    <row r="169" spans="1:1">
      <c r="A169" s="40"/>
    </row>
    <row r="170" spans="1:1">
      <c r="A170" s="40"/>
    </row>
    <row r="171" spans="1:1">
      <c r="A171" s="40"/>
    </row>
    <row r="172" spans="1:1">
      <c r="A172" s="40"/>
    </row>
    <row r="173" spans="1:1">
      <c r="A173" s="40"/>
    </row>
    <row r="174" spans="1:1">
      <c r="A174" s="40"/>
    </row>
    <row r="175" spans="1:1">
      <c r="A175" s="40"/>
    </row>
    <row r="176" spans="1:1">
      <c r="A176" s="40"/>
    </row>
    <row r="177" spans="1:1">
      <c r="A177" s="40"/>
    </row>
    <row r="178" spans="1:1">
      <c r="A178" s="40"/>
    </row>
    <row r="179" spans="1:1">
      <c r="A179" s="40"/>
    </row>
    <row r="180" spans="1:1">
      <c r="A180" s="40"/>
    </row>
    <row r="181" spans="1:1">
      <c r="A181" s="40"/>
    </row>
    <row r="182" spans="1:1">
      <c r="A182" s="40"/>
    </row>
    <row r="183" spans="1:1">
      <c r="A183" s="40"/>
    </row>
    <row r="184" spans="1:1">
      <c r="A184" s="40"/>
    </row>
    <row r="185" spans="1:1">
      <c r="A185" s="40"/>
    </row>
    <row r="186" spans="1:1">
      <c r="A186" s="40"/>
    </row>
    <row r="187" spans="1:1">
      <c r="A187" s="40"/>
    </row>
    <row r="188" spans="1:1">
      <c r="A188" s="40"/>
    </row>
    <row r="189" spans="1:1">
      <c r="A189" s="40"/>
    </row>
    <row r="190" spans="1:1">
      <c r="A190" s="40"/>
    </row>
    <row r="191" spans="1:1">
      <c r="A191" s="40"/>
    </row>
    <row r="192" spans="1:1">
      <c r="A192" s="40"/>
    </row>
    <row r="193" spans="1:1">
      <c r="A193" s="40"/>
    </row>
    <row r="194" spans="1:1">
      <c r="A194" s="40"/>
    </row>
    <row r="195" spans="1:1">
      <c r="A195" s="40"/>
    </row>
    <row r="196" spans="1:1">
      <c r="A196" s="40"/>
    </row>
    <row r="197" spans="1:1">
      <c r="A197" s="40"/>
    </row>
    <row r="198" spans="1:1">
      <c r="A198" s="40"/>
    </row>
    <row r="199" spans="1:1">
      <c r="A199" s="40"/>
    </row>
    <row r="200" spans="1:1">
      <c r="A200" s="40"/>
    </row>
    <row r="201" spans="1:1">
      <c r="A201" s="40"/>
    </row>
    <row r="202" spans="1:1">
      <c r="A202" s="40"/>
    </row>
    <row r="203" spans="1:1">
      <c r="A203" s="40"/>
    </row>
    <row r="204" spans="1:1">
      <c r="A204" s="40"/>
    </row>
    <row r="205" spans="1:1">
      <c r="A205" s="40"/>
    </row>
    <row r="206" spans="1:1">
      <c r="A206" s="40"/>
    </row>
    <row r="207" spans="1:1">
      <c r="A207" s="40"/>
    </row>
    <row r="208" spans="1:1">
      <c r="A208" s="40"/>
    </row>
    <row r="209" spans="1:1">
      <c r="A209" s="40"/>
    </row>
    <row r="210" spans="1:1">
      <c r="A210" s="40"/>
    </row>
    <row r="211" spans="1:1">
      <c r="A211" s="40"/>
    </row>
    <row r="212" spans="1:1">
      <c r="A212" s="40"/>
    </row>
    <row r="213" spans="1:1">
      <c r="A213" s="40"/>
    </row>
    <row r="214" spans="1:1">
      <c r="A214" s="40"/>
    </row>
    <row r="215" spans="1:1">
      <c r="A215" s="40"/>
    </row>
    <row r="216" spans="1:1">
      <c r="A216" s="40"/>
    </row>
    <row r="217" spans="1:1">
      <c r="A217" s="40"/>
    </row>
    <row r="218" spans="1:1">
      <c r="A218" s="40"/>
    </row>
    <row r="219" spans="1:1">
      <c r="A219" s="40"/>
    </row>
    <row r="220" spans="1:1">
      <c r="A220" s="40"/>
    </row>
    <row r="221" spans="1:1">
      <c r="A221" s="40"/>
    </row>
    <row r="222" spans="1:1">
      <c r="A222" s="40"/>
    </row>
    <row r="223" spans="1:1">
      <c r="A223" s="40"/>
    </row>
    <row r="224" spans="1:1">
      <c r="A224" s="40"/>
    </row>
    <row r="225" spans="1:1">
      <c r="A225" s="40"/>
    </row>
    <row r="226" spans="1:1">
      <c r="A226" s="40"/>
    </row>
    <row r="227" spans="1:1">
      <c r="A227" s="40"/>
    </row>
    <row r="228" spans="1:1">
      <c r="A228" s="40"/>
    </row>
    <row r="229" spans="1:1">
      <c r="A229" s="40"/>
    </row>
    <row r="230" spans="1:1">
      <c r="A230" s="40"/>
    </row>
    <row r="231" spans="1:1">
      <c r="A231" s="40"/>
    </row>
    <row r="232" spans="1:1">
      <c r="A232" s="40"/>
    </row>
    <row r="233" spans="1:1">
      <c r="A233" s="40"/>
    </row>
    <row r="234" spans="1:1">
      <c r="A234" s="40"/>
    </row>
    <row r="235" spans="1:1">
      <c r="A235" s="40"/>
    </row>
    <row r="236" spans="1:1">
      <c r="A236" s="40"/>
    </row>
    <row r="237" spans="1:1">
      <c r="A237" s="40"/>
    </row>
    <row r="238" spans="1:1">
      <c r="A238" s="40"/>
    </row>
    <row r="239" spans="1:1">
      <c r="A239" s="40"/>
    </row>
    <row r="240" spans="1:1">
      <c r="A240" s="40"/>
    </row>
    <row r="241" spans="1:1">
      <c r="A241" s="40"/>
    </row>
    <row r="242" spans="1:1">
      <c r="A242" s="40"/>
    </row>
    <row r="243" spans="1:1">
      <c r="A243" s="40"/>
    </row>
    <row r="244" spans="1:1">
      <c r="A244" s="40"/>
    </row>
    <row r="245" spans="1:1">
      <c r="A245" s="40"/>
    </row>
    <row r="246" spans="1:1">
      <c r="A246" s="40"/>
    </row>
    <row r="247" spans="1:1">
      <c r="A247" s="40"/>
    </row>
    <row r="248" spans="1:1">
      <c r="A248" s="40"/>
    </row>
    <row r="249" spans="1:1">
      <c r="A249" s="40"/>
    </row>
    <row r="250" spans="1:1">
      <c r="A250" s="40"/>
    </row>
    <row r="251" spans="1:1">
      <c r="A251" s="40"/>
    </row>
    <row r="252" spans="1:1">
      <c r="A252" s="40"/>
    </row>
    <row r="253" spans="1:1">
      <c r="A253" s="40"/>
    </row>
    <row r="254" spans="1:1">
      <c r="A254" s="40"/>
    </row>
    <row r="255" spans="1:1">
      <c r="A255" s="40"/>
    </row>
    <row r="256" spans="1:1">
      <c r="A256" s="40"/>
    </row>
    <row r="257" spans="1:1">
      <c r="A257" s="40"/>
    </row>
    <row r="258" spans="1:1">
      <c r="A258" s="40"/>
    </row>
    <row r="259" spans="1:1">
      <c r="A259" s="40"/>
    </row>
    <row r="260" spans="1:1">
      <c r="A260" s="40"/>
    </row>
    <row r="261" spans="1:1">
      <c r="A261" s="40"/>
    </row>
    <row r="262" spans="1:1">
      <c r="A262" s="40"/>
    </row>
    <row r="263" spans="1:1">
      <c r="A263" s="40"/>
    </row>
    <row r="264" spans="1:1">
      <c r="A264" s="40"/>
    </row>
    <row r="265" spans="1:1">
      <c r="A265" s="40"/>
    </row>
    <row r="266" spans="1:1">
      <c r="A266" s="40"/>
    </row>
    <row r="267" spans="1:1">
      <c r="A267" s="40"/>
    </row>
    <row r="268" spans="1:1">
      <c r="A268" s="40"/>
    </row>
    <row r="269" spans="1:1">
      <c r="A269" s="40"/>
    </row>
    <row r="270" spans="1:1">
      <c r="A270" s="40"/>
    </row>
    <row r="271" spans="1:1">
      <c r="A271" s="40"/>
    </row>
    <row r="272" spans="1:1">
      <c r="A272" s="40"/>
    </row>
    <row r="273" spans="1:1">
      <c r="A273" s="40"/>
    </row>
    <row r="274" spans="1:1">
      <c r="A274" s="40"/>
    </row>
    <row r="275" spans="1:1">
      <c r="A275" s="40"/>
    </row>
    <row r="276" spans="1:1">
      <c r="A276" s="40"/>
    </row>
    <row r="277" spans="1:1">
      <c r="A277" s="40"/>
    </row>
    <row r="278" spans="1:1">
      <c r="A278" s="40"/>
    </row>
    <row r="279" spans="1:1">
      <c r="A279" s="40"/>
    </row>
    <row r="280" spans="1:1">
      <c r="A280" s="40"/>
    </row>
    <row r="281" spans="1:1">
      <c r="A281" s="40"/>
    </row>
    <row r="282" spans="1:1">
      <c r="A282" s="40"/>
    </row>
    <row r="283" spans="1:1">
      <c r="A283" s="40"/>
    </row>
    <row r="284" spans="1:1">
      <c r="A284" s="40"/>
    </row>
    <row r="285" spans="1:1">
      <c r="A285" s="40"/>
    </row>
    <row r="286" spans="1:1">
      <c r="A286" s="40"/>
    </row>
    <row r="287" spans="1:1">
      <c r="A287" s="40"/>
    </row>
    <row r="288" spans="1:1">
      <c r="A288" s="40"/>
    </row>
    <row r="289" spans="1:1">
      <c r="A289" s="40"/>
    </row>
    <row r="290" spans="1:1">
      <c r="A290" s="40"/>
    </row>
    <row r="291" spans="1:1">
      <c r="A291" s="40"/>
    </row>
    <row r="292" spans="1:1">
      <c r="A292" s="40"/>
    </row>
    <row r="293" spans="1:1">
      <c r="A293" s="40"/>
    </row>
    <row r="294" spans="1:1">
      <c r="A294" s="40"/>
    </row>
    <row r="295" spans="1:1">
      <c r="A295" s="40"/>
    </row>
    <row r="296" spans="1:1">
      <c r="A296" s="40"/>
    </row>
    <row r="297" spans="1:1">
      <c r="A297" s="40"/>
    </row>
    <row r="298" spans="1:1">
      <c r="A298" s="40"/>
    </row>
    <row r="299" spans="1:1">
      <c r="A299" s="40"/>
    </row>
    <row r="300" spans="1:1">
      <c r="A300" s="40"/>
    </row>
    <row r="301" spans="1:1">
      <c r="A301" s="40"/>
    </row>
    <row r="302" spans="1:1">
      <c r="A302" s="40"/>
    </row>
    <row r="303" spans="1:1">
      <c r="A303" s="40"/>
    </row>
    <row r="304" spans="1:1">
      <c r="A304" s="40"/>
    </row>
    <row r="305" spans="1:1">
      <c r="A305" s="40"/>
    </row>
    <row r="306" spans="1:1">
      <c r="A306" s="40"/>
    </row>
    <row r="307" spans="1:1">
      <c r="A307" s="40"/>
    </row>
    <row r="308" spans="1:1">
      <c r="A308" s="40"/>
    </row>
    <row r="309" spans="1:1">
      <c r="A309" s="40"/>
    </row>
    <row r="310" spans="1:1">
      <c r="A310" s="40"/>
    </row>
    <row r="311" spans="1:1">
      <c r="A311" s="40"/>
    </row>
    <row r="312" spans="1:1">
      <c r="A312" s="40"/>
    </row>
    <row r="313" spans="1:1">
      <c r="A313" s="40"/>
    </row>
    <row r="314" spans="1:1">
      <c r="A314" s="40"/>
    </row>
    <row r="315" spans="1:1">
      <c r="A315" s="40"/>
    </row>
    <row r="316" spans="1:1">
      <c r="A316" s="40"/>
    </row>
    <row r="317" spans="1:1">
      <c r="A317" s="40"/>
    </row>
    <row r="318" spans="1:1">
      <c r="A318" s="40"/>
    </row>
    <row r="319" spans="1:1">
      <c r="A319" s="40"/>
    </row>
    <row r="320" spans="1:1">
      <c r="A320" s="40"/>
    </row>
    <row r="321" spans="1:1">
      <c r="A321" s="40"/>
    </row>
    <row r="322" spans="1:1">
      <c r="A322" s="40"/>
    </row>
    <row r="323" spans="1:1">
      <c r="A323" s="40"/>
    </row>
    <row r="324" spans="1:1">
      <c r="A324" s="40"/>
    </row>
    <row r="325" spans="1:1">
      <c r="A325" s="40"/>
    </row>
    <row r="326" spans="1:1">
      <c r="A326" s="40"/>
    </row>
    <row r="327" spans="1:1">
      <c r="A327" s="40"/>
    </row>
    <row r="328" spans="1:1">
      <c r="A328" s="40"/>
    </row>
    <row r="329" spans="1:1">
      <c r="A329" s="40"/>
    </row>
    <row r="330" spans="1:1">
      <c r="A330" s="40"/>
    </row>
    <row r="331" spans="1:1">
      <c r="A331" s="40"/>
    </row>
    <row r="332" spans="1:1">
      <c r="A332" s="40"/>
    </row>
    <row r="333" spans="1:1">
      <c r="A333" s="40"/>
    </row>
    <row r="334" spans="1:1">
      <c r="A334" s="40"/>
    </row>
    <row r="335" spans="1:1">
      <c r="A335" s="40"/>
    </row>
    <row r="336" spans="1:1">
      <c r="A336" s="40"/>
    </row>
    <row r="337" spans="1:1">
      <c r="A337" s="40"/>
    </row>
    <row r="338" spans="1:1">
      <c r="A338" s="40"/>
    </row>
    <row r="339" spans="1:1">
      <c r="A339" s="40"/>
    </row>
    <row r="340" spans="1:1">
      <c r="A340" s="40"/>
    </row>
    <row r="341" spans="1:1">
      <c r="A341" s="40"/>
    </row>
    <row r="342" spans="1:1">
      <c r="A342" s="40"/>
    </row>
    <row r="343" spans="1:1">
      <c r="A343" s="40"/>
    </row>
    <row r="344" spans="1:1">
      <c r="A344" s="40"/>
    </row>
    <row r="345" spans="1:1">
      <c r="A345" s="40"/>
    </row>
    <row r="346" spans="1:1">
      <c r="A346" s="40"/>
    </row>
    <row r="347" spans="1:1">
      <c r="A347" s="40"/>
    </row>
    <row r="348" spans="1:1">
      <c r="A348" s="40"/>
    </row>
    <row r="349" spans="1:1">
      <c r="A349" s="40"/>
    </row>
    <row r="350" spans="1:1">
      <c r="A350" s="40"/>
    </row>
    <row r="351" spans="1:1">
      <c r="A351" s="40"/>
    </row>
    <row r="352" spans="1:1">
      <c r="A352" s="40"/>
    </row>
    <row r="353" spans="1:1">
      <c r="A353" s="40"/>
    </row>
    <row r="354" spans="1:1">
      <c r="A354" s="40"/>
    </row>
    <row r="355" spans="1:1">
      <c r="A355" s="40"/>
    </row>
    <row r="356" spans="1:1">
      <c r="A356" s="40"/>
    </row>
    <row r="357" spans="1:1">
      <c r="A357" s="40"/>
    </row>
    <row r="358" spans="1:1">
      <c r="A358" s="40"/>
    </row>
    <row r="359" spans="1:1">
      <c r="A359" s="40"/>
    </row>
    <row r="360" spans="1:1">
      <c r="A360" s="40"/>
    </row>
    <row r="361" spans="1:1">
      <c r="A361" s="40"/>
    </row>
    <row r="362" spans="1:1">
      <c r="A362" s="40"/>
    </row>
    <row r="363" spans="1:1">
      <c r="A363" s="40"/>
    </row>
    <row r="364" spans="1:1">
      <c r="A364" s="40"/>
    </row>
    <row r="365" spans="1:1">
      <c r="A365" s="40"/>
    </row>
    <row r="366" spans="1:1">
      <c r="A366" s="40"/>
    </row>
    <row r="367" spans="1:1">
      <c r="A367" s="40"/>
    </row>
    <row r="368" spans="1:1">
      <c r="A368" s="40"/>
    </row>
    <row r="369" spans="1:1">
      <c r="A369" s="40"/>
    </row>
    <row r="370" spans="1:1">
      <c r="A370" s="40"/>
    </row>
    <row r="371" spans="1:1">
      <c r="A371" s="40"/>
    </row>
    <row r="372" spans="1:1">
      <c r="A372" s="40"/>
    </row>
    <row r="373" spans="1:1">
      <c r="A373" s="40"/>
    </row>
    <row r="374" spans="1:1">
      <c r="A374" s="40"/>
    </row>
    <row r="375" spans="1:1">
      <c r="A375" s="40"/>
    </row>
    <row r="376" spans="1:1">
      <c r="A376" s="40"/>
    </row>
    <row r="377" spans="1:1">
      <c r="A377" s="40"/>
    </row>
    <row r="378" spans="1:1">
      <c r="A378" s="40"/>
    </row>
    <row r="379" spans="1:1">
      <c r="A379" s="40"/>
    </row>
    <row r="380" spans="1:1">
      <c r="A380" s="40"/>
    </row>
    <row r="381" spans="1:1">
      <c r="A381" s="40"/>
    </row>
    <row r="382" spans="1:1">
      <c r="A382" s="40"/>
    </row>
    <row r="383" spans="1:1">
      <c r="A383" s="40"/>
    </row>
    <row r="384" spans="1:1">
      <c r="A384" s="40"/>
    </row>
    <row r="385" spans="1:1">
      <c r="A385" s="40"/>
    </row>
    <row r="386" spans="1:1">
      <c r="A386" s="40"/>
    </row>
    <row r="387" spans="1:1">
      <c r="A387" s="40"/>
    </row>
    <row r="388" spans="1:1">
      <c r="A388" s="40"/>
    </row>
    <row r="389" spans="1:1">
      <c r="A389" s="40"/>
    </row>
    <row r="390" spans="1:1">
      <c r="A390" s="40"/>
    </row>
    <row r="391" spans="1:1">
      <c r="A391" s="40"/>
    </row>
    <row r="392" spans="1:1">
      <c r="A392" s="40"/>
    </row>
    <row r="393" spans="1:1">
      <c r="A393" s="40"/>
    </row>
    <row r="394" spans="1:1">
      <c r="A394" s="40"/>
    </row>
    <row r="395" spans="1:1">
      <c r="A395" s="40"/>
    </row>
    <row r="396" spans="1:1">
      <c r="A396" s="40"/>
    </row>
    <row r="397" spans="1:1">
      <c r="A397" s="40"/>
    </row>
    <row r="398" spans="1:1">
      <c r="A398" s="40"/>
    </row>
    <row r="399" spans="1:1">
      <c r="A399" s="40"/>
    </row>
    <row r="400" spans="1:1">
      <c r="A400" s="40"/>
    </row>
    <row r="401" spans="1:1">
      <c r="A401" s="40"/>
    </row>
    <row r="402" spans="1:1">
      <c r="A402" s="40"/>
    </row>
    <row r="403" spans="1:1">
      <c r="A403" s="40"/>
    </row>
    <row r="404" spans="1:1">
      <c r="A404" s="40"/>
    </row>
    <row r="405" spans="1:1">
      <c r="A405" s="40"/>
    </row>
    <row r="406" spans="1:1">
      <c r="A406" s="40"/>
    </row>
    <row r="407" spans="1:1">
      <c r="A407" s="40"/>
    </row>
    <row r="408" spans="1:1">
      <c r="A408" s="40"/>
    </row>
    <row r="409" spans="1:1">
      <c r="A409" s="40"/>
    </row>
    <row r="410" spans="1:1">
      <c r="A410" s="40"/>
    </row>
    <row r="411" spans="1:1">
      <c r="A411" s="40"/>
    </row>
    <row r="412" spans="1:1">
      <c r="A412" s="40"/>
    </row>
    <row r="413" spans="1:1">
      <c r="A413" s="40"/>
    </row>
    <row r="414" spans="1:1">
      <c r="A414" s="40"/>
    </row>
    <row r="415" spans="1:1">
      <c r="A415" s="40"/>
    </row>
    <row r="416" spans="1:1">
      <c r="A416" s="40"/>
    </row>
    <row r="417" spans="1:1">
      <c r="A417" s="40"/>
    </row>
    <row r="418" spans="1:1">
      <c r="A418" s="40"/>
    </row>
    <row r="419" spans="1:1">
      <c r="A419" s="40"/>
    </row>
    <row r="420" spans="1:1">
      <c r="A420" s="40"/>
    </row>
    <row r="421" spans="1:1">
      <c r="A421" s="40"/>
    </row>
    <row r="422" spans="1:1">
      <c r="A422" s="40"/>
    </row>
    <row r="423" spans="1:1">
      <c r="A423" s="40"/>
    </row>
    <row r="424" spans="1:1">
      <c r="A424" s="40"/>
    </row>
    <row r="425" spans="1:1">
      <c r="A425" s="40"/>
    </row>
    <row r="426" spans="1:1">
      <c r="A426" s="40"/>
    </row>
    <row r="427" spans="1:1">
      <c r="A427" s="40"/>
    </row>
    <row r="428" spans="1:1">
      <c r="A428" s="40"/>
    </row>
    <row r="429" spans="1:1">
      <c r="A429" s="40"/>
    </row>
    <row r="430" spans="1:1">
      <c r="A430" s="40"/>
    </row>
    <row r="431" spans="1:1">
      <c r="A431" s="40"/>
    </row>
    <row r="432" spans="1:1">
      <c r="A432" s="40"/>
    </row>
    <row r="433" spans="1:1">
      <c r="A433" s="40"/>
    </row>
    <row r="434" spans="1:1">
      <c r="A434" s="40"/>
    </row>
    <row r="435" spans="1:1">
      <c r="A435" s="40"/>
    </row>
    <row r="436" spans="1:1">
      <c r="A436" s="40"/>
    </row>
    <row r="437" spans="1:1">
      <c r="A437" s="40"/>
    </row>
    <row r="438" spans="1:1">
      <c r="A438" s="40"/>
    </row>
    <row r="439" spans="1:1">
      <c r="A439" s="40"/>
    </row>
    <row r="440" spans="1:1">
      <c r="A440" s="40"/>
    </row>
    <row r="441" spans="1:1">
      <c r="A441" s="40"/>
    </row>
    <row r="442" spans="1:1">
      <c r="A442" s="40"/>
    </row>
    <row r="443" spans="1:1">
      <c r="A443" s="40"/>
    </row>
    <row r="444" spans="1:1">
      <c r="A444" s="40"/>
    </row>
    <row r="445" spans="1:1">
      <c r="A445" s="40"/>
    </row>
    <row r="446" spans="1:1">
      <c r="A446" s="40"/>
    </row>
    <row r="447" spans="1:1">
      <c r="A447" s="40"/>
    </row>
    <row r="448" spans="1:1">
      <c r="A448" s="40"/>
    </row>
    <row r="449" spans="1:1">
      <c r="A449" s="40"/>
    </row>
    <row r="450" spans="1:1">
      <c r="A450" s="40"/>
    </row>
    <row r="451" spans="1:1">
      <c r="A451" s="40"/>
    </row>
    <row r="452" spans="1:1">
      <c r="A452" s="40"/>
    </row>
    <row r="453" spans="1:1">
      <c r="A453" s="40"/>
    </row>
    <row r="454" spans="1:1">
      <c r="A454" s="40"/>
    </row>
    <row r="455" spans="1:1">
      <c r="A455" s="40"/>
    </row>
    <row r="456" spans="1:1">
      <c r="A456" s="40"/>
    </row>
    <row r="457" spans="1:1">
      <c r="A457" s="40"/>
    </row>
    <row r="458" spans="1:1">
      <c r="A458" s="40"/>
    </row>
    <row r="459" spans="1:1">
      <c r="A459" s="40"/>
    </row>
    <row r="460" spans="1:1">
      <c r="A460" s="40"/>
    </row>
    <row r="461" spans="1:1">
      <c r="A461" s="40"/>
    </row>
    <row r="462" spans="1:1">
      <c r="A462" s="40"/>
    </row>
    <row r="463" spans="1:1">
      <c r="A463" s="40"/>
    </row>
    <row r="464" spans="1:1">
      <c r="A464" s="40"/>
    </row>
    <row r="465" spans="1:1">
      <c r="A465" s="40"/>
    </row>
    <row r="466" spans="1:1">
      <c r="A466" s="40"/>
    </row>
    <row r="467" spans="1:1">
      <c r="A467" s="40"/>
    </row>
    <row r="468" spans="1:1">
      <c r="A468" s="40"/>
    </row>
    <row r="469" spans="1:1">
      <c r="A469" s="40"/>
    </row>
    <row r="470" spans="1:1">
      <c r="A470" s="40"/>
    </row>
    <row r="471" spans="1:1">
      <c r="A471" s="40"/>
    </row>
    <row r="472" spans="1:1">
      <c r="A472" s="40"/>
    </row>
    <row r="473" spans="1:1">
      <c r="A473" s="40"/>
    </row>
    <row r="474" spans="1:1">
      <c r="A474" s="40"/>
    </row>
    <row r="475" spans="1:1">
      <c r="A475" s="40"/>
    </row>
    <row r="476" spans="1:1">
      <c r="A476" s="40"/>
    </row>
    <row r="477" spans="1:1">
      <c r="A477" s="40"/>
    </row>
    <row r="478" spans="1:1">
      <c r="A478" s="40"/>
    </row>
    <row r="479" spans="1:1">
      <c r="A479" s="40"/>
    </row>
    <row r="480" spans="1:1">
      <c r="A480" s="40"/>
    </row>
    <row r="481" spans="1:1">
      <c r="A481" s="40"/>
    </row>
    <row r="482" spans="1:1">
      <c r="A482" s="40"/>
    </row>
    <row r="483" spans="1:1">
      <c r="A483" s="40"/>
    </row>
    <row r="484" spans="1:1">
      <c r="A484" s="40"/>
    </row>
    <row r="485" spans="1:1">
      <c r="A485" s="40"/>
    </row>
    <row r="486" spans="1:1">
      <c r="A486" s="40"/>
    </row>
    <row r="487" spans="1:1">
      <c r="A487" s="40"/>
    </row>
    <row r="488" spans="1:1">
      <c r="A488" s="40"/>
    </row>
    <row r="489" spans="1:1">
      <c r="A489" s="40"/>
    </row>
    <row r="490" spans="1:1">
      <c r="A490" s="40"/>
    </row>
    <row r="491" spans="1:1">
      <c r="A491" s="40"/>
    </row>
    <row r="492" spans="1:1">
      <c r="A492" s="40"/>
    </row>
    <row r="493" spans="1:1">
      <c r="A493" s="40"/>
    </row>
    <row r="494" spans="1:1">
      <c r="A494" s="40"/>
    </row>
    <row r="495" spans="1:1">
      <c r="A495" s="40"/>
    </row>
    <row r="496" spans="1:1">
      <c r="A496" s="40"/>
    </row>
    <row r="497" spans="1:1">
      <c r="A497" s="40"/>
    </row>
    <row r="498" spans="1:1">
      <c r="A498" s="40"/>
    </row>
    <row r="499" spans="1:1">
      <c r="A499" s="40"/>
    </row>
    <row r="500" spans="1:1">
      <c r="A500" s="40"/>
    </row>
    <row r="501" spans="1:1">
      <c r="A501" s="40"/>
    </row>
    <row r="502" spans="1:1">
      <c r="A502" s="40"/>
    </row>
    <row r="503" spans="1:1">
      <c r="A503" s="40"/>
    </row>
    <row r="504" spans="1:1">
      <c r="A504" s="40"/>
    </row>
    <row r="505" spans="1:1">
      <c r="A505" s="40"/>
    </row>
    <row r="506" spans="1:1">
      <c r="A506" s="40"/>
    </row>
    <row r="507" spans="1:1">
      <c r="A507" s="40"/>
    </row>
    <row r="508" spans="1:1">
      <c r="A508" s="40"/>
    </row>
    <row r="509" spans="1:1">
      <c r="A509" s="40"/>
    </row>
    <row r="510" spans="1:1">
      <c r="A510" s="40"/>
    </row>
    <row r="511" spans="1:1">
      <c r="A511" s="40"/>
    </row>
    <row r="512" spans="1:1">
      <c r="A512" s="40"/>
    </row>
    <row r="513" spans="1:1">
      <c r="A513" s="40"/>
    </row>
    <row r="514" spans="1:1">
      <c r="A514" s="40"/>
    </row>
    <row r="515" spans="1:1">
      <c r="A515" s="40"/>
    </row>
    <row r="516" spans="1:1">
      <c r="A516" s="40"/>
    </row>
    <row r="517" spans="1:1">
      <c r="A517" s="40"/>
    </row>
    <row r="518" spans="1:1">
      <c r="A518" s="40"/>
    </row>
    <row r="519" spans="1:1">
      <c r="A519" s="40"/>
    </row>
    <row r="520" spans="1:1">
      <c r="A520" s="40"/>
    </row>
    <row r="521" spans="1:1">
      <c r="A521" s="40"/>
    </row>
    <row r="522" spans="1:1">
      <c r="A522" s="40"/>
    </row>
    <row r="523" spans="1:1">
      <c r="A523" s="40"/>
    </row>
    <row r="524" spans="1:1">
      <c r="A524" s="40"/>
    </row>
    <row r="525" spans="1:1">
      <c r="A525" s="40"/>
    </row>
    <row r="526" spans="1:1">
      <c r="A526" s="40"/>
    </row>
    <row r="527" spans="1:1">
      <c r="A527" s="40"/>
    </row>
    <row r="528" spans="1:1">
      <c r="A528" s="40"/>
    </row>
    <row r="529" spans="1:1">
      <c r="A529" s="40"/>
    </row>
    <row r="530" spans="1:1">
      <c r="A530" s="40"/>
    </row>
    <row r="531" spans="1:1">
      <c r="A531" s="40"/>
    </row>
    <row r="532" spans="1:1">
      <c r="A532" s="40"/>
    </row>
    <row r="533" spans="1:1">
      <c r="A533" s="40"/>
    </row>
    <row r="534" spans="1:1">
      <c r="A534" s="40"/>
    </row>
    <row r="535" spans="1:1">
      <c r="A535" s="40"/>
    </row>
    <row r="536" spans="1:1">
      <c r="A536" s="40"/>
    </row>
    <row r="537" spans="1:1">
      <c r="A537" s="40"/>
    </row>
    <row r="538" spans="1:1">
      <c r="A538" s="40"/>
    </row>
    <row r="539" spans="1:1">
      <c r="A539" s="40"/>
    </row>
    <row r="540" spans="1:1">
      <c r="A540" s="40"/>
    </row>
    <row r="541" spans="1:1">
      <c r="A541" s="40"/>
    </row>
    <row r="542" spans="1:1">
      <c r="A542" s="40"/>
    </row>
    <row r="543" spans="1:1">
      <c r="A543" s="40"/>
    </row>
    <row r="544" spans="1:1">
      <c r="A544" s="40"/>
    </row>
    <row r="545" spans="1:1">
      <c r="A545" s="40"/>
    </row>
    <row r="546" spans="1:1">
      <c r="A546" s="40"/>
    </row>
    <row r="547" spans="1:1">
      <c r="A547" s="40"/>
    </row>
    <row r="548" spans="1:1">
      <c r="A548" s="40"/>
    </row>
    <row r="549" spans="1:1">
      <c r="A549" s="40"/>
    </row>
    <row r="550" spans="1:1">
      <c r="A550" s="40"/>
    </row>
    <row r="551" spans="1:1">
      <c r="A551" s="40"/>
    </row>
    <row r="552" spans="1:1">
      <c r="A552" s="40"/>
    </row>
    <row r="553" spans="1:1">
      <c r="A553" s="40"/>
    </row>
    <row r="554" spans="1:1">
      <c r="A554" s="40"/>
    </row>
    <row r="555" spans="1:1">
      <c r="A555" s="40"/>
    </row>
    <row r="556" spans="1:1">
      <c r="A556" s="40"/>
    </row>
    <row r="557" spans="1:1">
      <c r="A557" s="40"/>
    </row>
    <row r="558" spans="1:1">
      <c r="A558" s="40"/>
    </row>
    <row r="559" spans="1:1">
      <c r="A559" s="40"/>
    </row>
    <row r="560" spans="1:1">
      <c r="A560" s="40"/>
    </row>
    <row r="561" spans="1:1">
      <c r="A561" s="40"/>
    </row>
    <row r="562" spans="1:1">
      <c r="A562" s="40"/>
    </row>
    <row r="563" spans="1:1">
      <c r="A563" s="40"/>
    </row>
    <row r="564" spans="1:1">
      <c r="A564" s="40"/>
    </row>
    <row r="565" spans="1:1">
      <c r="A565" s="40"/>
    </row>
    <row r="566" spans="1:1">
      <c r="A566" s="40"/>
    </row>
    <row r="567" spans="1:1">
      <c r="A567" s="40"/>
    </row>
    <row r="568" spans="1:1">
      <c r="A568" s="40"/>
    </row>
    <row r="569" spans="1:1">
      <c r="A569" s="40"/>
    </row>
    <row r="570" spans="1:1">
      <c r="A570" s="40"/>
    </row>
    <row r="571" spans="1:1">
      <c r="A571" s="40"/>
    </row>
    <row r="572" spans="1:1">
      <c r="A572" s="40"/>
    </row>
    <row r="573" spans="1:1">
      <c r="A573" s="40"/>
    </row>
    <row r="574" spans="1:1">
      <c r="A574" s="40"/>
    </row>
    <row r="575" spans="1:1">
      <c r="A575" s="40"/>
    </row>
    <row r="576" spans="1:1">
      <c r="A576" s="40"/>
    </row>
    <row r="577" spans="1:1">
      <c r="A577" s="40"/>
    </row>
    <row r="578" spans="1:1">
      <c r="A578" s="40"/>
    </row>
    <row r="579" spans="1:1">
      <c r="A579" s="40"/>
    </row>
    <row r="580" spans="1:1">
      <c r="A580" s="40"/>
    </row>
    <row r="581" spans="1:1">
      <c r="A581" s="40"/>
    </row>
    <row r="582" spans="1:1">
      <c r="A582" s="40"/>
    </row>
    <row r="583" spans="1:1">
      <c r="A583" s="40"/>
    </row>
    <row r="584" spans="1:1">
      <c r="A584" s="40"/>
    </row>
    <row r="585" spans="1:1">
      <c r="A585" s="40"/>
    </row>
    <row r="586" spans="1:1">
      <c r="A586" s="40"/>
    </row>
    <row r="587" spans="1:1">
      <c r="A587" s="40"/>
    </row>
    <row r="588" spans="1:1">
      <c r="A588" s="40"/>
    </row>
    <row r="589" spans="1:1">
      <c r="A589" s="40"/>
    </row>
    <row r="590" spans="1:1">
      <c r="A590" s="40"/>
    </row>
    <row r="591" spans="1:1">
      <c r="A591" s="40"/>
    </row>
    <row r="592" spans="1:1">
      <c r="A592" s="40"/>
    </row>
    <row r="593" spans="1:1">
      <c r="A593" s="40"/>
    </row>
    <row r="594" spans="1:1">
      <c r="A594" s="40"/>
    </row>
    <row r="595" spans="1:1">
      <c r="A595" s="40"/>
    </row>
    <row r="596" spans="1:1">
      <c r="A596" s="40"/>
    </row>
    <row r="597" spans="1:1">
      <c r="A597" s="40"/>
    </row>
    <row r="598" spans="1:1">
      <c r="A598" s="40"/>
    </row>
    <row r="599" spans="1:1">
      <c r="A599" s="40"/>
    </row>
    <row r="600" spans="1:1">
      <c r="A600" s="40"/>
    </row>
    <row r="601" spans="1:1">
      <c r="A601" s="40"/>
    </row>
    <row r="602" spans="1:1">
      <c r="A602" s="40"/>
    </row>
    <row r="603" spans="1:1">
      <c r="A603" s="40"/>
    </row>
    <row r="604" spans="1:1">
      <c r="A604" s="40"/>
    </row>
    <row r="605" spans="1:1">
      <c r="A605" s="40"/>
    </row>
    <row r="606" spans="1:1">
      <c r="A606" s="40"/>
    </row>
    <row r="607" spans="1:1">
      <c r="A607" s="40"/>
    </row>
    <row r="608" spans="1:1">
      <c r="A608" s="40"/>
    </row>
    <row r="609" spans="1:1">
      <c r="A609" s="40"/>
    </row>
    <row r="610" spans="1:1">
      <c r="A610" s="40"/>
    </row>
    <row r="611" spans="1:1">
      <c r="A611" s="40"/>
    </row>
    <row r="612" spans="1:1">
      <c r="A612" s="40"/>
    </row>
    <row r="613" spans="1:1">
      <c r="A613" s="40"/>
    </row>
    <row r="614" spans="1:1">
      <c r="A614" s="40"/>
    </row>
    <row r="615" spans="1:1">
      <c r="A615" s="40"/>
    </row>
    <row r="616" spans="1:1">
      <c r="A616" s="40"/>
    </row>
    <row r="617" spans="1:1">
      <c r="A617" s="40"/>
    </row>
    <row r="618" spans="1:1">
      <c r="A618" s="40"/>
    </row>
    <row r="619" spans="1:1">
      <c r="A619" s="40"/>
    </row>
    <row r="620" spans="1:1">
      <c r="A620" s="40"/>
    </row>
    <row r="621" spans="1:1">
      <c r="A621" s="40"/>
    </row>
    <row r="622" spans="1:1">
      <c r="A622" s="40"/>
    </row>
    <row r="623" spans="1:1">
      <c r="A623" s="40"/>
    </row>
    <row r="624" spans="1:1">
      <c r="A624" s="40"/>
    </row>
    <row r="625" spans="1:1">
      <c r="A625" s="40"/>
    </row>
    <row r="626" spans="1:1">
      <c r="A626" s="40"/>
    </row>
    <row r="627" spans="1:1">
      <c r="A627" s="40"/>
    </row>
    <row r="628" spans="1:1">
      <c r="A628" s="40"/>
    </row>
    <row r="629" spans="1:1">
      <c r="A629" s="40"/>
    </row>
    <row r="630" spans="1:1">
      <c r="A630" s="40"/>
    </row>
    <row r="631" spans="1:1">
      <c r="A631" s="40"/>
    </row>
    <row r="632" spans="1:1">
      <c r="A632" s="40"/>
    </row>
    <row r="633" spans="1:1">
      <c r="A633" s="40"/>
    </row>
    <row r="634" spans="1:1">
      <c r="A634" s="40"/>
    </row>
    <row r="635" spans="1:1">
      <c r="A635" s="40"/>
    </row>
    <row r="636" spans="1:1">
      <c r="A636" s="40"/>
    </row>
    <row r="637" spans="1:1">
      <c r="A637" s="40"/>
    </row>
    <row r="638" spans="1:1">
      <c r="A638" s="40"/>
    </row>
    <row r="639" spans="1:1">
      <c r="A639" s="40"/>
    </row>
    <row r="640" spans="1:1">
      <c r="A640" s="40"/>
    </row>
    <row r="641" spans="1:1">
      <c r="A641" s="40"/>
    </row>
    <row r="642" spans="1:1">
      <c r="A642" s="40"/>
    </row>
    <row r="643" spans="1:1">
      <c r="A643" s="40"/>
    </row>
    <row r="644" spans="1:1">
      <c r="A644" s="40"/>
    </row>
    <row r="645" spans="1:1">
      <c r="A645" s="40"/>
    </row>
    <row r="646" spans="1:1">
      <c r="A646" s="40"/>
    </row>
    <row r="647" spans="1:1">
      <c r="A647" s="40"/>
    </row>
    <row r="648" spans="1:1">
      <c r="A648" s="40"/>
    </row>
    <row r="649" spans="1:1">
      <c r="A649" s="40"/>
    </row>
    <row r="650" spans="1:1">
      <c r="A650" s="40"/>
    </row>
    <row r="651" spans="1:1">
      <c r="A651" s="40"/>
    </row>
    <row r="652" spans="1:1">
      <c r="A652" s="40"/>
    </row>
    <row r="653" spans="1:1">
      <c r="A653" s="40"/>
    </row>
    <row r="654" spans="1:1">
      <c r="A654" s="40"/>
    </row>
    <row r="655" spans="1:1">
      <c r="A655" s="40"/>
    </row>
    <row r="656" spans="1:1">
      <c r="A656" s="40"/>
    </row>
    <row r="657" spans="1:1">
      <c r="A657" s="40"/>
    </row>
    <row r="658" spans="1:1">
      <c r="A658" s="40"/>
    </row>
    <row r="659" spans="1:1">
      <c r="A659" s="40"/>
    </row>
    <row r="660" spans="1:1">
      <c r="A660" s="40"/>
    </row>
    <row r="661" spans="1:1">
      <c r="A661" s="40"/>
    </row>
    <row r="662" spans="1:1">
      <c r="A662" s="40"/>
    </row>
    <row r="663" spans="1:1">
      <c r="A663" s="40"/>
    </row>
    <row r="664" spans="1:1">
      <c r="A664" s="40"/>
    </row>
    <row r="665" spans="1:1">
      <c r="A665" s="40"/>
    </row>
    <row r="666" spans="1:1">
      <c r="A666" s="40"/>
    </row>
    <row r="667" spans="1:1">
      <c r="A667" s="40"/>
    </row>
    <row r="668" spans="1:1">
      <c r="A668" s="40"/>
    </row>
    <row r="669" spans="1:1">
      <c r="A669" s="40"/>
    </row>
    <row r="670" spans="1:1">
      <c r="A670" s="40"/>
    </row>
    <row r="671" spans="1:1">
      <c r="A671" s="40"/>
    </row>
    <row r="672" spans="1:1">
      <c r="A672" s="40"/>
    </row>
    <row r="673" spans="1:1">
      <c r="A673" s="40"/>
    </row>
    <row r="674" spans="1:1">
      <c r="A674" s="40"/>
    </row>
    <row r="675" spans="1:1">
      <c r="A675" s="40"/>
    </row>
    <row r="676" spans="1:1">
      <c r="A676" s="40"/>
    </row>
    <row r="677" spans="1:1">
      <c r="A677" s="40"/>
    </row>
    <row r="678" spans="1:1">
      <c r="A678" s="40"/>
    </row>
    <row r="679" spans="1:1">
      <c r="A679" s="40"/>
    </row>
    <row r="680" spans="1:1">
      <c r="A680" s="40"/>
    </row>
    <row r="681" spans="1:1">
      <c r="A681" s="40"/>
    </row>
    <row r="682" spans="1:1">
      <c r="A682" s="40"/>
    </row>
    <row r="683" spans="1:1">
      <c r="A683" s="40"/>
    </row>
    <row r="684" spans="1:1">
      <c r="A684" s="40"/>
    </row>
    <row r="685" spans="1:1">
      <c r="A685" s="40"/>
    </row>
    <row r="686" spans="1:1">
      <c r="A686" s="40"/>
    </row>
    <row r="687" spans="1:1">
      <c r="A687" s="40"/>
    </row>
    <row r="688" spans="1:1">
      <c r="A688" s="40"/>
    </row>
    <row r="689" spans="1:1">
      <c r="A689" s="40"/>
    </row>
    <row r="690" spans="1:1">
      <c r="A690" s="40"/>
    </row>
    <row r="691" spans="1:1">
      <c r="A691" s="40"/>
    </row>
    <row r="692" spans="1:1">
      <c r="A692" s="40"/>
    </row>
    <row r="693" spans="1:1">
      <c r="A693" s="40"/>
    </row>
    <row r="694" spans="1:1">
      <c r="A694" s="40"/>
    </row>
    <row r="695" spans="1:1">
      <c r="A695" s="40"/>
    </row>
    <row r="696" spans="1:1">
      <c r="A696" s="40"/>
    </row>
    <row r="697" spans="1:1">
      <c r="A697" s="40"/>
    </row>
    <row r="698" spans="1:1">
      <c r="A698" s="40"/>
    </row>
    <row r="699" spans="1:1">
      <c r="A699" s="40"/>
    </row>
    <row r="700" spans="1:1">
      <c r="A700" s="40"/>
    </row>
    <row r="701" spans="1:1">
      <c r="A701" s="40"/>
    </row>
    <row r="702" spans="1:1">
      <c r="A702" s="40"/>
    </row>
    <row r="703" spans="1:1">
      <c r="A703" s="40"/>
    </row>
    <row r="704" spans="1:1">
      <c r="A704" s="40"/>
    </row>
    <row r="705" spans="1:1">
      <c r="A705" s="40"/>
    </row>
    <row r="706" spans="1:1">
      <c r="A706" s="40"/>
    </row>
    <row r="707" spans="1:1">
      <c r="A707" s="40"/>
    </row>
    <row r="708" spans="1:1">
      <c r="A708" s="40"/>
    </row>
    <row r="709" spans="1:1">
      <c r="A709" s="40"/>
    </row>
    <row r="710" spans="1:1">
      <c r="A710" s="40"/>
    </row>
    <row r="711" spans="1:1">
      <c r="A711" s="40"/>
    </row>
    <row r="712" spans="1:1">
      <c r="A712" s="40"/>
    </row>
    <row r="713" spans="1:1">
      <c r="A713" s="40"/>
    </row>
    <row r="714" spans="1:1">
      <c r="A714" s="40"/>
    </row>
    <row r="715" spans="1:1">
      <c r="A715" s="40"/>
    </row>
    <row r="716" spans="1:1">
      <c r="A716" s="40"/>
    </row>
    <row r="717" spans="1:1">
      <c r="A717" s="40"/>
    </row>
    <row r="718" spans="1:1">
      <c r="A718" s="40"/>
    </row>
    <row r="719" spans="1:1">
      <c r="A719" s="40"/>
    </row>
    <row r="720" spans="1:1">
      <c r="A720" s="40"/>
    </row>
    <row r="721" spans="1:1">
      <c r="A721" s="40"/>
    </row>
    <row r="722" spans="1:1">
      <c r="A722" s="40"/>
    </row>
    <row r="723" spans="1:1">
      <c r="A723" s="40"/>
    </row>
    <row r="724" spans="1:1">
      <c r="A724" s="40"/>
    </row>
    <row r="725" spans="1:1">
      <c r="A725" s="40"/>
    </row>
    <row r="726" spans="1:1">
      <c r="A726" s="40"/>
    </row>
    <row r="727" spans="1:1">
      <c r="A727" s="40"/>
    </row>
    <row r="728" spans="1:1">
      <c r="A728" s="40"/>
    </row>
    <row r="729" spans="1:1">
      <c r="A729" s="40"/>
    </row>
    <row r="730" spans="1:1">
      <c r="A730" s="40"/>
    </row>
    <row r="731" spans="1:1">
      <c r="A731" s="40"/>
    </row>
    <row r="732" spans="1:1">
      <c r="A732" s="40"/>
    </row>
    <row r="733" spans="1:1">
      <c r="A733" s="40"/>
    </row>
    <row r="734" spans="1:1">
      <c r="A734" s="40"/>
    </row>
    <row r="735" spans="1:1">
      <c r="A735" s="40"/>
    </row>
    <row r="736" spans="1:1">
      <c r="A736" s="40"/>
    </row>
    <row r="737" spans="1:1">
      <c r="A737" s="40"/>
    </row>
    <row r="738" spans="1:1">
      <c r="A738" s="40"/>
    </row>
    <row r="739" spans="1:1">
      <c r="A739" s="40"/>
    </row>
    <row r="740" spans="1:1">
      <c r="A740" s="40"/>
    </row>
    <row r="741" spans="1:1">
      <c r="A741" s="40"/>
    </row>
    <row r="742" spans="1:1">
      <c r="A742" s="40"/>
    </row>
    <row r="743" spans="1:1">
      <c r="A743" s="40"/>
    </row>
    <row r="744" spans="1:1">
      <c r="A744" s="40"/>
    </row>
    <row r="745" spans="1:1">
      <c r="A745" s="40"/>
    </row>
    <row r="746" spans="1:1">
      <c r="A746" s="40"/>
    </row>
    <row r="747" spans="1:1">
      <c r="A747" s="40"/>
    </row>
    <row r="748" spans="1:1">
      <c r="A748" s="40"/>
    </row>
    <row r="749" spans="1:1">
      <c r="A749" s="40"/>
    </row>
    <row r="750" spans="1:1">
      <c r="A750" s="40"/>
    </row>
    <row r="751" spans="1:1">
      <c r="A751" s="40"/>
    </row>
    <row r="752" spans="1:1">
      <c r="A752" s="40"/>
    </row>
    <row r="753" spans="1:1">
      <c r="A753" s="40"/>
    </row>
    <row r="754" spans="1:1">
      <c r="A754" s="40"/>
    </row>
    <row r="755" spans="1:1">
      <c r="A755" s="40"/>
    </row>
    <row r="756" spans="1:1">
      <c r="A756" s="40"/>
    </row>
    <row r="757" spans="1:1">
      <c r="A757" s="40"/>
    </row>
    <row r="758" spans="1:1">
      <c r="A758" s="40"/>
    </row>
    <row r="759" spans="1:1">
      <c r="A759" s="40"/>
    </row>
    <row r="760" spans="1:1">
      <c r="A760" s="40"/>
    </row>
    <row r="761" spans="1:1">
      <c r="A761" s="40"/>
    </row>
    <row r="762" spans="1:1">
      <c r="A762" s="40"/>
    </row>
    <row r="763" spans="1:1">
      <c r="A763" s="40"/>
    </row>
    <row r="764" spans="1:1">
      <c r="A764" s="40"/>
    </row>
    <row r="765" spans="1:1">
      <c r="A765" s="40"/>
    </row>
    <row r="766" spans="1:1">
      <c r="A766" s="40"/>
    </row>
    <row r="767" spans="1:1">
      <c r="A767" s="40"/>
    </row>
    <row r="768" spans="1:1">
      <c r="A768" s="40"/>
    </row>
    <row r="769" spans="1:1">
      <c r="A769" s="40"/>
    </row>
    <row r="770" spans="1:1">
      <c r="A770" s="40"/>
    </row>
    <row r="771" spans="1:1">
      <c r="A771" s="40"/>
    </row>
    <row r="772" spans="1:1">
      <c r="A772" s="40"/>
    </row>
    <row r="773" spans="1:1">
      <c r="A773" s="40"/>
    </row>
    <row r="774" spans="1:1">
      <c r="A774" s="40"/>
    </row>
    <row r="775" spans="1:1">
      <c r="A775" s="40"/>
    </row>
    <row r="776" spans="1:1">
      <c r="A776" s="40"/>
    </row>
    <row r="777" spans="1:1">
      <c r="A777" s="40"/>
    </row>
    <row r="778" spans="1:1">
      <c r="A778" s="40"/>
    </row>
    <row r="779" spans="1:1">
      <c r="A779" s="40"/>
    </row>
    <row r="780" spans="1:1">
      <c r="A780" s="40"/>
    </row>
    <row r="781" spans="1:1">
      <c r="A781" s="40"/>
    </row>
    <row r="782" spans="1:1">
      <c r="A782" s="40"/>
    </row>
    <row r="783" spans="1:1">
      <c r="A783" s="40"/>
    </row>
    <row r="784" spans="1:1">
      <c r="A784" s="40"/>
    </row>
    <row r="785" spans="1:1">
      <c r="A785" s="40"/>
    </row>
    <row r="786" spans="1:1">
      <c r="A786" s="40"/>
    </row>
    <row r="787" spans="1:1">
      <c r="A787" s="40"/>
    </row>
    <row r="788" spans="1:1">
      <c r="A788" s="40"/>
    </row>
    <row r="789" spans="1:1">
      <c r="A789" s="40"/>
    </row>
    <row r="790" spans="1:1">
      <c r="A790" s="40"/>
    </row>
    <row r="791" spans="1:1">
      <c r="A791" s="40"/>
    </row>
    <row r="792" spans="1:1">
      <c r="A792" s="40"/>
    </row>
    <row r="793" spans="1:1">
      <c r="A793" s="40"/>
    </row>
    <row r="794" spans="1:1">
      <c r="A794" s="40"/>
    </row>
    <row r="795" spans="1:1">
      <c r="A795" s="40"/>
    </row>
    <row r="796" spans="1:1">
      <c r="A796" s="40"/>
    </row>
    <row r="797" spans="1:1">
      <c r="A797" s="40"/>
    </row>
    <row r="798" spans="1:1">
      <c r="A798" s="40"/>
    </row>
    <row r="799" spans="1:1">
      <c r="A799" s="40"/>
    </row>
    <row r="800" spans="1:1">
      <c r="A800" s="40"/>
    </row>
    <row r="801" spans="1:1">
      <c r="A801" s="40"/>
    </row>
    <row r="802" spans="1:1">
      <c r="A802" s="40"/>
    </row>
    <row r="803" spans="1:1">
      <c r="A803" s="40"/>
    </row>
    <row r="804" spans="1:1">
      <c r="A804" s="40"/>
    </row>
    <row r="805" spans="1:1">
      <c r="A805" s="40"/>
    </row>
    <row r="806" spans="1:1">
      <c r="A806" s="40"/>
    </row>
    <row r="807" spans="1:1">
      <c r="A807" s="40"/>
    </row>
    <row r="808" spans="1:1">
      <c r="A808" s="40"/>
    </row>
    <row r="809" spans="1:1">
      <c r="A809" s="40"/>
    </row>
    <row r="810" spans="1:1">
      <c r="A810" s="40"/>
    </row>
    <row r="811" spans="1:1">
      <c r="A811" s="40"/>
    </row>
    <row r="812" spans="1:1">
      <c r="A812" s="40"/>
    </row>
    <row r="813" spans="1:1">
      <c r="A813" s="40"/>
    </row>
    <row r="814" spans="1:1">
      <c r="A814" s="40"/>
    </row>
    <row r="815" spans="1:1">
      <c r="A815" s="40"/>
    </row>
    <row r="816" spans="1:1">
      <c r="A816" s="40"/>
    </row>
    <row r="817" spans="1:1">
      <c r="A817" s="40"/>
    </row>
    <row r="818" spans="1:1">
      <c r="A818" s="40"/>
    </row>
    <row r="819" spans="1:1">
      <c r="A819" s="40"/>
    </row>
    <row r="820" spans="1:1">
      <c r="A820" s="40"/>
    </row>
    <row r="821" spans="1:1">
      <c r="A821" s="40"/>
    </row>
    <row r="822" spans="1:1">
      <c r="A822" s="40"/>
    </row>
    <row r="823" spans="1:1">
      <c r="A823" s="40"/>
    </row>
    <row r="824" spans="1:1">
      <c r="A824" s="40"/>
    </row>
    <row r="825" spans="1:1">
      <c r="A825" s="40"/>
    </row>
    <row r="826" spans="1:1">
      <c r="A826" s="40"/>
    </row>
    <row r="827" spans="1:1">
      <c r="A827" s="40"/>
    </row>
    <row r="828" spans="1:1">
      <c r="A828" s="40"/>
    </row>
    <row r="829" spans="1:1">
      <c r="A829" s="40"/>
    </row>
    <row r="830" spans="1:1">
      <c r="A830" s="40"/>
    </row>
    <row r="831" spans="1:1">
      <c r="A831" s="40"/>
    </row>
    <row r="832" spans="1:1">
      <c r="A832" s="40"/>
    </row>
    <row r="833" spans="1:1">
      <c r="A833" s="40"/>
    </row>
    <row r="834" spans="1:1">
      <c r="A834" s="40"/>
    </row>
    <row r="835" spans="1:1">
      <c r="A835" s="40"/>
    </row>
    <row r="836" spans="1:1">
      <c r="A836" s="40"/>
    </row>
    <row r="837" spans="1:1">
      <c r="A837" s="40"/>
    </row>
    <row r="838" spans="1:1">
      <c r="A838" s="40"/>
    </row>
    <row r="839" spans="1:1">
      <c r="A839" s="40"/>
    </row>
    <row r="840" spans="1:1">
      <c r="A840" s="40"/>
    </row>
    <row r="841" spans="1:1">
      <c r="A841" s="40"/>
    </row>
    <row r="842" spans="1:1">
      <c r="A842" s="40"/>
    </row>
    <row r="843" spans="1:1">
      <c r="A843" s="40"/>
    </row>
    <row r="844" spans="1:1">
      <c r="A844" s="40"/>
    </row>
    <row r="845" spans="1:1">
      <c r="A845" s="40"/>
    </row>
    <row r="846" spans="1:1">
      <c r="A846" s="40"/>
    </row>
    <row r="847" spans="1:1">
      <c r="A847" s="40"/>
    </row>
    <row r="848" spans="1:1">
      <c r="A848" s="40"/>
    </row>
    <row r="849" spans="1:1">
      <c r="A849" s="40"/>
    </row>
    <row r="850" spans="1:1">
      <c r="A850" s="40"/>
    </row>
    <row r="851" spans="1:1">
      <c r="A851" s="40"/>
    </row>
    <row r="852" spans="1:1">
      <c r="A852" s="40"/>
    </row>
    <row r="853" spans="1:1">
      <c r="A853" s="40"/>
    </row>
    <row r="854" spans="1:1">
      <c r="A854" s="40"/>
    </row>
    <row r="855" spans="1:1">
      <c r="A855" s="40"/>
    </row>
    <row r="856" spans="1:1">
      <c r="A856" s="40"/>
    </row>
    <row r="857" spans="1:1">
      <c r="A857" s="40"/>
    </row>
    <row r="858" spans="1:1">
      <c r="A858" s="40"/>
    </row>
    <row r="859" spans="1:1">
      <c r="A859" s="40"/>
    </row>
    <row r="860" spans="1:1">
      <c r="A860" s="40"/>
    </row>
    <row r="861" spans="1:1">
      <c r="A861" s="40"/>
    </row>
    <row r="862" spans="1:1">
      <c r="A862" s="40"/>
    </row>
    <row r="863" spans="1:1">
      <c r="A863" s="40"/>
    </row>
    <row r="864" spans="1:1">
      <c r="A864" s="40"/>
    </row>
    <row r="865" spans="1:1">
      <c r="A865" s="40"/>
    </row>
    <row r="866" spans="1:1">
      <c r="A866" s="40"/>
    </row>
    <row r="867" spans="1:1">
      <c r="A867" s="40"/>
    </row>
    <row r="868" spans="1:1">
      <c r="A868" s="40"/>
    </row>
    <row r="869" spans="1:1">
      <c r="A869" s="40"/>
    </row>
    <row r="870" spans="1:1">
      <c r="A870" s="40"/>
    </row>
    <row r="871" spans="1:1">
      <c r="A871" s="40"/>
    </row>
    <row r="872" spans="1:1">
      <c r="A872" s="40"/>
    </row>
    <row r="873" spans="1:1">
      <c r="A873" s="40"/>
    </row>
    <row r="874" spans="1:1">
      <c r="A874" s="40"/>
    </row>
    <row r="875" spans="1:1">
      <c r="A875" s="40"/>
    </row>
    <row r="876" spans="1:1">
      <c r="A876" s="40"/>
    </row>
    <row r="877" spans="1:1">
      <c r="A877" s="40"/>
    </row>
    <row r="878" spans="1:1">
      <c r="A878" s="40"/>
    </row>
    <row r="879" spans="1:1">
      <c r="A879" s="40"/>
    </row>
    <row r="880" spans="1:1">
      <c r="A880" s="40"/>
    </row>
    <row r="881" spans="1:1">
      <c r="A881" s="40"/>
    </row>
    <row r="882" spans="1:1">
      <c r="A882" s="40"/>
    </row>
    <row r="883" spans="1:1">
      <c r="A883" s="40"/>
    </row>
    <row r="884" spans="1:1">
      <c r="A884" s="40"/>
    </row>
    <row r="885" spans="1:1">
      <c r="A885" s="40"/>
    </row>
    <row r="886" spans="1:1">
      <c r="A886" s="40"/>
    </row>
    <row r="887" spans="1:1">
      <c r="A887" s="40"/>
    </row>
    <row r="888" spans="1:1">
      <c r="A888" s="40"/>
    </row>
    <row r="889" spans="1:1">
      <c r="A889" s="40"/>
    </row>
    <row r="890" spans="1:1">
      <c r="A890" s="40"/>
    </row>
    <row r="891" spans="1:1">
      <c r="A891" s="40"/>
    </row>
    <row r="892" spans="1:1">
      <c r="A892" s="40"/>
    </row>
    <row r="893" spans="1:1">
      <c r="A893" s="40"/>
    </row>
    <row r="894" spans="1:1">
      <c r="A894" s="40"/>
    </row>
    <row r="895" spans="1:1">
      <c r="A895" s="40"/>
    </row>
    <row r="896" spans="1:1">
      <c r="A896" s="40"/>
    </row>
    <row r="897" spans="1:1">
      <c r="A897" s="40"/>
    </row>
    <row r="898" spans="1:1">
      <c r="A898" s="40"/>
    </row>
    <row r="899" spans="1:1">
      <c r="A899" s="40"/>
    </row>
    <row r="900" spans="1:1">
      <c r="A900" s="40"/>
    </row>
    <row r="901" spans="1:1">
      <c r="A901" s="40"/>
    </row>
    <row r="902" spans="1:1">
      <c r="A902" s="40"/>
    </row>
    <row r="903" spans="1:1">
      <c r="A903" s="40"/>
    </row>
    <row r="904" spans="1:1">
      <c r="A904" s="40"/>
    </row>
    <row r="905" spans="1:1">
      <c r="A905" s="40"/>
    </row>
    <row r="906" spans="1:1">
      <c r="A906" s="40"/>
    </row>
    <row r="907" spans="1:1">
      <c r="A907" s="40"/>
    </row>
    <row r="908" spans="1:1">
      <c r="A908" s="40"/>
    </row>
    <row r="909" spans="1:1">
      <c r="A909" s="40"/>
    </row>
    <row r="910" spans="1:1">
      <c r="A910" s="40"/>
    </row>
    <row r="911" spans="1:1">
      <c r="A911" s="40"/>
    </row>
    <row r="912" spans="1:1">
      <c r="A912" s="40"/>
    </row>
    <row r="913" spans="1:1">
      <c r="A913" s="40"/>
    </row>
    <row r="914" spans="1:1">
      <c r="A914" s="40"/>
    </row>
    <row r="915" spans="1:1">
      <c r="A915" s="40"/>
    </row>
    <row r="916" spans="1:1">
      <c r="A916" s="40"/>
    </row>
    <row r="917" spans="1:1">
      <c r="A917" s="40"/>
    </row>
    <row r="918" spans="1:1">
      <c r="A918" s="40"/>
    </row>
    <row r="919" spans="1:1">
      <c r="A919" s="40"/>
    </row>
    <row r="920" spans="1:1">
      <c r="A920" s="40"/>
    </row>
    <row r="921" spans="1:1">
      <c r="A921" s="40"/>
    </row>
    <row r="922" spans="1:1">
      <c r="A922" s="40"/>
    </row>
    <row r="923" spans="1:1">
      <c r="A923" s="40"/>
    </row>
    <row r="924" spans="1:1">
      <c r="A924" s="40"/>
    </row>
    <row r="925" spans="1:1">
      <c r="A925" s="40"/>
    </row>
    <row r="926" spans="1:1">
      <c r="A926" s="40"/>
    </row>
    <row r="927" spans="1:1">
      <c r="A927" s="40"/>
    </row>
    <row r="928" spans="1:1">
      <c r="A928" s="40"/>
    </row>
    <row r="929" spans="1:1">
      <c r="A929" s="40"/>
    </row>
    <row r="930" spans="1:1">
      <c r="A930" s="40"/>
    </row>
    <row r="931" spans="1:1">
      <c r="A931" s="40"/>
    </row>
    <row r="932" spans="1:1">
      <c r="A932" s="40"/>
    </row>
    <row r="933" spans="1:1">
      <c r="A933" s="40"/>
    </row>
    <row r="934" spans="1:1">
      <c r="A934" s="40"/>
    </row>
    <row r="935" spans="1:1">
      <c r="A935" s="40"/>
    </row>
    <row r="936" spans="1:1">
      <c r="A936" s="40"/>
    </row>
    <row r="937" spans="1:1">
      <c r="A937" s="40"/>
    </row>
    <row r="938" spans="1:1">
      <c r="A938" s="40"/>
    </row>
    <row r="939" spans="1:1">
      <c r="A939" s="40"/>
    </row>
    <row r="940" spans="1:1">
      <c r="A940" s="40"/>
    </row>
    <row r="941" spans="1:1">
      <c r="A941" s="40"/>
    </row>
    <row r="942" spans="1:1">
      <c r="A942" s="40"/>
    </row>
    <row r="943" spans="1:1">
      <c r="A943" s="40"/>
    </row>
    <row r="944" spans="1:1">
      <c r="A944" s="40"/>
    </row>
    <row r="945" spans="1:1">
      <c r="A945" s="40"/>
    </row>
    <row r="946" spans="1:1">
      <c r="A946" s="40"/>
    </row>
    <row r="947" spans="1:1">
      <c r="A947" s="40"/>
    </row>
    <row r="948" spans="1:1">
      <c r="A948" s="40"/>
    </row>
    <row r="949" spans="1:1">
      <c r="A949" s="40"/>
    </row>
    <row r="950" spans="1:1">
      <c r="A950" s="40"/>
    </row>
    <row r="951" spans="1:1">
      <c r="A951" s="40"/>
    </row>
    <row r="952" spans="1:1">
      <c r="A952" s="40"/>
    </row>
    <row r="953" spans="1:1">
      <c r="A953" s="40"/>
    </row>
    <row r="954" spans="1:1">
      <c r="A954" s="40"/>
    </row>
    <row r="955" spans="1:1">
      <c r="A955" s="40"/>
    </row>
    <row r="956" spans="1:1">
      <c r="A956" s="40"/>
    </row>
    <row r="957" spans="1:1">
      <c r="A957" s="40"/>
    </row>
    <row r="958" spans="1:1">
      <c r="A958" s="40"/>
    </row>
    <row r="959" spans="1:1">
      <c r="A959" s="40"/>
    </row>
    <row r="960" spans="1:1">
      <c r="A960" s="40"/>
    </row>
    <row r="961" spans="1:1">
      <c r="A961" s="40"/>
    </row>
    <row r="962" spans="1:1">
      <c r="A962" s="40"/>
    </row>
    <row r="963" spans="1:1">
      <c r="A963" s="40"/>
    </row>
    <row r="964" spans="1:1">
      <c r="A964" s="40"/>
    </row>
    <row r="965" spans="1:1">
      <c r="A965" s="40"/>
    </row>
    <row r="966" spans="1:1">
      <c r="A966" s="40"/>
    </row>
    <row r="967" spans="1:1">
      <c r="A967" s="40"/>
    </row>
    <row r="968" spans="1:1">
      <c r="A968" s="40"/>
    </row>
    <row r="969" spans="1:1">
      <c r="A969" s="40"/>
    </row>
    <row r="970" spans="1:1">
      <c r="A970" s="40"/>
    </row>
    <row r="971" spans="1:1">
      <c r="A971" s="40"/>
    </row>
    <row r="972" spans="1:1">
      <c r="A972" s="40"/>
    </row>
    <row r="973" spans="1:1">
      <c r="A973" s="40"/>
    </row>
    <row r="974" spans="1:1">
      <c r="A974" s="40"/>
    </row>
    <row r="975" spans="1:1">
      <c r="A975" s="40"/>
    </row>
    <row r="976" spans="1:1">
      <c r="A976" s="40"/>
    </row>
    <row r="977" spans="1:1">
      <c r="A977" s="40"/>
    </row>
    <row r="978" spans="1:1">
      <c r="A978" s="40"/>
    </row>
    <row r="979" spans="1:1">
      <c r="A979" s="40"/>
    </row>
    <row r="980" spans="1:1">
      <c r="A980" s="40"/>
    </row>
    <row r="981" spans="1:1">
      <c r="A981" s="40"/>
    </row>
    <row r="982" spans="1:1">
      <c r="A982" s="40"/>
    </row>
    <row r="983" spans="1:1">
      <c r="A983" s="40"/>
    </row>
    <row r="984" spans="1:1">
      <c r="A984" s="40"/>
    </row>
    <row r="985" spans="1:1">
      <c r="A985" s="40"/>
    </row>
    <row r="986" spans="1:1">
      <c r="A986" s="40"/>
    </row>
    <row r="987" spans="1:1">
      <c r="A987" s="40"/>
    </row>
    <row r="988" spans="1:1">
      <c r="A988" s="40"/>
    </row>
    <row r="989" spans="1:1">
      <c r="A989" s="40"/>
    </row>
    <row r="990" spans="1:1">
      <c r="A990" s="40"/>
    </row>
    <row r="991" spans="1:1">
      <c r="A991" s="40"/>
    </row>
    <row r="992" spans="1:1">
      <c r="A992" s="40"/>
    </row>
    <row r="993" spans="1:1">
      <c r="A993" s="40"/>
    </row>
    <row r="994" spans="1:1">
      <c r="A994" s="40"/>
    </row>
    <row r="995" spans="1:1">
      <c r="A995" s="40"/>
    </row>
    <row r="996" spans="1:1">
      <c r="A996" s="40"/>
    </row>
    <row r="997" spans="1:1">
      <c r="A997" s="40"/>
    </row>
  </sheetData>
  <sheetProtection formatCells="0" formatColumns="0" formatRows="0" insertColumns="0" insertRows="0" insertHyperlinks="0" deleteColumns="0" deleteRows="0" sort="0" autoFilter="0" pivotTables="0"/>
  <mergeCells count="2">
    <mergeCell ref="B9:C9"/>
    <mergeCell ref="B11:C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outlinePr summaryBelow="0" summaryRight="0"/>
  </sheetPr>
  <dimension ref="A2:I54"/>
  <sheetViews>
    <sheetView rightToLeft="1" workbookViewId="0">
      <selection activeCell="D5" sqref="D5"/>
    </sheetView>
  </sheetViews>
  <sheetFormatPr defaultColWidth="9" defaultRowHeight="14.25"/>
  <cols>
    <col min="1" max="2" bestFit="true" customWidth="true" style="126" width="8.875"/>
    <col min="3" max="3" bestFit="true" customWidth="true" style="126" width="12.375"/>
    <col min="4" max="4" bestFit="true" customWidth="true" style="126" width="7.0"/>
    <col min="5" max="6" bestFit="true" customWidth="true" style="126" width="8.0"/>
    <col min="7" max="7" bestFit="true" customWidth="true" style="126" width="9.25"/>
    <col min="8" max="8" bestFit="true" customWidth="true" style="126" width="5.625"/>
    <col min="9" max="16384" style="126" width="9.0"/>
  </cols>
  <sheetData>
    <row r="2" spans="1:9">
      <c r="A2" s="130"/>
      <c r="B2" s="130"/>
      <c r="C2" s="130"/>
      <c r="D2" s="130"/>
      <c r="E2" s="130"/>
      <c r="F2" s="130"/>
      <c r="G2" s="130"/>
      <c r="H2" s="130"/>
      <c r="I2" s="130"/>
    </row>
    <row r="3" spans="1:9">
      <c r="A3" s="130"/>
      <c r="B3" s="130"/>
      <c r="C3" s="130"/>
      <c r="D3" s="130"/>
      <c r="E3" s="130"/>
      <c r="F3" s="130"/>
      <c r="G3" s="130"/>
      <c r="H3" s="130"/>
      <c r="I3" s="130"/>
    </row>
    <row r="4" spans="1:9">
      <c r="A4" s="130"/>
      <c r="B4" s="130"/>
      <c r="C4" s="130"/>
      <c r="D4" s="130"/>
      <c r="E4" s="130"/>
      <c r="F4" s="130"/>
      <c r="G4" s="130"/>
      <c r="H4" s="130"/>
      <c r="I4" s="130"/>
    </row>
    <row r="5" spans="1:9" ht="15.75">
      <c r="A5" s="131"/>
      <c r="B5" s="131"/>
      <c r="C5" s="131"/>
      <c r="D5" s="131"/>
      <c r="E5" s="131"/>
      <c r="F5" s="131"/>
    </row>
    <row r="6" spans="1:9">
      <c r="A6" s="130"/>
      <c r="B6" s="130"/>
      <c r="C6" s="130"/>
      <c r="D6" s="130"/>
      <c r="E6" s="130"/>
      <c r="F6" s="130"/>
    </row>
    <row r="7" spans="1:9">
      <c r="A7" s="132"/>
      <c r="B7" s="132"/>
      <c r="C7" s="132"/>
      <c r="D7" s="132"/>
      <c r="E7" s="127"/>
      <c r="F7" s="127"/>
    </row>
    <row r="8" spans="1:9">
      <c r="A8" s="133"/>
      <c r="B8" s="133"/>
      <c r="C8" s="133"/>
      <c r="D8" s="133"/>
      <c r="E8" s="133"/>
      <c r="F8" s="133"/>
      <c r="G8" s="133"/>
      <c r="H8" s="133"/>
      <c r="I8" s="133"/>
    </row>
    <row r="9" spans="1:9">
      <c r="A9" s="133"/>
      <c r="B9" s="133"/>
      <c r="C9" s="133"/>
      <c r="D9" s="133"/>
      <c r="E9" s="133"/>
      <c r="F9" s="133"/>
      <c r="G9" s="133"/>
      <c r="H9" s="133"/>
      <c r="I9" s="133"/>
    </row>
    <row r="10" spans="1:9">
      <c r="A10" s="133"/>
      <c r="B10" s="133"/>
      <c r="C10" s="133"/>
      <c r="D10" s="133"/>
      <c r="E10" s="133"/>
      <c r="F10" s="133"/>
      <c r="G10" s="133"/>
      <c r="H10" s="133"/>
      <c r="I10" s="133"/>
    </row>
    <row r="11" spans="1:9">
      <c r="A11" s="127"/>
      <c r="B11" s="127"/>
      <c r="C11" s="127"/>
      <c r="D11" s="127"/>
      <c r="E11" s="127"/>
      <c r="F11" s="127"/>
      <c r="G11" s="127"/>
      <c r="H11" s="127"/>
      <c r="I11" s="127"/>
    </row>
    <row r="12" spans="1:9">
      <c r="A12" s="127"/>
      <c r="B12" s="127"/>
      <c r="C12" s="127"/>
      <c r="D12" s="127"/>
      <c r="E12" s="127"/>
      <c r="F12" s="127"/>
      <c r="G12" s="127"/>
      <c r="H12" s="127"/>
    </row>
    <row r="13" spans="1:9">
      <c r="A13" s="128"/>
      <c r="B13" s="128"/>
      <c r="C13" s="127"/>
      <c r="D13" s="127"/>
      <c r="E13" s="127"/>
      <c r="F13" s="127"/>
      <c r="G13" s="129"/>
      <c r="H13" s="130"/>
    </row>
    <row r="14" spans="1:9">
      <c r="A14" s="128"/>
      <c r="B14" s="128"/>
      <c r="C14" s="127"/>
      <c r="D14" s="127"/>
      <c r="E14" s="127"/>
      <c r="F14" s="129"/>
      <c r="G14" s="129"/>
      <c r="H14" s="130"/>
    </row>
    <row r="15" spans="1:9">
      <c r="A15" s="128"/>
      <c r="B15" s="128"/>
      <c r="C15" s="127"/>
      <c r="D15" s="127"/>
      <c r="E15" s="127"/>
      <c r="F15" s="127"/>
      <c r="G15" s="129"/>
      <c r="H15" s="130"/>
    </row>
    <row r="16" spans="1:9">
      <c r="A16" s="128"/>
      <c r="B16" s="128"/>
      <c r="C16" s="127"/>
      <c r="D16" s="127"/>
      <c r="E16" s="127"/>
      <c r="F16" s="129"/>
      <c r="G16" s="129"/>
      <c r="H16" s="130"/>
    </row>
    <row r="17" spans="1:8">
      <c r="A17" s="128"/>
      <c r="B17" s="128"/>
      <c r="C17" s="127"/>
      <c r="D17" s="127"/>
      <c r="E17" s="129"/>
      <c r="F17" s="127"/>
      <c r="G17" s="129"/>
      <c r="H17" s="130"/>
    </row>
    <row r="18" spans="1:8">
      <c r="A18" s="128"/>
      <c r="B18" s="128"/>
      <c r="C18" s="127"/>
      <c r="D18" s="127"/>
      <c r="E18" s="129"/>
      <c r="F18" s="127"/>
      <c r="G18" s="129"/>
      <c r="H18" s="130"/>
    </row>
    <row r="19" spans="1:8">
      <c r="A19" s="128"/>
      <c r="B19" s="128"/>
      <c r="C19" s="127"/>
      <c r="D19" s="127"/>
      <c r="E19" s="127"/>
      <c r="F19" s="127"/>
      <c r="G19" s="129"/>
      <c r="H19" s="130"/>
    </row>
    <row r="20" spans="1:8">
      <c r="A20" s="128"/>
      <c r="B20" s="128"/>
      <c r="C20" s="127"/>
      <c r="D20" s="127"/>
      <c r="E20" s="129"/>
      <c r="F20" s="127"/>
      <c r="G20" s="129"/>
      <c r="H20" s="130"/>
    </row>
    <row r="21" spans="1:8">
      <c r="A21" s="128"/>
      <c r="B21" s="128"/>
      <c r="C21" s="127"/>
      <c r="D21" s="127"/>
      <c r="E21" s="127"/>
      <c r="F21" s="127"/>
      <c r="G21" s="129"/>
      <c r="H21" s="130"/>
    </row>
    <row r="22" spans="1:8">
      <c r="A22" s="128"/>
      <c r="B22" s="128"/>
      <c r="C22" s="127"/>
      <c r="D22" s="127"/>
      <c r="E22" s="127"/>
      <c r="F22" s="127"/>
      <c r="G22" s="129"/>
      <c r="H22" s="130"/>
    </row>
    <row r="23" spans="1:8">
      <c r="A23" s="128"/>
      <c r="B23" s="128"/>
      <c r="C23" s="127"/>
      <c r="D23" s="127"/>
      <c r="E23" s="127"/>
      <c r="F23" s="127"/>
      <c r="G23" s="129"/>
      <c r="H23" s="130"/>
    </row>
    <row r="24" spans="1:8">
      <c r="A24" s="128"/>
      <c r="B24" s="128"/>
      <c r="C24" s="127"/>
      <c r="D24" s="127"/>
      <c r="E24" s="127"/>
      <c r="F24" s="129"/>
      <c r="G24" s="129"/>
      <c r="H24" s="130"/>
    </row>
    <row r="25" spans="1:8">
      <c r="A25" s="128"/>
      <c r="B25" s="128"/>
      <c r="C25" s="127"/>
      <c r="D25" s="127"/>
      <c r="E25" s="129"/>
      <c r="F25" s="127"/>
      <c r="G25" s="129"/>
      <c r="H25" s="130"/>
    </row>
    <row r="26" spans="1:8">
      <c r="A26" s="128"/>
      <c r="B26" s="128"/>
      <c r="C26" s="127"/>
      <c r="D26" s="127"/>
      <c r="E26" s="127"/>
      <c r="F26" s="127"/>
      <c r="G26" s="129"/>
      <c r="H26" s="130"/>
    </row>
    <row r="27" spans="1:8">
      <c r="A27" s="128"/>
      <c r="B27" s="128"/>
      <c r="C27" s="127"/>
      <c r="D27" s="127"/>
      <c r="E27" s="127"/>
      <c r="F27" s="127"/>
      <c r="G27" s="129"/>
      <c r="H27" s="130"/>
    </row>
    <row r="28" spans="1:8">
      <c r="A28" s="128"/>
      <c r="B28" s="128"/>
      <c r="C28" s="127"/>
      <c r="D28" s="127"/>
      <c r="E28" s="129"/>
      <c r="F28" s="127"/>
      <c r="G28" s="129"/>
      <c r="H28" s="130"/>
    </row>
    <row r="29" spans="1:8">
      <c r="A29" s="128"/>
      <c r="B29" s="128"/>
      <c r="C29" s="127"/>
      <c r="D29" s="127"/>
      <c r="E29" s="127"/>
      <c r="F29" s="127"/>
      <c r="G29" s="129"/>
      <c r="H29" s="130"/>
    </row>
    <row r="30" spans="1:8">
      <c r="A30" s="128"/>
      <c r="B30" s="128"/>
      <c r="C30" s="127"/>
      <c r="D30" s="127"/>
      <c r="E30" s="129"/>
      <c r="F30" s="127"/>
      <c r="G30" s="129"/>
      <c r="H30" s="130"/>
    </row>
    <row r="31" spans="1:8">
      <c r="A31" s="128"/>
      <c r="B31" s="128"/>
      <c r="C31" s="127"/>
      <c r="D31" s="127"/>
      <c r="E31" s="129"/>
      <c r="F31" s="127"/>
      <c r="G31" s="129"/>
      <c r="H31" s="130"/>
    </row>
    <row r="32" spans="1:8">
      <c r="A32" s="128"/>
      <c r="B32" s="128"/>
      <c r="C32" s="127"/>
      <c r="D32" s="127"/>
      <c r="E32" s="127"/>
      <c r="F32" s="127"/>
      <c r="G32" s="129"/>
      <c r="H32" s="130"/>
    </row>
    <row r="33" spans="1:8">
      <c r="A33" s="128"/>
      <c r="B33" s="128"/>
      <c r="C33" s="127"/>
      <c r="D33" s="127"/>
      <c r="E33" s="127"/>
      <c r="F33" s="127"/>
      <c r="G33" s="129"/>
      <c r="H33" s="130"/>
    </row>
    <row r="34" spans="1:8">
      <c r="A34" s="128"/>
      <c r="B34" s="128"/>
      <c r="C34" s="127"/>
      <c r="D34" s="127"/>
      <c r="E34" s="129"/>
      <c r="F34" s="127"/>
      <c r="G34" s="129"/>
      <c r="H34" s="130"/>
    </row>
    <row r="35" spans="1:8">
      <c r="A35" s="128"/>
      <c r="B35" s="128"/>
      <c r="C35" s="127"/>
      <c r="D35" s="127"/>
      <c r="E35" s="127"/>
      <c r="F35" s="127"/>
      <c r="G35" s="129"/>
      <c r="H35" s="130"/>
    </row>
    <row r="36" spans="1:8">
      <c r="A36" s="128"/>
      <c r="B36" s="128"/>
      <c r="C36" s="127"/>
      <c r="D36" s="127"/>
      <c r="E36" s="127"/>
      <c r="F36" s="127"/>
      <c r="G36" s="129"/>
      <c r="H36" s="130"/>
    </row>
    <row r="37" spans="1:8">
      <c r="A37" s="128"/>
      <c r="B37" s="128"/>
      <c r="C37" s="127"/>
      <c r="D37" s="127"/>
      <c r="E37" s="127"/>
      <c r="F37" s="127"/>
      <c r="G37" s="129"/>
      <c r="H37" s="130"/>
    </row>
    <row r="38" spans="1:8">
      <c r="A38" s="128"/>
      <c r="B38" s="128"/>
      <c r="C38" s="127"/>
      <c r="D38" s="127"/>
      <c r="E38" s="127"/>
      <c r="F38" s="129"/>
      <c r="G38" s="129"/>
      <c r="H38" s="130"/>
    </row>
    <row r="39" spans="1:8">
      <c r="A39" s="128"/>
      <c r="B39" s="128"/>
      <c r="C39" s="127"/>
      <c r="D39" s="127"/>
      <c r="E39" s="129"/>
      <c r="F39" s="127"/>
      <c r="G39" s="129"/>
      <c r="H39" s="130"/>
    </row>
    <row r="40" spans="1:8">
      <c r="A40" s="128"/>
      <c r="B40" s="128"/>
      <c r="C40" s="127"/>
      <c r="D40" s="127"/>
      <c r="E40" s="129"/>
      <c r="F40" s="127"/>
      <c r="G40" s="129"/>
      <c r="H40" s="130"/>
    </row>
    <row r="41" spans="1:8">
      <c r="A41" s="128"/>
      <c r="B41" s="128"/>
      <c r="C41" s="127"/>
      <c r="D41" s="127"/>
      <c r="E41" s="127"/>
      <c r="F41" s="127"/>
      <c r="G41" s="129"/>
      <c r="H41" s="130"/>
    </row>
    <row r="42" spans="1:8">
      <c r="A42" s="128"/>
      <c r="B42" s="128"/>
      <c r="C42" s="127"/>
      <c r="D42" s="127"/>
      <c r="E42" s="129"/>
      <c r="F42" s="127"/>
      <c r="G42" s="129"/>
      <c r="H42" s="130"/>
    </row>
    <row r="43" spans="1:8">
      <c r="A43" s="128"/>
      <c r="B43" s="128"/>
      <c r="C43" s="127"/>
      <c r="D43" s="127"/>
      <c r="E43" s="127"/>
      <c r="F43" s="127"/>
      <c r="G43" s="129"/>
      <c r="H43" s="130"/>
    </row>
    <row r="44" spans="1:8">
      <c r="A44" s="128"/>
      <c r="B44" s="128"/>
      <c r="C44" s="127"/>
      <c r="D44" s="127"/>
      <c r="E44" s="127"/>
      <c r="F44" s="127"/>
      <c r="G44" s="129"/>
      <c r="H44" s="130"/>
    </row>
    <row r="45" spans="1:8">
      <c r="A45" s="128"/>
      <c r="B45" s="128"/>
      <c r="C45" s="127"/>
      <c r="D45" s="127"/>
      <c r="E45" s="129"/>
      <c r="F45" s="127"/>
      <c r="G45" s="129"/>
      <c r="H45" s="130"/>
    </row>
    <row r="46" spans="1:8">
      <c r="A46" s="128"/>
      <c r="B46" s="128"/>
      <c r="C46" s="127"/>
      <c r="D46" s="127"/>
      <c r="E46" s="127"/>
      <c r="F46" s="129"/>
      <c r="G46" s="129"/>
      <c r="H46" s="130"/>
    </row>
    <row r="47" spans="1:8">
      <c r="A47" s="128"/>
      <c r="B47" s="128"/>
      <c r="C47" s="127"/>
      <c r="D47" s="127"/>
      <c r="E47" s="129"/>
      <c r="F47" s="127"/>
      <c r="G47" s="129"/>
      <c r="H47" s="130"/>
    </row>
    <row r="48" spans="1:8">
      <c r="A48" s="128"/>
      <c r="B48" s="128"/>
      <c r="C48" s="127"/>
      <c r="D48" s="127"/>
      <c r="E48" s="127"/>
      <c r="F48" s="127"/>
      <c r="G48" s="129"/>
      <c r="H48" s="130"/>
    </row>
    <row r="49" spans="1:9">
      <c r="A49" s="128"/>
      <c r="B49" s="128"/>
      <c r="C49" s="127"/>
      <c r="D49" s="127"/>
      <c r="E49" s="129"/>
      <c r="F49" s="127"/>
      <c r="G49" s="129"/>
      <c r="H49" s="130"/>
    </row>
    <row r="50" spans="1:9">
      <c r="A50" s="128"/>
      <c r="B50" s="128"/>
      <c r="C50" s="127"/>
      <c r="D50" s="127"/>
      <c r="E50" s="129"/>
      <c r="F50" s="127"/>
      <c r="G50" s="129"/>
      <c r="H50" s="130"/>
    </row>
    <row r="51" spans="1:9">
      <c r="A51" s="128"/>
      <c r="B51" s="128"/>
      <c r="C51" s="127"/>
      <c r="D51" s="127"/>
      <c r="E51" s="127"/>
      <c r="F51" s="127"/>
      <c r="G51" s="129"/>
      <c r="H51" s="130"/>
    </row>
    <row r="52" spans="1:9">
      <c r="A52" s="128"/>
      <c r="B52" s="128"/>
      <c r="C52" s="127"/>
      <c r="D52" s="127"/>
      <c r="E52" s="127"/>
      <c r="F52" s="127"/>
      <c r="G52" s="129"/>
      <c r="H52" s="130"/>
    </row>
    <row r="54" spans="1:9">
      <c r="A54" s="133"/>
      <c r="B54" s="133"/>
      <c r="C54" s="133"/>
      <c r="D54" s="133"/>
      <c r="E54" s="133"/>
      <c r="F54" s="133"/>
      <c r="G54" s="133"/>
      <c r="H54" s="133"/>
      <c r="I54" s="133"/>
    </row>
  </sheetData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2049" r:id="rId4" name="Drop Down 1">
              <controlPr defaultSize="0" autoLine="0" autoPict="0">
                <anchor>
                  <from>
                    <xdr:col>8</xdr:col>
                    <xdr:colOff>114300</xdr:colOff>
                    <xdr:row>10</xdr:row>
                    <xdr:rowOff>85725</xdr:rowOff>
                  </from>
                  <to>
                    <xdr:col>10</xdr:col>
                    <xdr:colOff>219075</xdr:colOff>
                    <xdr:row>11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>
    <outlinePr summaryBelow="0" summaryRight="0"/>
  </sheetPr>
  <dimension ref="A1:AS1499"/>
  <sheetViews>
    <sheetView showZeros="0" rightToLeft="1" tabSelected="1" zoomScale="90" zoomScaleNormal="90" workbookViewId="0">
      <pane ySplit="8" topLeftCell="A9" activePane="bottomLeft" state="frozen"/>
      <selection activeCell="B9" sqref="B9:C9"/>
      <selection pane="bottomLeft" activeCell="B2" sqref="B2"/>
    </sheetView>
  </sheetViews>
  <sheetFormatPr defaultColWidth="12.625" defaultRowHeight="15" customHeight="1"/>
  <cols>
    <col min="1" max="1" customWidth="true" style="58" width="16.875"/>
    <col min="2" max="2" bestFit="true" customWidth="true" style="58" width="14.0"/>
    <col min="3" max="3" customWidth="true" style="58" width="23.5"/>
    <col min="4" max="4" customWidth="true" style="58" width="12.75"/>
    <col min="5" max="5" customWidth="true" style="58" width="12.875"/>
    <col min="6" max="6" customWidth="true" style="58" width="12.625"/>
    <col min="7" max="8" bestFit="true" customWidth="true" style="58" width="21.0"/>
    <col min="9" max="9" customWidth="true" style="58" width="40.25"/>
    <col min="10" max="12" customWidth="true" style="58" width="10.875"/>
    <col min="13" max="13" customWidth="true" style="42" width="22.5"/>
    <col min="14" max="17" customWidth="true" hidden="true" style="48" width="12.625"/>
    <col min="18" max="19" customWidth="true" hidden="true" style="42" width="12.625"/>
    <col min="20" max="29" customWidth="true" hidden="true" style="44" width="12.625"/>
    <col min="30" max="30" customWidth="true" hidden="true" style="44" width="17.375"/>
    <col min="31" max="43" customWidth="true" hidden="true" style="44" width="12.625"/>
    <col min="44" max="44" customWidth="true" hidden="true" style="44" width="20.0"/>
    <col min="45" max="46" customWidth="true" hidden="true" style="44" width="12.625"/>
    <col min="47" max="16384" style="44" width="12.625"/>
  </cols>
  <sheetData>
    <row r="1" spans="1:45" ht="18.75" customHeight="1" thickBot="1">
      <c r="A1" s="56" t="s">
        <v>81</v>
      </c>
      <c r="B1" s="53" t="s">
        <v>84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45"/>
      <c r="N1" s="46"/>
      <c r="O1" s="46"/>
      <c r="P1" s="47" t="s">
        <v>180</v>
      </c>
      <c r="Q1" s="48">
        <f>'שלב ב - סיווג תנועות'!B2</f>
        <v>0</v>
      </c>
      <c r="R1" s="45"/>
      <c r="S1" s="45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45" ht="18.75" customHeight="1" thickBot="1">
      <c r="A2" s="56" t="s">
        <v>85</v>
      </c>
      <c r="B2" s="53"/>
      <c r="C2" s="54"/>
      <c r="D2" s="54"/>
      <c r="F2" s="55"/>
      <c r="G2" s="55"/>
      <c r="H2" s="55"/>
      <c r="I2" s="54"/>
      <c r="J2" s="54"/>
      <c r="K2" s="54"/>
      <c r="L2" s="54"/>
      <c r="M2" s="134"/>
      <c r="N2" s="46"/>
      <c r="O2" s="46"/>
      <c r="P2" s="49" t="s">
        <v>15</v>
      </c>
      <c r="Q2" s="50">
        <v>12</v>
      </c>
      <c r="R2" s="45"/>
      <c r="S2" s="45"/>
      <c r="T2" s="43"/>
      <c r="U2" s="43"/>
      <c r="V2" s="43"/>
      <c r="W2" s="43"/>
      <c r="X2" s="43"/>
      <c r="Y2" s="43"/>
      <c r="Z2" s="43"/>
      <c r="AA2" s="43"/>
      <c r="AB2" s="43"/>
      <c r="AC2" s="105"/>
      <c r="AD2" s="106" t="s">
        <v>106</v>
      </c>
      <c r="AE2" s="107"/>
      <c r="AF2" s="108" t="s">
        <v>105</v>
      </c>
      <c r="AG2" s="108"/>
      <c r="AH2" s="108" t="s">
        <v>112</v>
      </c>
      <c r="AI2" s="109">
        <v>1</v>
      </c>
      <c r="AJ2" s="108"/>
      <c r="AK2" s="108"/>
      <c r="AL2" s="108"/>
      <c r="AM2" s="108"/>
      <c r="AN2" s="108"/>
    </row>
    <row r="3" spans="1:45">
      <c r="A3" s="56" t="s">
        <v>86</v>
      </c>
      <c r="B3" s="149">
        <f>'שלב ג - תוצאות השיקוף'!B2</f>
        <v>0</v>
      </c>
      <c r="C3" s="54"/>
      <c r="D3" s="54"/>
      <c r="E3" s="54"/>
      <c r="F3" s="55"/>
      <c r="G3" s="59"/>
      <c r="H3" s="59"/>
      <c r="I3" s="55"/>
      <c r="J3" s="55"/>
      <c r="K3" s="55"/>
      <c r="L3" s="55"/>
      <c r="N3" s="46"/>
      <c r="O3" s="46"/>
      <c r="P3" s="49" t="s">
        <v>73</v>
      </c>
      <c r="Q3" s="50">
        <v>2</v>
      </c>
      <c r="R3" s="45"/>
      <c r="S3" s="45"/>
      <c r="T3" s="43"/>
      <c r="U3" s="43"/>
      <c r="V3" s="43"/>
      <c r="W3" s="43"/>
      <c r="X3" s="43"/>
      <c r="Y3" s="43"/>
      <c r="Z3" s="43"/>
      <c r="AA3" s="43"/>
      <c r="AB3" s="43"/>
      <c r="AC3" s="105"/>
      <c r="AD3" s="110">
        <v>9</v>
      </c>
      <c r="AE3" s="110"/>
      <c r="AF3" s="111" t="str">
        <f ca="1">AH3 &amp; " - " &amp; INDIRECT("'שלב א - טעינת דפי מקור'!" &amp; VLOOKUP($AH$3,'שלב ב - סיווג תנועות'!AD6:AJ23,7,0))</f>
        <v xml:space="preserve">בנק אגוד - </v>
      </c>
      <c r="AG3" s="108"/>
      <c r="AH3" s="108" t="str">
        <f>IF(AND(AI2=2,'שלב א - טעינת דפי מקור'!F4 = "יתרת פתיחה"),AD19,INDEX(AD6:AD23,AI2))</f>
        <v>בנק אגוד</v>
      </c>
      <c r="AI3" s="108" t="str">
        <f>VLOOKUP(AH3,AR6:AS23,2,0)</f>
        <v>Igud</v>
      </c>
      <c r="AJ3" s="108"/>
      <c r="AK3" s="108"/>
      <c r="AL3" s="108"/>
      <c r="AM3" s="108"/>
      <c r="AN3" s="108"/>
    </row>
    <row r="4" spans="1:45">
      <c r="A4" s="63" t="s">
        <v>87</v>
      </c>
      <c r="B4" s="149">
        <f>'שלב ג - תוצאות השיקוף'!E2</f>
        <v>0</v>
      </c>
      <c r="C4" s="88"/>
      <c r="D4" s="54"/>
      <c r="E4" s="54"/>
      <c r="F4" s="55"/>
      <c r="G4" s="59"/>
      <c r="H4" s="59"/>
      <c r="I4" s="55"/>
      <c r="J4" s="55"/>
      <c r="K4" s="55"/>
      <c r="L4" s="55"/>
      <c r="N4" s="46"/>
      <c r="O4" s="46" t="s">
        <v>0</v>
      </c>
      <c r="P4" s="49" t="s">
        <v>74</v>
      </c>
      <c r="Q4" s="50">
        <v>3</v>
      </c>
      <c r="R4" s="45"/>
      <c r="S4" s="45"/>
      <c r="T4" s="43"/>
      <c r="U4" s="43"/>
      <c r="V4" s="43"/>
      <c r="W4" s="43"/>
      <c r="X4" s="43"/>
      <c r="Y4" s="43"/>
      <c r="Z4" s="43"/>
      <c r="AA4" s="43"/>
      <c r="AB4" s="43"/>
      <c r="AC4" s="105"/>
      <c r="AD4" s="110"/>
      <c r="AE4" s="110"/>
      <c r="AF4" s="108"/>
      <c r="AG4" s="108"/>
      <c r="AH4" s="108"/>
      <c r="AI4" s="108"/>
      <c r="AJ4" s="108"/>
      <c r="AK4" s="108"/>
      <c r="AL4" s="108"/>
      <c r="AM4" s="108"/>
      <c r="AN4" s="108"/>
    </row>
    <row r="5" spans="1:45" ht="23.25" customHeight="1">
      <c r="A5" s="64" t="s">
        <v>4</v>
      </c>
      <c r="B5" s="150">
        <f>(B4-B3)</f>
        <v>0</v>
      </c>
      <c r="C5" s="54"/>
      <c r="D5" s="54"/>
      <c r="E5" s="54"/>
      <c r="F5" s="56"/>
      <c r="G5" s="55"/>
      <c r="H5" s="55"/>
      <c r="I5" s="73"/>
      <c r="J5" s="73"/>
      <c r="K5" s="73"/>
      <c r="L5" s="73"/>
      <c r="N5" s="46"/>
      <c r="O5" s="46" t="s">
        <v>1</v>
      </c>
      <c r="P5" s="49" t="s">
        <v>245</v>
      </c>
      <c r="R5" s="45"/>
      <c r="S5" s="45"/>
      <c r="T5" s="43"/>
      <c r="U5" s="43"/>
      <c r="V5" s="43"/>
      <c r="W5" s="43"/>
      <c r="X5" s="43"/>
      <c r="Y5" s="43"/>
      <c r="Z5" s="43"/>
      <c r="AA5" s="43"/>
      <c r="AB5" s="43"/>
      <c r="AC5" s="114" t="s">
        <v>200</v>
      </c>
      <c r="AD5" s="115"/>
      <c r="AE5" s="116" t="s">
        <v>97</v>
      </c>
      <c r="AF5" s="116" t="s">
        <v>98</v>
      </c>
      <c r="AG5" s="116" t="s">
        <v>108</v>
      </c>
      <c r="AH5" s="116" t="s">
        <v>109</v>
      </c>
      <c r="AI5" s="116"/>
      <c r="AJ5" s="116" t="s">
        <v>102</v>
      </c>
      <c r="AK5" s="115"/>
      <c r="AL5" s="116" t="s">
        <v>91</v>
      </c>
      <c r="AM5" s="116" t="s">
        <v>92</v>
      </c>
      <c r="AN5" s="116" t="s">
        <v>93</v>
      </c>
      <c r="AR5" s="199" t="s">
        <v>230</v>
      </c>
      <c r="AS5" s="199"/>
    </row>
    <row r="6" spans="1:45">
      <c r="A6" s="118" t="s">
        <v>210</v>
      </c>
      <c r="B6" s="54"/>
      <c r="C6" s="54"/>
      <c r="D6" s="54"/>
      <c r="F6" s="54"/>
      <c r="G6" s="54"/>
      <c r="H6" s="54"/>
      <c r="I6" s="54"/>
      <c r="J6" s="54"/>
      <c r="K6" s="54"/>
      <c r="L6" s="54"/>
      <c r="N6" s="46"/>
      <c r="O6" s="46"/>
      <c r="R6" s="45"/>
      <c r="S6" s="45"/>
      <c r="T6" s="43"/>
      <c r="U6" s="43"/>
      <c r="V6" s="43"/>
      <c r="W6" s="43"/>
      <c r="X6" s="43"/>
      <c r="Y6" s="43"/>
      <c r="Z6" s="43"/>
      <c r="AA6" s="43"/>
      <c r="AB6" s="43"/>
      <c r="AD6" s="112" t="s">
        <v>189</v>
      </c>
      <c r="AE6" s="113" t="s">
        <v>99</v>
      </c>
      <c r="AF6" s="113" t="s">
        <v>103</v>
      </c>
      <c r="AG6" s="113" t="s">
        <v>101</v>
      </c>
      <c r="AH6" s="113"/>
      <c r="AI6" s="113"/>
      <c r="AJ6" s="113" t="s">
        <v>95</v>
      </c>
      <c r="AK6" s="113"/>
      <c r="AL6" s="113">
        <v>23</v>
      </c>
      <c r="AM6" s="110" t="e">
        <f>MATCH(100000000000,'שלב א - טעינת דפי מקור'!F:F)</f>
        <v>#N/A</v>
      </c>
      <c r="AN6" s="110" t="e">
        <f t="shared" ref="AN6:AN11" si="0">AM6-AL6</f>
        <v>#N/A</v>
      </c>
      <c r="AR6" s="112" t="s">
        <v>189</v>
      </c>
      <c r="AS6" s="123" t="s">
        <v>220</v>
      </c>
    </row>
    <row r="7" spans="1:45" ht="19.5" customHeight="1">
      <c r="A7" s="65" t="s">
        <v>82</v>
      </c>
      <c r="B7" s="66"/>
      <c r="C7" s="74"/>
      <c r="D7" s="74"/>
      <c r="E7" s="55"/>
      <c r="F7" s="55"/>
      <c r="G7" s="55"/>
      <c r="H7" s="55"/>
      <c r="I7" s="60"/>
      <c r="J7" s="60"/>
      <c r="K7" s="60"/>
      <c r="L7" s="60"/>
      <c r="M7" s="45"/>
      <c r="N7" s="46"/>
      <c r="O7" s="46"/>
      <c r="P7" s="46"/>
      <c r="Q7" s="46"/>
      <c r="R7" s="45"/>
      <c r="S7" s="45"/>
      <c r="T7" s="43"/>
      <c r="U7" s="43"/>
      <c r="V7" s="43"/>
      <c r="W7" s="43"/>
      <c r="X7" s="43"/>
      <c r="Y7" s="43"/>
      <c r="Z7" s="43"/>
      <c r="AA7" s="43"/>
      <c r="AB7" s="43"/>
      <c r="AD7" s="112" t="s">
        <v>190</v>
      </c>
      <c r="AE7" s="105" t="s">
        <v>103</v>
      </c>
      <c r="AF7" s="113" t="s">
        <v>101</v>
      </c>
      <c r="AG7" s="113" t="s">
        <v>235</v>
      </c>
      <c r="AH7" s="113"/>
      <c r="AI7" s="113"/>
      <c r="AJ7" s="113" t="s">
        <v>187</v>
      </c>
      <c r="AK7" s="113"/>
      <c r="AL7" s="113">
        <v>3</v>
      </c>
      <c r="AM7" s="110" t="e">
        <f>MATCH(100000000000,'שלב א - טעינת דפי מקור'!C:C)</f>
        <v>#N/A</v>
      </c>
      <c r="AN7" s="110" t="e">
        <f t="shared" si="0"/>
        <v>#N/A</v>
      </c>
      <c r="AR7" s="112" t="s">
        <v>190</v>
      </c>
      <c r="AS7" s="123" t="s">
        <v>221</v>
      </c>
    </row>
    <row r="8" spans="1:45" ht="59.25" customHeight="1">
      <c r="A8" s="103" t="s">
        <v>6</v>
      </c>
      <c r="B8" s="103" t="s">
        <v>8</v>
      </c>
      <c r="C8" s="103" t="s">
        <v>83</v>
      </c>
      <c r="D8" s="103" t="s">
        <v>9</v>
      </c>
      <c r="E8" s="104" t="s">
        <v>90</v>
      </c>
      <c r="F8" s="104" t="s">
        <v>181</v>
      </c>
      <c r="G8" s="104" t="s">
        <v>343</v>
      </c>
      <c r="H8" s="104" t="s">
        <v>88</v>
      </c>
      <c r="I8" s="104" t="s">
        <v>89</v>
      </c>
      <c r="J8" s="196" t="s">
        <v>417</v>
      </c>
      <c r="K8" s="196" t="s">
        <v>418</v>
      </c>
      <c r="L8" s="196" t="s">
        <v>419</v>
      </c>
      <c r="M8" s="45"/>
      <c r="N8" s="46" t="s">
        <v>76</v>
      </c>
      <c r="O8" s="46" t="s">
        <v>80</v>
      </c>
      <c r="P8" s="46" t="s">
        <v>75</v>
      </c>
      <c r="Q8" s="46"/>
      <c r="R8" s="45"/>
      <c r="S8" s="45"/>
      <c r="T8" s="43"/>
      <c r="U8" s="43"/>
      <c r="V8" s="43"/>
      <c r="W8" s="43"/>
      <c r="X8" s="43"/>
      <c r="Y8" s="43"/>
      <c r="Z8" s="43"/>
      <c r="AA8" s="43"/>
      <c r="AB8" s="43"/>
      <c r="AC8" s="112"/>
      <c r="AD8" s="106" t="s">
        <v>166</v>
      </c>
      <c r="AE8" s="106" t="s">
        <v>99</v>
      </c>
      <c r="AF8" s="106" t="s">
        <v>100</v>
      </c>
      <c r="AG8" s="106" t="s">
        <v>101</v>
      </c>
      <c r="AH8" s="110"/>
      <c r="AI8" s="110"/>
      <c r="AJ8" s="106" t="s">
        <v>94</v>
      </c>
      <c r="AK8" s="110"/>
      <c r="AL8" s="110">
        <v>14</v>
      </c>
      <c r="AM8" s="110" t="e">
        <f>MATCH(100000000000,'שלב א - טעינת דפי מקור'!E:E)</f>
        <v>#N/A</v>
      </c>
      <c r="AN8" s="110" t="e">
        <f t="shared" si="0"/>
        <v>#N/A</v>
      </c>
      <c r="AR8" s="106" t="s">
        <v>166</v>
      </c>
      <c r="AS8" s="123" t="s">
        <v>222</v>
      </c>
    </row>
    <row r="9" spans="1:45">
      <c r="A9" s="67" t="s">
        <v>430</v>
      </c>
      <c r="B9" s="78" t="s">
        <v>431</v>
      </c>
      <c r="C9" s="67" t="s">
        <v>432</v>
      </c>
      <c r="D9" s="75" t="n">
        <v>22.0</v>
      </c>
      <c r="E9" s="90" t="s">
        <v>0</v>
      </c>
      <c r="F9" s="57" t="str">
        <f>""</f>
        <v/>
      </c>
      <c r="G9" s="61" t="s">
        <v>350</v>
      </c>
      <c r="H9" s="61" t="s">
        <v>404</v>
      </c>
      <c r="I9" s="62" t="s">
        <v>433</v>
      </c>
      <c r="J9" s="62" t="n">
        <v>22.0</v>
      </c>
      <c r="K9" s="62" t="s">
        <v>434</v>
      </c>
      <c r="L9" s="62" t="s">
        <v>435</v>
      </c>
      <c r="M9" s="42"/>
      <c r="N9" s="46" t="e">
        <f>IF(OR(F9=$P$1,F9="",F9=0),D9/$B$2,IF(OR(F9=$P$2,F9=$P$3,F9=$P$4),D9/(O9*P9),D9/O9))</f>
        <v>#DIV/0!</v>
      </c>
      <c r="O9" s="46" t="str">
        <f>IFERROR(VLOOKUP(F9,$P$1:$Q$4,2,0),F9)</f>
        <v/>
      </c>
      <c r="P9" s="46">
        <f>IF(C9="",1,COUNTIFS($C$9:$C$1499,C9,$H$9:$H$1499,H9))</f>
        <v>1</v>
      </c>
      <c r="Q9" s="46"/>
      <c r="R9" s="45"/>
      <c r="S9" s="45"/>
      <c r="T9" s="43"/>
      <c r="U9" s="43"/>
      <c r="V9" s="43"/>
      <c r="W9" s="43"/>
      <c r="X9" s="43"/>
      <c r="Y9" s="43"/>
      <c r="Z9" s="43"/>
      <c r="AA9" s="43"/>
      <c r="AB9" s="43"/>
      <c r="AD9" s="125" t="s">
        <v>254</v>
      </c>
      <c r="AE9" s="113" t="s">
        <v>99</v>
      </c>
      <c r="AF9" s="113" t="s">
        <v>100</v>
      </c>
      <c r="AG9" s="113" t="s">
        <v>235</v>
      </c>
      <c r="AH9" s="113" t="s">
        <v>101</v>
      </c>
      <c r="AI9" s="113"/>
      <c r="AJ9" s="113" t="s">
        <v>95</v>
      </c>
      <c r="AK9" s="112"/>
      <c r="AL9" s="112">
        <v>7</v>
      </c>
      <c r="AM9" s="110" t="e">
        <f>MATCH(100000000000,'שלב א - טעינת דפי מקור'!I:I)</f>
        <v>#N/A</v>
      </c>
      <c r="AN9" s="110" t="e">
        <f t="shared" si="0"/>
        <v>#N/A</v>
      </c>
      <c r="AR9" s="125" t="s">
        <v>254</v>
      </c>
      <c r="AS9" s="123" t="s">
        <v>255</v>
      </c>
    </row>
    <row r="10" spans="1:45" s="120" customFormat="1">
      <c r="A10" s="67" t="s">
        <v>430</v>
      </c>
      <c r="B10" s="78" t="s">
        <v>431</v>
      </c>
      <c r="C10" s="69" t="s">
        <v>436</v>
      </c>
      <c r="D10" s="70" t="n">
        <v>80.0</v>
      </c>
      <c r="E10" s="76" t="s">
        <v>0</v>
      </c>
      <c r="F10" s="57" t="str">
        <f>IFERROR(VLOOKUP(C10,$C$9:H9,4,FALSE),"")</f>
        <v/>
      </c>
      <c r="G10" s="61" t="str">
        <f>IFERROR(VLOOKUP(C10,$C$9:G9,5,FALSE),"")</f>
        <v/>
      </c>
      <c r="H10" s="61" t="str">
        <f>IFERROR(VLOOKUP(C10,$C$9:H9,6,FALSE),"")</f>
        <v/>
      </c>
      <c r="I10" s="62" t="s">
        <v>437</v>
      </c>
      <c r="J10" s="62" t="n">
        <v>80.0</v>
      </c>
      <c r="K10" s="62" t="s">
        <v>434</v>
      </c>
      <c r="L10" s="62" t="s">
        <v>435</v>
      </c>
      <c r="M10" s="119"/>
      <c r="N10" s="46" t="e">
        <f t="shared" ref="N10:N73" si="1">IF(OR(F10=$P$1,F10="",F10=0),D10/$B$2,IF(OR(F10=$P$2,F10=$P$3,F10=$P$4),D10/(O10*P10),D10/O10))</f>
        <v>#DIV/0!</v>
      </c>
      <c r="O10" s="46" t="str">
        <f t="shared" ref="O10:O73" si="2">IFERROR(VLOOKUP(F10,$P$1:$Q$4,2,0),F10)</f>
        <v/>
      </c>
      <c r="P10" s="46">
        <f t="shared" ref="P10:P72" si="3">IF(C10="",1,COUNTIFS($C$9:$C$1499,C10,$H$9:$H$1499,H10))</f>
        <v>1</v>
      </c>
      <c r="Q10" s="46"/>
      <c r="R10" s="45"/>
      <c r="S10" s="45"/>
      <c r="T10" s="43"/>
      <c r="U10" s="43"/>
      <c r="V10" s="43"/>
      <c r="W10" s="43"/>
      <c r="X10" s="43"/>
      <c r="Y10" s="43"/>
      <c r="Z10" s="43"/>
      <c r="AA10" s="43"/>
      <c r="AB10" s="43"/>
      <c r="AD10" s="113" t="s">
        <v>192</v>
      </c>
      <c r="AE10" s="113" t="s">
        <v>99</v>
      </c>
      <c r="AF10" s="113" t="s">
        <v>103</v>
      </c>
      <c r="AG10" s="113" t="s">
        <v>104</v>
      </c>
      <c r="AH10" s="113" t="s">
        <v>100</v>
      </c>
      <c r="AI10" s="113"/>
      <c r="AJ10" s="113" t="s">
        <v>95</v>
      </c>
      <c r="AK10" s="113"/>
      <c r="AL10" s="113">
        <v>7</v>
      </c>
      <c r="AM10" s="110" t="e">
        <f>MATCH(100000000000,'שלב א - טעינת דפי מקור'!G:G)</f>
        <v>#N/A</v>
      </c>
      <c r="AN10" s="110" t="e">
        <f t="shared" si="0"/>
        <v>#N/A</v>
      </c>
      <c r="AR10" s="113" t="s">
        <v>192</v>
      </c>
      <c r="AS10" s="124" t="s">
        <v>224</v>
      </c>
    </row>
    <row r="11" spans="1:45" ht="15.75">
      <c r="A11" s="67" t="s">
        <v>430</v>
      </c>
      <c r="B11" s="78" t="s">
        <v>431</v>
      </c>
      <c r="C11" s="69" t="s">
        <v>438</v>
      </c>
      <c r="D11" s="70" t="n">
        <v>72.0</v>
      </c>
      <c r="E11" s="76" t="s">
        <v>0</v>
      </c>
      <c r="F11" s="57" t="str">
        <f>IFERROR(VLOOKUP(C11,$C$9:H10,4,FALSE),"")</f>
        <v/>
      </c>
      <c r="G11" s="61" t="str">
        <f>IFERROR(VLOOKUP(C11,$C$9:G10,5,FALSE),"")</f>
        <v/>
      </c>
      <c r="H11" s="61" t="str">
        <f>IFERROR(VLOOKUP(C11,$C$9:H10,6,FALSE),"")</f>
        <v/>
      </c>
      <c r="I11" s="76" t="s">
        <v>433</v>
      </c>
      <c r="J11" s="76" t="n">
        <v>72.0</v>
      </c>
      <c r="K11" s="76" t="s">
        <v>434</v>
      </c>
      <c r="L11" s="76" t="s">
        <v>435</v>
      </c>
      <c r="M11" s="42"/>
      <c r="N11" s="46" t="e">
        <f t="shared" si="1"/>
        <v>#DIV/0!</v>
      </c>
      <c r="O11" s="46" t="str">
        <f t="shared" si="2"/>
        <v/>
      </c>
      <c r="P11" s="46">
        <f t="shared" si="3"/>
        <v>1</v>
      </c>
      <c r="Q11" s="46"/>
      <c r="R11" s="45"/>
      <c r="S11" s="45"/>
      <c r="T11" s="43"/>
      <c r="U11" s="43"/>
      <c r="V11" s="43"/>
      <c r="W11" s="43"/>
      <c r="X11" s="43"/>
      <c r="Y11" s="43"/>
      <c r="Z11" s="43"/>
      <c r="AA11" s="43"/>
      <c r="AB11" s="43"/>
      <c r="AC11" s="112"/>
      <c r="AD11" s="108" t="s">
        <v>169</v>
      </c>
      <c r="AE11" s="106" t="s">
        <v>99</v>
      </c>
      <c r="AF11" s="106" t="s">
        <v>101</v>
      </c>
      <c r="AG11" s="106" t="s">
        <v>104</v>
      </c>
      <c r="AH11" s="108"/>
      <c r="AI11" s="108"/>
      <c r="AJ11" s="106" t="s">
        <v>411</v>
      </c>
      <c r="AK11" s="108"/>
      <c r="AL11" s="110">
        <v>7</v>
      </c>
      <c r="AM11" s="110" t="e">
        <f>MATCH(100000000000,'שלב א - טעינת דפי מקור'!A:A)</f>
        <v>#N/A</v>
      </c>
      <c r="AN11" s="110" t="e">
        <f t="shared" si="0"/>
        <v>#N/A</v>
      </c>
      <c r="AR11" s="108" t="s">
        <v>169</v>
      </c>
      <c r="AS11" s="123" t="s">
        <v>225</v>
      </c>
    </row>
    <row r="12" spans="1:45">
      <c r="A12" s="67" t="s">
        <v>430</v>
      </c>
      <c r="B12" s="78" t="s">
        <v>431</v>
      </c>
      <c r="C12" s="69" t="s">
        <v>438</v>
      </c>
      <c r="D12" s="70" t="n">
        <v>108.0</v>
      </c>
      <c r="E12" s="76" t="s">
        <v>0</v>
      </c>
      <c r="F12" s="57" t="str">
        <f>IFERROR(VLOOKUP(C12,$C$9:H11,4,FALSE),"")</f>
        <v/>
      </c>
      <c r="G12" s="61" t="str">
        <f>IFERROR(VLOOKUP(C12,$C$9:G11,5,FALSE),"")</f>
        <v/>
      </c>
      <c r="H12" s="61" t="str">
        <f>IFERROR(VLOOKUP(C12,$C$9:H11,6,FALSE),"")</f>
        <v/>
      </c>
      <c r="I12" s="76" t="s">
        <v>433</v>
      </c>
      <c r="J12" s="76" t="n">
        <v>108.0</v>
      </c>
      <c r="K12" s="76" t="s">
        <v>434</v>
      </c>
      <c r="L12" s="76" t="s">
        <v>435</v>
      </c>
      <c r="M12" s="42"/>
      <c r="N12" s="46" t="e">
        <f t="shared" si="1"/>
        <v>#DIV/0!</v>
      </c>
      <c r="O12" s="46" t="str">
        <f t="shared" si="2"/>
        <v/>
      </c>
      <c r="P12" s="46">
        <f t="shared" si="3"/>
        <v>1</v>
      </c>
      <c r="Q12" s="46"/>
      <c r="R12" s="45"/>
      <c r="S12" s="45"/>
      <c r="T12" s="43"/>
      <c r="U12" s="43"/>
      <c r="V12" s="43"/>
      <c r="W12" s="43"/>
      <c r="X12" s="43"/>
      <c r="Y12" s="43"/>
      <c r="Z12" s="43"/>
      <c r="AA12" s="43"/>
      <c r="AB12" s="43"/>
      <c r="AC12" s="105" t="s">
        <v>193</v>
      </c>
      <c r="AD12" s="125" t="s">
        <v>232</v>
      </c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R12" s="125" t="s">
        <v>232</v>
      </c>
      <c r="AS12" s="123" t="s">
        <v>223</v>
      </c>
    </row>
    <row r="13" spans="1:45" ht="15.75">
      <c r="A13" s="67" t="s">
        <v>430</v>
      </c>
      <c r="B13" s="78" t="s">
        <v>431</v>
      </c>
      <c r="C13" s="69" t="s">
        <v>439</v>
      </c>
      <c r="D13" s="70" t="n">
        <v>36.99</v>
      </c>
      <c r="E13" s="76" t="s">
        <v>0</v>
      </c>
      <c r="F13" s="57" t="str">
        <f>IFERROR(VLOOKUP(C13,$C$9:H12,4,FALSE),"")</f>
        <v/>
      </c>
      <c r="G13" s="61" t="s">
        <v>350</v>
      </c>
      <c r="H13" s="61" t="s">
        <v>404</v>
      </c>
      <c r="I13" s="76" t="s">
        <v>433</v>
      </c>
      <c r="J13" s="76" t="n">
        <v>36.99</v>
      </c>
      <c r="K13" s="76" t="s">
        <v>434</v>
      </c>
      <c r="L13" s="76" t="s">
        <v>435</v>
      </c>
      <c r="M13" s="42"/>
      <c r="N13" s="46" t="e">
        <f t="shared" si="1"/>
        <v>#DIV/0!</v>
      </c>
      <c r="O13" s="46" t="str">
        <f t="shared" si="2"/>
        <v/>
      </c>
      <c r="P13" s="46">
        <f t="shared" si="3"/>
        <v>1</v>
      </c>
      <c r="Q13" s="46"/>
      <c r="R13" s="45"/>
      <c r="S13" s="45"/>
      <c r="T13" s="43"/>
      <c r="U13" s="43"/>
      <c r="V13" s="43"/>
      <c r="W13" s="43"/>
      <c r="X13" s="43"/>
      <c r="Y13" s="43"/>
      <c r="Z13" s="43"/>
      <c r="AA13" s="43"/>
      <c r="AB13" s="43"/>
      <c r="AC13" s="112"/>
      <c r="AD13" s="106" t="s">
        <v>167</v>
      </c>
      <c r="AE13" s="106" t="s">
        <v>99</v>
      </c>
      <c r="AF13" s="106" t="s">
        <v>100</v>
      </c>
      <c r="AG13" s="106" t="s">
        <v>104</v>
      </c>
      <c r="AH13" s="106" t="s">
        <v>174</v>
      </c>
      <c r="AI13" s="110"/>
      <c r="AJ13" s="106" t="s">
        <v>111</v>
      </c>
      <c r="AK13" s="110"/>
      <c r="AL13" s="110" t="e">
        <f>MATCH("תיאור",'שלב א - טעינת דפי מקור'!$C$1:$C$27,0)+1</f>
        <v>#N/A</v>
      </c>
      <c r="AM13" s="110" t="e">
        <f>MATCH(100000000000,'שלב א - טעינת דפי מקור'!D:D)</f>
        <v>#N/A</v>
      </c>
      <c r="AN13" s="110" t="e">
        <f>AM13-AL13</f>
        <v>#N/A</v>
      </c>
      <c r="AR13" s="106" t="s">
        <v>167</v>
      </c>
      <c r="AS13" s="123" t="s">
        <v>226</v>
      </c>
    </row>
    <row r="14" spans="1:45" ht="15.75">
      <c r="A14" s="67" t="s">
        <v>430</v>
      </c>
      <c r="B14" s="78" t="s">
        <v>431</v>
      </c>
      <c r="C14" s="69" t="s">
        <v>440</v>
      </c>
      <c r="D14" s="70" t="n">
        <v>37.5</v>
      </c>
      <c r="E14" s="76" t="s">
        <v>0</v>
      </c>
      <c r="F14" s="57" t="str">
        <f>IFERROR(VLOOKUP(C14,$C$9:H13,4,FALSE),"")</f>
        <v/>
      </c>
      <c r="G14" s="61" t="str">
        <f>IFERROR(VLOOKUP(C14,$C$9:G13,5,FALSE),"")</f>
        <v/>
      </c>
      <c r="H14" s="61" t="str">
        <f>IFERROR(VLOOKUP(C14,$C$9:H13,6,FALSE),"")</f>
        <v/>
      </c>
      <c r="I14" s="76" t="s">
        <v>433</v>
      </c>
      <c r="J14" s="76" t="n">
        <v>37.5</v>
      </c>
      <c r="K14" s="76" t="s">
        <v>434</v>
      </c>
      <c r="L14" s="76" t="s">
        <v>435</v>
      </c>
      <c r="M14" s="42"/>
      <c r="N14" s="46" t="e">
        <f t="shared" si="1"/>
        <v>#DIV/0!</v>
      </c>
      <c r="O14" s="46" t="str">
        <f t="shared" si="2"/>
        <v/>
      </c>
      <c r="P14" s="46">
        <f t="shared" si="3"/>
        <v>1</v>
      </c>
      <c r="Q14" s="46"/>
      <c r="R14" s="45"/>
      <c r="S14" s="45"/>
      <c r="T14" s="43"/>
      <c r="U14" s="43"/>
      <c r="V14" s="43"/>
      <c r="W14" s="43"/>
      <c r="X14" s="43"/>
      <c r="Y14" s="43"/>
      <c r="Z14" s="43"/>
      <c r="AA14" s="43"/>
      <c r="AB14" s="43"/>
      <c r="AC14" s="112"/>
      <c r="AD14" s="106" t="s">
        <v>168</v>
      </c>
      <c r="AE14" s="106" t="s">
        <v>99</v>
      </c>
      <c r="AF14" s="106" t="s">
        <v>100</v>
      </c>
      <c r="AG14" s="106" t="s">
        <v>104</v>
      </c>
      <c r="AH14" s="106"/>
      <c r="AI14" s="110"/>
      <c r="AJ14" s="106" t="s">
        <v>96</v>
      </c>
      <c r="AK14" s="110"/>
      <c r="AL14" s="110">
        <v>11</v>
      </c>
      <c r="AM14" s="110" t="e">
        <f>MATCH(100000000000,'שלב א - טעינת דפי מקור'!G:G)</f>
        <v>#N/A</v>
      </c>
      <c r="AN14" s="110" t="e">
        <f>AM14-AL14</f>
        <v>#N/A</v>
      </c>
      <c r="AR14" s="106" t="s">
        <v>168</v>
      </c>
      <c r="AS14" s="123" t="s">
        <v>227</v>
      </c>
    </row>
    <row r="15" spans="1:45">
      <c r="A15" s="67" t="s">
        <v>430</v>
      </c>
      <c r="B15" s="78" t="s">
        <v>431</v>
      </c>
      <c r="C15" s="69" t="s">
        <v>440</v>
      </c>
      <c r="D15" s="70" t="n">
        <v>187.5</v>
      </c>
      <c r="E15" s="76" t="s">
        <v>0</v>
      </c>
      <c r="F15" s="57" t="str">
        <f>IFERROR(VLOOKUP(C15,$C$9:H14,4,FALSE),"")</f>
        <v/>
      </c>
      <c r="G15" s="61" t="str">
        <f>IFERROR(VLOOKUP(C15,$C$9:G14,5,FALSE),"")</f>
        <v/>
      </c>
      <c r="H15" s="61" t="str">
        <f>IFERROR(VLOOKUP(C15,$C$9:H14,6,FALSE),"")</f>
        <v/>
      </c>
      <c r="I15" s="76" t="s">
        <v>433</v>
      </c>
      <c r="J15" s="76" t="n">
        <v>187.5</v>
      </c>
      <c r="K15" s="76" t="s">
        <v>434</v>
      </c>
      <c r="L15" s="76" t="s">
        <v>435</v>
      </c>
      <c r="M15" s="42"/>
      <c r="N15" s="46" t="e">
        <f t="shared" si="1"/>
        <v>#DIV/0!</v>
      </c>
      <c r="O15" s="46" t="str">
        <f t="shared" si="2"/>
        <v/>
      </c>
      <c r="P15" s="46">
        <f t="shared" si="3"/>
        <v>1</v>
      </c>
      <c r="Q15" s="46"/>
      <c r="R15" s="45"/>
      <c r="S15" s="45"/>
      <c r="T15" s="43"/>
      <c r="U15" s="43"/>
      <c r="V15" s="43"/>
      <c r="W15" s="43"/>
      <c r="X15" s="43"/>
      <c r="Y15" s="43"/>
      <c r="Z15" s="43"/>
      <c r="AA15" s="43"/>
      <c r="AB15" s="43"/>
      <c r="AD15" s="105" t="s">
        <v>194</v>
      </c>
      <c r="AE15" s="113" t="s">
        <v>103</v>
      </c>
      <c r="AF15" s="113" t="s">
        <v>101</v>
      </c>
      <c r="AG15" s="113" t="s">
        <v>235</v>
      </c>
      <c r="AH15" s="113"/>
      <c r="AI15" s="113"/>
      <c r="AJ15" s="113" t="s">
        <v>187</v>
      </c>
      <c r="AK15" s="113"/>
      <c r="AL15" s="113">
        <v>4</v>
      </c>
      <c r="AM15" s="110" t="e">
        <f>MATCH(100000000000,'שלב א - טעינת דפי מקור'!C:C)</f>
        <v>#N/A</v>
      </c>
      <c r="AN15" s="110" t="e">
        <f>AM15-AL15</f>
        <v>#N/A</v>
      </c>
      <c r="AR15" s="105" t="s">
        <v>194</v>
      </c>
      <c r="AS15" s="123" t="s">
        <v>236</v>
      </c>
    </row>
    <row r="16" spans="1:45">
      <c r="A16" s="67" t="s">
        <v>430</v>
      </c>
      <c r="B16" s="78" t="s">
        <v>431</v>
      </c>
      <c r="C16" s="67" t="s">
        <v>439</v>
      </c>
      <c r="D16" s="70" t="n">
        <v>49.0</v>
      </c>
      <c r="E16" s="76" t="s">
        <v>0</v>
      </c>
      <c r="F16" s="57" t="str">
        <f>IFERROR(VLOOKUP(C16,$C$9:H15,4,FALSE),"")</f>
        <v/>
      </c>
      <c r="G16" s="61" t="s">
        <v>350</v>
      </c>
      <c r="H16" s="61" t="s">
        <v>404</v>
      </c>
      <c r="I16" s="61" t="s">
        <v>433</v>
      </c>
      <c r="J16" s="61" t="n">
        <v>49.0</v>
      </c>
      <c r="K16" s="61" t="s">
        <v>434</v>
      </c>
      <c r="L16" s="61" t="s">
        <v>435</v>
      </c>
      <c r="M16" s="42"/>
      <c r="N16" s="46" t="e">
        <f t="shared" si="1"/>
        <v>#DIV/0!</v>
      </c>
      <c r="O16" s="46" t="str">
        <f t="shared" si="2"/>
        <v/>
      </c>
      <c r="P16" s="46">
        <f t="shared" si="3"/>
        <v>1</v>
      </c>
      <c r="Q16" s="46"/>
      <c r="R16" s="45"/>
      <c r="S16" s="45"/>
      <c r="T16" s="43"/>
      <c r="U16" s="43"/>
      <c r="V16" s="43"/>
      <c r="W16" s="43"/>
      <c r="X16" s="43"/>
      <c r="Y16" s="43"/>
      <c r="Z16" s="43"/>
      <c r="AA16" s="43"/>
      <c r="AB16" s="43"/>
      <c r="AD16" s="105" t="s">
        <v>195</v>
      </c>
      <c r="AE16" s="105" t="s">
        <v>99</v>
      </c>
      <c r="AF16" s="113" t="s">
        <v>100</v>
      </c>
      <c r="AG16" s="113" t="s">
        <v>101</v>
      </c>
      <c r="AH16" s="112"/>
      <c r="AI16" s="112"/>
      <c r="AJ16" s="113" t="s">
        <v>269</v>
      </c>
      <c r="AK16" s="112"/>
      <c r="AL16" s="112">
        <v>9</v>
      </c>
      <c r="AM16" s="110" t="e">
        <f>IFERROR(MATCH(AO16,'שלב א - טעינת דפי מקור'!A:A,0)-2,MATCH(100000000000,'שלב א - טעינת דפי מקור'!E:E))</f>
        <v>#N/A</v>
      </c>
      <c r="AN16" s="110" t="e">
        <f>AM16-AL16</f>
        <v>#N/A</v>
      </c>
      <c r="AO16" s="44" t="s">
        <v>270</v>
      </c>
      <c r="AR16" s="105" t="s">
        <v>195</v>
      </c>
      <c r="AS16" s="44" t="s">
        <v>271</v>
      </c>
    </row>
    <row r="17" spans="1:45">
      <c r="A17" s="67" t="s">
        <v>430</v>
      </c>
      <c r="B17" s="78" t="s">
        <v>431</v>
      </c>
      <c r="C17" s="67" t="s">
        <v>441</v>
      </c>
      <c r="D17" s="70" t="n">
        <v>26.0</v>
      </c>
      <c r="E17" s="76" t="s">
        <v>0</v>
      </c>
      <c r="F17" s="57" t="str">
        <f>IFERROR(VLOOKUP(C17,$C$9:H16,4,FALSE),"")</f>
        <v/>
      </c>
      <c r="G17" s="61" t="str">
        <f>IFERROR(VLOOKUP(C17,$C$9:G16,5,FALSE),"")</f>
        <v/>
      </c>
      <c r="H17" s="61" t="str">
        <f>IFERROR(VLOOKUP(C17,$C$9:H16,6,FALSE),"")</f>
        <v/>
      </c>
      <c r="I17" s="61" t="s">
        <v>433</v>
      </c>
      <c r="J17" s="61" t="n">
        <v>26.0</v>
      </c>
      <c r="K17" s="61" t="s">
        <v>434</v>
      </c>
      <c r="L17" s="61" t="s">
        <v>435</v>
      </c>
      <c r="M17" s="42"/>
      <c r="N17" s="46" t="e">
        <f t="shared" si="1"/>
        <v>#DIV/0!</v>
      </c>
      <c r="O17" s="46" t="str">
        <f t="shared" si="2"/>
        <v/>
      </c>
      <c r="P17" s="46">
        <f t="shared" si="3"/>
        <v>1</v>
      </c>
      <c r="Q17" s="46"/>
      <c r="R17" s="45"/>
      <c r="S17" s="45"/>
      <c r="T17" s="43"/>
      <c r="U17" s="43"/>
      <c r="V17" s="43"/>
      <c r="W17" s="43"/>
      <c r="X17" s="43"/>
      <c r="Y17" s="43"/>
      <c r="Z17" s="43"/>
      <c r="AA17" s="43"/>
      <c r="AB17" s="43"/>
      <c r="AC17" s="105" t="s">
        <v>196</v>
      </c>
      <c r="AD17" s="125" t="s">
        <v>232</v>
      </c>
      <c r="AE17" s="105"/>
      <c r="AF17" s="112"/>
      <c r="AG17" s="112"/>
      <c r="AH17" s="112"/>
      <c r="AI17" s="112"/>
      <c r="AJ17" s="112"/>
      <c r="AK17" s="112"/>
      <c r="AL17" s="112"/>
      <c r="AM17" s="112"/>
      <c r="AN17" s="112"/>
      <c r="AR17" s="112"/>
    </row>
    <row r="18" spans="1:45">
      <c r="A18" s="67" t="s">
        <v>430</v>
      </c>
      <c r="B18" s="78" t="s">
        <v>431</v>
      </c>
      <c r="C18" s="77" t="s">
        <v>442</v>
      </c>
      <c r="D18" s="70" t="n">
        <v>135.0</v>
      </c>
      <c r="E18" s="76" t="s">
        <v>0</v>
      </c>
      <c r="F18" s="57" t="str">
        <f>IFERROR(VLOOKUP(C18,$C$9:H17,4,FALSE),"")</f>
        <v/>
      </c>
      <c r="G18" s="61" t="str">
        <f>IFERROR(VLOOKUP(C18,$C$9:G17,5,FALSE),"")</f>
        <v/>
      </c>
      <c r="H18" s="61" t="str">
        <f>IFERROR(VLOOKUP(C18,$C$9:H17,6,FALSE),"")</f>
        <v/>
      </c>
      <c r="I18" s="61" t="s">
        <v>433</v>
      </c>
      <c r="J18" s="61" t="n">
        <v>135.0</v>
      </c>
      <c r="K18" s="61" t="s">
        <v>434</v>
      </c>
      <c r="L18" s="61" t="s">
        <v>435</v>
      </c>
      <c r="M18" s="42"/>
      <c r="N18" s="46" t="e">
        <f t="shared" si="1"/>
        <v>#DIV/0!</v>
      </c>
      <c r="O18" s="46" t="str">
        <f t="shared" si="2"/>
        <v/>
      </c>
      <c r="P18" s="46">
        <f t="shared" si="3"/>
        <v>1</v>
      </c>
      <c r="Q18" s="46"/>
      <c r="R18" s="45"/>
      <c r="S18" s="45"/>
      <c r="T18" s="43"/>
      <c r="U18" s="43"/>
      <c r="V18" s="43"/>
      <c r="W18" s="43"/>
      <c r="X18" s="43"/>
      <c r="Y18" s="43"/>
      <c r="Z18" s="43"/>
      <c r="AA18" s="43"/>
      <c r="AB18" s="43"/>
      <c r="AC18" s="105" t="s">
        <v>197</v>
      </c>
      <c r="AD18" s="125" t="s">
        <v>232</v>
      </c>
      <c r="AE18" s="105"/>
      <c r="AF18" s="112"/>
      <c r="AG18" s="112"/>
      <c r="AH18" s="112"/>
      <c r="AI18" s="112"/>
      <c r="AJ18" s="112"/>
      <c r="AK18" s="112"/>
      <c r="AL18" s="112"/>
      <c r="AM18" s="112"/>
      <c r="AN18" s="112"/>
    </row>
    <row r="19" spans="1:45">
      <c r="A19" s="67" t="s">
        <v>430</v>
      </c>
      <c r="B19" s="78" t="s">
        <v>431</v>
      </c>
      <c r="C19" s="67" t="s">
        <v>442</v>
      </c>
      <c r="D19" s="75" t="n">
        <v>99.0</v>
      </c>
      <c r="E19" s="76" t="s">
        <v>0</v>
      </c>
      <c r="F19" s="57" t="str">
        <f>IFERROR(VLOOKUP(C19,$C$9:H18,4,FALSE),"")</f>
        <v/>
      </c>
      <c r="G19" s="61" t="str">
        <f>IFERROR(VLOOKUP(C19,$C$9:G18,5,FALSE),"")</f>
        <v/>
      </c>
      <c r="H19" s="61" t="str">
        <f>IFERROR(VLOOKUP(C19,$C$9:H18,6,FALSE),"")</f>
        <v/>
      </c>
      <c r="I19" s="61" t="s">
        <v>433</v>
      </c>
      <c r="J19" s="61" t="n">
        <v>99.0</v>
      </c>
      <c r="K19" s="61" t="s">
        <v>434</v>
      </c>
      <c r="L19" s="61" t="s">
        <v>435</v>
      </c>
      <c r="M19" s="42"/>
      <c r="N19" s="46" t="e">
        <f t="shared" si="1"/>
        <v>#DIV/0!</v>
      </c>
      <c r="O19" s="46" t="str">
        <f t="shared" si="2"/>
        <v/>
      </c>
      <c r="P19" s="46">
        <f t="shared" si="3"/>
        <v>1</v>
      </c>
      <c r="Q19" s="46"/>
      <c r="R19" s="45"/>
      <c r="S19" s="45"/>
      <c r="T19" s="43"/>
      <c r="U19" s="43"/>
      <c r="V19" s="43"/>
      <c r="W19" s="43"/>
      <c r="X19" s="43"/>
      <c r="Y19" s="43"/>
      <c r="Z19" s="43"/>
      <c r="AA19" s="43"/>
      <c r="AB19" s="43"/>
      <c r="AC19" s="112"/>
      <c r="AD19" s="105" t="s">
        <v>198</v>
      </c>
      <c r="AE19" s="105" t="s">
        <v>207</v>
      </c>
      <c r="AF19" s="113" t="s">
        <v>188</v>
      </c>
      <c r="AG19" s="113" t="s">
        <v>104</v>
      </c>
      <c r="AH19" s="113"/>
      <c r="AI19" s="113"/>
      <c r="AJ19" s="113" t="s">
        <v>187</v>
      </c>
      <c r="AK19" s="113"/>
      <c r="AL19" s="113">
        <v>5</v>
      </c>
      <c r="AM19" s="110" t="e">
        <f>MATCH(100000000000,'שלב א - טעינת דפי מקור'!H:H)</f>
        <v>#N/A</v>
      </c>
      <c r="AN19" s="110" t="e">
        <f>AM19-AL19</f>
        <v>#N/A</v>
      </c>
      <c r="AR19" s="105" t="s">
        <v>198</v>
      </c>
      <c r="AS19" s="123" t="s">
        <v>228</v>
      </c>
    </row>
    <row r="20" spans="1:45">
      <c r="A20" s="67" t="s">
        <v>430</v>
      </c>
      <c r="B20" s="78" t="s">
        <v>431</v>
      </c>
      <c r="C20" s="67" t="s">
        <v>442</v>
      </c>
      <c r="D20" s="75" t="n">
        <v>150.0</v>
      </c>
      <c r="E20" s="76" t="s">
        <v>0</v>
      </c>
      <c r="F20" s="57" t="str">
        <f>IFERROR(VLOOKUP(C20,$C$9:H19,4,FALSE),"")</f>
        <v/>
      </c>
      <c r="G20" s="61" t="str">
        <f>IFERROR(VLOOKUP(C20,$C$9:G19,5,FALSE),"")</f>
        <v/>
      </c>
      <c r="H20" s="61" t="str">
        <f>IFERROR(VLOOKUP(C20,$C$9:H19,6,FALSE),"")</f>
        <v/>
      </c>
      <c r="I20" s="61" t="s">
        <v>433</v>
      </c>
      <c r="J20" s="61" t="n">
        <v>150.0</v>
      </c>
      <c r="K20" s="61" t="s">
        <v>434</v>
      </c>
      <c r="L20" s="61" t="s">
        <v>435</v>
      </c>
      <c r="M20" s="42"/>
      <c r="N20" s="46" t="e">
        <f t="shared" si="1"/>
        <v>#DIV/0!</v>
      </c>
      <c r="O20" s="46" t="str">
        <f t="shared" si="2"/>
        <v/>
      </c>
      <c r="P20" s="46">
        <f t="shared" si="3"/>
        <v>1</v>
      </c>
      <c r="Q20" s="46"/>
      <c r="R20" s="45"/>
      <c r="S20" s="45"/>
      <c r="T20" s="43"/>
      <c r="U20" s="43"/>
      <c r="V20" s="43"/>
      <c r="W20" s="43"/>
      <c r="X20" s="43"/>
      <c r="Y20" s="43"/>
      <c r="Z20" s="43"/>
      <c r="AA20" s="43"/>
      <c r="AB20" s="43"/>
      <c r="AC20" s="105" t="s">
        <v>199</v>
      </c>
      <c r="AD20" s="125" t="s">
        <v>232</v>
      </c>
      <c r="AE20" s="105"/>
      <c r="AF20" s="112"/>
      <c r="AG20" s="112"/>
      <c r="AH20" s="112"/>
      <c r="AI20" s="112"/>
      <c r="AJ20" s="112"/>
      <c r="AK20" s="112"/>
      <c r="AL20" s="112"/>
      <c r="AM20" s="112"/>
      <c r="AN20" s="112"/>
      <c r="AR20" s="112"/>
    </row>
    <row r="21" spans="1:45">
      <c r="A21" s="67" t="s">
        <v>430</v>
      </c>
      <c r="B21" s="78" t="s">
        <v>431</v>
      </c>
      <c r="C21" s="67" t="s">
        <v>442</v>
      </c>
      <c r="D21" s="75" t="n">
        <v>118.0</v>
      </c>
      <c r="E21" s="76" t="s">
        <v>0</v>
      </c>
      <c r="F21" s="57" t="str">
        <f>IFERROR(VLOOKUP(C21,$C$9:H20,4,FALSE),"")</f>
        <v/>
      </c>
      <c r="G21" s="61" t="str">
        <f>IFERROR(VLOOKUP(C21,$C$9:G20,5,FALSE),"")</f>
        <v/>
      </c>
      <c r="H21" s="61" t="str">
        <f>IFERROR(VLOOKUP(C21,$C$9:H20,6,FALSE),"")</f>
        <v/>
      </c>
      <c r="I21" s="61" t="s">
        <v>433</v>
      </c>
      <c r="J21" s="61" t="n">
        <v>118.0</v>
      </c>
      <c r="K21" s="61" t="s">
        <v>434</v>
      </c>
      <c r="L21" s="61" t="s">
        <v>435</v>
      </c>
      <c r="M21" s="42"/>
      <c r="N21" s="46" t="e">
        <f t="shared" si="1"/>
        <v>#DIV/0!</v>
      </c>
      <c r="O21" s="46" t="str">
        <f t="shared" si="2"/>
        <v/>
      </c>
      <c r="P21" s="46">
        <f t="shared" si="3"/>
        <v>1</v>
      </c>
      <c r="Q21" s="46"/>
      <c r="R21" s="45"/>
      <c r="S21" s="45"/>
      <c r="T21" s="43"/>
      <c r="U21" s="43"/>
      <c r="V21" s="43"/>
      <c r="W21" s="43"/>
      <c r="X21" s="43"/>
      <c r="Y21" s="43"/>
      <c r="Z21" s="43"/>
      <c r="AA21" s="43"/>
      <c r="AB21" s="43"/>
      <c r="AC21" s="105"/>
      <c r="AD21" s="112" t="s">
        <v>182</v>
      </c>
      <c r="AE21" s="113" t="s">
        <v>99</v>
      </c>
      <c r="AF21" s="113" t="s">
        <v>103</v>
      </c>
      <c r="AG21" s="113" t="s">
        <v>100</v>
      </c>
      <c r="AH21" s="113" t="s">
        <v>174</v>
      </c>
      <c r="AI21" s="113"/>
      <c r="AJ21" s="113" t="s">
        <v>107</v>
      </c>
      <c r="AK21" s="113"/>
      <c r="AL21" s="113">
        <v>7</v>
      </c>
      <c r="AM21" s="110" t="e">
        <f>IFERROR(MATCH(AO21,'שלב א - טעינת דפי מקור'!A:A,0)-2,MATCH(100000000000,'שלב א - טעינת דפי מקור'!E:E)-1)</f>
        <v>#N/A</v>
      </c>
      <c r="AN21" s="110" t="e">
        <f>AM21-AL21</f>
        <v>#N/A</v>
      </c>
      <c r="AO21" s="3" t="s">
        <v>216</v>
      </c>
      <c r="AP21" s="44" t="str">
        <f>IFERROR(MATCH(AO21,'שלב א - טעינת דפי מקור'!A:A,0),"None")</f>
        <v>None</v>
      </c>
      <c r="AR21" s="112" t="s">
        <v>182</v>
      </c>
      <c r="AS21" s="123" t="s">
        <v>229</v>
      </c>
    </row>
    <row r="22" spans="1:45" ht="15.75">
      <c r="A22" s="67" t="s">
        <v>443</v>
      </c>
      <c r="B22" s="78" t="s">
        <v>431</v>
      </c>
      <c r="C22" s="67" t="s">
        <v>444</v>
      </c>
      <c r="D22" s="75" t="n">
        <v>103.44</v>
      </c>
      <c r="E22" s="76" t="s">
        <v>0</v>
      </c>
      <c r="F22" s="57" t="str">
        <f>IFERROR(VLOOKUP(C22,$C$9:H21,4,FALSE),"")</f>
        <v/>
      </c>
      <c r="G22" s="61" t="str">
        <f>IFERROR(VLOOKUP(C22,$C$9:G21,5,FALSE),"")</f>
        <v/>
      </c>
      <c r="H22" s="61" t="str">
        <f>IFERROR(VLOOKUP(C22,$C$9:H21,6,FALSE),"")</f>
        <v/>
      </c>
      <c r="I22" s="61"/>
      <c r="J22" s="61" t="n">
        <v>0.0</v>
      </c>
      <c r="K22" s="61"/>
      <c r="L22" s="61" t="s">
        <v>445</v>
      </c>
      <c r="M22" s="42"/>
      <c r="N22" s="46" t="e">
        <f t="shared" si="1"/>
        <v>#DIV/0!</v>
      </c>
      <c r="O22" s="46" t="str">
        <f t="shared" si="2"/>
        <v/>
      </c>
      <c r="P22" s="46">
        <f t="shared" si="3"/>
        <v>1</v>
      </c>
      <c r="Q22" s="46"/>
      <c r="R22" s="45"/>
      <c r="S22" s="45"/>
      <c r="T22" s="43"/>
      <c r="U22" s="43"/>
      <c r="V22" s="43"/>
      <c r="W22" s="43"/>
      <c r="X22" s="43"/>
      <c r="Y22" s="43"/>
      <c r="Z22" s="43"/>
      <c r="AA22" s="43"/>
      <c r="AB22" s="43"/>
      <c r="AC22" s="105"/>
      <c r="AD22" s="108" t="s">
        <v>171</v>
      </c>
      <c r="AE22" s="106" t="s">
        <v>99</v>
      </c>
      <c r="AF22" s="106" t="s">
        <v>103</v>
      </c>
      <c r="AG22" s="106" t="s">
        <v>100</v>
      </c>
      <c r="AH22" s="106" t="s">
        <v>104</v>
      </c>
      <c r="AI22" s="108"/>
      <c r="AJ22" s="106" t="s">
        <v>111</v>
      </c>
      <c r="AK22" s="108"/>
      <c r="AL22" s="110">
        <v>4</v>
      </c>
      <c r="AM22" s="110" t="e">
        <f>MATCH(100000000000,'שלב א - טעינת דפי מקור'!D:D)-1</f>
        <v>#N/A</v>
      </c>
      <c r="AN22" s="110" t="e">
        <f>AM22-AL22</f>
        <v>#N/A</v>
      </c>
      <c r="AR22" s="108" t="s">
        <v>171</v>
      </c>
      <c r="AS22" s="123" t="s">
        <v>124</v>
      </c>
    </row>
    <row r="23" spans="1:45" ht="15.75">
      <c r="A23" s="67" t="s">
        <v>443</v>
      </c>
      <c r="B23" s="78" t="s">
        <v>431</v>
      </c>
      <c r="C23" s="77" t="s">
        <v>446</v>
      </c>
      <c r="D23" s="75" t="n">
        <v>442.26</v>
      </c>
      <c r="E23" s="76" t="s">
        <v>0</v>
      </c>
      <c r="F23" s="57" t="str">
        <f>IFERROR(VLOOKUP(C23,$C$9:H22,4,FALSE),"")</f>
        <v/>
      </c>
      <c r="G23" s="61" t="str">
        <f>IFERROR(VLOOKUP(C23,$C$9:G22,5,FALSE),"")</f>
        <v/>
      </c>
      <c r="H23" s="61" t="str">
        <f>IFERROR(VLOOKUP(C23,$C$9:H22,6,FALSE),"")</f>
        <v/>
      </c>
      <c r="I23" s="61"/>
      <c r="J23" s="61" t="n">
        <v>0.0</v>
      </c>
      <c r="K23" s="61"/>
      <c r="L23" s="61" t="s">
        <v>445</v>
      </c>
      <c r="M23" s="42"/>
      <c r="N23" s="46" t="e">
        <f t="shared" si="1"/>
        <v>#DIV/0!</v>
      </c>
      <c r="O23" s="46" t="str">
        <f t="shared" si="2"/>
        <v/>
      </c>
      <c r="P23" s="46">
        <f t="shared" si="3"/>
        <v>1</v>
      </c>
      <c r="Q23" s="46"/>
      <c r="R23" s="45"/>
      <c r="S23" s="45"/>
      <c r="T23" s="43"/>
      <c r="U23" s="43"/>
      <c r="V23" s="43"/>
      <c r="W23" s="43"/>
      <c r="X23" s="43"/>
      <c r="Y23" s="43"/>
      <c r="Z23" s="43"/>
      <c r="AA23" s="43"/>
      <c r="AB23" s="43"/>
      <c r="AC23" s="105"/>
      <c r="AD23" s="106" t="s">
        <v>170</v>
      </c>
      <c r="AE23" s="106" t="s">
        <v>99</v>
      </c>
      <c r="AF23" s="106" t="s">
        <v>103</v>
      </c>
      <c r="AG23" s="106" t="s">
        <v>174</v>
      </c>
      <c r="AH23" s="106" t="s">
        <v>175</v>
      </c>
      <c r="AI23" s="110"/>
      <c r="AJ23" s="106" t="s">
        <v>176</v>
      </c>
      <c r="AK23" s="110"/>
      <c r="AL23" s="110">
        <v>5</v>
      </c>
      <c r="AM23" s="110" t="e">
        <f>MATCH(100000000000,'שלב א - טעינת דפי מקור'!F:F)</f>
        <v>#N/A</v>
      </c>
      <c r="AN23" s="110" t="e">
        <f>AM23-AL23</f>
        <v>#N/A</v>
      </c>
      <c r="AR23" s="106" t="s">
        <v>170</v>
      </c>
      <c r="AS23" s="123" t="s">
        <v>231</v>
      </c>
    </row>
    <row r="24" spans="1:45">
      <c r="A24" s="67" t="s">
        <v>430</v>
      </c>
      <c r="B24" s="78" t="s">
        <v>447</v>
      </c>
      <c r="C24" s="67" t="s">
        <v>448</v>
      </c>
      <c r="D24" s="75" t="n">
        <v>130.0</v>
      </c>
      <c r="E24" s="76" t="s">
        <v>0</v>
      </c>
      <c r="F24" s="57" t="str">
        <f>IFERROR(VLOOKUP(C24,$C$9:H23,4,FALSE),"")</f>
        <v/>
      </c>
      <c r="G24" s="61" t="s">
        <v>350</v>
      </c>
      <c r="H24" s="61" t="s">
        <v>404</v>
      </c>
      <c r="I24" s="61" t="s">
        <v>433</v>
      </c>
      <c r="J24" s="61" t="n">
        <v>130.0</v>
      </c>
      <c r="K24" s="61" t="s">
        <v>434</v>
      </c>
      <c r="L24" s="61" t="s">
        <v>435</v>
      </c>
      <c r="M24" s="42"/>
      <c r="N24" s="46" t="e">
        <f t="shared" si="1"/>
        <v>#DIV/0!</v>
      </c>
      <c r="O24" s="46" t="str">
        <f t="shared" si="2"/>
        <v/>
      </c>
      <c r="P24" s="46">
        <f t="shared" si="3"/>
        <v>1</v>
      </c>
      <c r="Q24" s="46"/>
      <c r="R24" s="45"/>
      <c r="S24" s="45"/>
      <c r="T24" s="43"/>
      <c r="U24" s="43"/>
      <c r="V24" s="43"/>
      <c r="W24" s="43"/>
      <c r="X24" s="43"/>
      <c r="Y24" s="43"/>
      <c r="Z24" s="43"/>
      <c r="AA24" s="43"/>
      <c r="AB24" s="43"/>
      <c r="AC24" s="112" t="s">
        <v>191</v>
      </c>
      <c r="AE24" s="43"/>
    </row>
    <row r="25" spans="1:45" ht="14.25">
      <c r="A25" s="67" t="s">
        <v>430</v>
      </c>
      <c r="B25" s="78" t="s">
        <v>447</v>
      </c>
      <c r="C25" s="67" t="s">
        <v>432</v>
      </c>
      <c r="D25" s="75" t="n">
        <v>34.0</v>
      </c>
      <c r="E25" s="76" t="s">
        <v>0</v>
      </c>
      <c r="F25" s="57" t="str">
        <f>IFERROR(VLOOKUP(C25,$C$9:H24,4,FALSE),"")</f>
        <v/>
      </c>
      <c r="G25" s="61" t="s">
        <v>350</v>
      </c>
      <c r="H25" s="61" t="s">
        <v>404</v>
      </c>
      <c r="I25" s="61" t="s">
        <v>433</v>
      </c>
      <c r="J25" s="61" t="n">
        <v>34.0</v>
      </c>
      <c r="K25" s="61" t="s">
        <v>434</v>
      </c>
      <c r="L25" s="61" t="s">
        <v>435</v>
      </c>
      <c r="M25" s="42"/>
      <c r="N25" s="46" t="e">
        <f t="shared" si="1"/>
        <v>#DIV/0!</v>
      </c>
      <c r="O25" s="46" t="str">
        <f t="shared" si="2"/>
        <v/>
      </c>
      <c r="P25" s="46">
        <f t="shared" si="3"/>
        <v>1</v>
      </c>
      <c r="Q25" s="46"/>
      <c r="R25" s="45"/>
      <c r="S25" s="45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E25" s="43"/>
    </row>
    <row r="26" spans="1:45" ht="14.25">
      <c r="A26" s="67" t="s">
        <v>430</v>
      </c>
      <c r="B26" s="78" t="s">
        <v>447</v>
      </c>
      <c r="C26" s="67" t="s">
        <v>449</v>
      </c>
      <c r="D26" s="75" t="n">
        <v>15.0</v>
      </c>
      <c r="E26" s="76" t="s">
        <v>0</v>
      </c>
      <c r="F26" s="57" t="str">
        <f>IFERROR(VLOOKUP(C26,$C$9:H25,4,FALSE),"")</f>
        <v/>
      </c>
      <c r="G26" s="61" t="s">
        <v>350</v>
      </c>
      <c r="H26" s="61" t="s">
        <v>404</v>
      </c>
      <c r="I26" s="61" t="s">
        <v>433</v>
      </c>
      <c r="J26" s="61" t="n">
        <v>15.0</v>
      </c>
      <c r="K26" s="61" t="s">
        <v>434</v>
      </c>
      <c r="L26" s="61" t="s">
        <v>435</v>
      </c>
      <c r="M26" s="42"/>
      <c r="N26" s="46" t="e">
        <f t="shared" si="1"/>
        <v>#DIV/0!</v>
      </c>
      <c r="O26" s="46" t="str">
        <f t="shared" si="2"/>
        <v/>
      </c>
      <c r="P26" s="46">
        <f t="shared" si="3"/>
        <v>1</v>
      </c>
      <c r="Q26" s="46"/>
      <c r="R26" s="45"/>
      <c r="S26" s="45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E26" s="43"/>
    </row>
    <row r="27" spans="1:45" ht="14.25">
      <c r="A27" s="67" t="s">
        <v>430</v>
      </c>
      <c r="B27" s="78" t="s">
        <v>447</v>
      </c>
      <c r="C27" s="67" t="s">
        <v>450</v>
      </c>
      <c r="D27" s="75" t="n">
        <v>38.8</v>
      </c>
      <c r="E27" s="76" t="s">
        <v>0</v>
      </c>
      <c r="F27" s="57" t="str">
        <f>IFERROR(VLOOKUP(C27,$C$9:H26,4,FALSE),"")</f>
        <v/>
      </c>
      <c r="G27" s="61" t="str">
        <f>IFERROR(VLOOKUP(C27,$C$9:G26,5,FALSE),"")</f>
        <v/>
      </c>
      <c r="H27" s="61" t="str">
        <f>IFERROR(VLOOKUP(C27,$C$9:H26,6,FALSE),"")</f>
        <v/>
      </c>
      <c r="I27" s="61" t="s">
        <v>433</v>
      </c>
      <c r="J27" s="61" t="n">
        <v>40.0</v>
      </c>
      <c r="K27" s="61" t="s">
        <v>434</v>
      </c>
      <c r="L27" s="61" t="s">
        <v>435</v>
      </c>
      <c r="M27" s="42"/>
      <c r="N27" s="46" t="e">
        <f t="shared" si="1"/>
        <v>#DIV/0!</v>
      </c>
      <c r="O27" s="46" t="str">
        <f t="shared" si="2"/>
        <v/>
      </c>
      <c r="P27" s="46">
        <f t="shared" si="3"/>
        <v>1</v>
      </c>
      <c r="Q27" s="46"/>
      <c r="R27" s="45"/>
      <c r="S27" s="45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E27" s="43"/>
    </row>
    <row r="28" spans="1:45" ht="14.25">
      <c r="A28" s="67" t="s">
        <v>430</v>
      </c>
      <c r="B28" s="78" t="s">
        <v>447</v>
      </c>
      <c r="C28" s="67" t="s">
        <v>442</v>
      </c>
      <c r="D28" s="75" t="n">
        <v>50.0</v>
      </c>
      <c r="E28" s="76" t="s">
        <v>0</v>
      </c>
      <c r="F28" s="57" t="str">
        <f>IFERROR(VLOOKUP(C28,$C$9:H27,4,FALSE),"")</f>
        <v/>
      </c>
      <c r="G28" s="61" t="str">
        <f>IFERROR(VLOOKUP(C28,$C$9:G27,5,FALSE),"")</f>
        <v/>
      </c>
      <c r="H28" s="61" t="str">
        <f>IFERROR(VLOOKUP(C28,$C$9:H27,6,FALSE),"")</f>
        <v/>
      </c>
      <c r="I28" s="61" t="s">
        <v>433</v>
      </c>
      <c r="J28" s="61" t="n">
        <v>50.0</v>
      </c>
      <c r="K28" s="61" t="s">
        <v>434</v>
      </c>
      <c r="L28" s="61" t="s">
        <v>435</v>
      </c>
      <c r="M28" s="42"/>
      <c r="N28" s="46" t="e">
        <f t="shared" si="1"/>
        <v>#DIV/0!</v>
      </c>
      <c r="O28" s="46" t="str">
        <f t="shared" si="2"/>
        <v/>
      </c>
      <c r="P28" s="46">
        <f t="shared" si="3"/>
        <v>1</v>
      </c>
      <c r="Q28" s="46"/>
      <c r="R28" s="45"/>
      <c r="S28" s="45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E28" s="43"/>
    </row>
    <row r="29" spans="1:45" ht="14.25">
      <c r="A29" s="67" t="s">
        <v>430</v>
      </c>
      <c r="B29" s="78" t="s">
        <v>447</v>
      </c>
      <c r="C29" s="67" t="s">
        <v>442</v>
      </c>
      <c r="D29" s="75" t="n">
        <v>190.0</v>
      </c>
      <c r="E29" s="76" t="s">
        <v>0</v>
      </c>
      <c r="F29" s="57" t="str">
        <f>IFERROR(VLOOKUP(C29,$C$9:H28,4,FALSE),"")</f>
        <v/>
      </c>
      <c r="G29" s="61" t="str">
        <f>IFERROR(VLOOKUP(C29,$C$9:G28,5,FALSE),"")</f>
        <v/>
      </c>
      <c r="H29" s="61" t="str">
        <f>IFERROR(VLOOKUP(C29,$C$9:H28,6,FALSE),"")</f>
        <v/>
      </c>
      <c r="I29" s="61" t="s">
        <v>433</v>
      </c>
      <c r="J29" s="61" t="n">
        <v>190.0</v>
      </c>
      <c r="K29" s="61" t="s">
        <v>434</v>
      </c>
      <c r="L29" s="61" t="s">
        <v>435</v>
      </c>
      <c r="M29" s="42"/>
      <c r="N29" s="46" t="e">
        <f t="shared" si="1"/>
        <v>#DIV/0!</v>
      </c>
      <c r="O29" s="46" t="str">
        <f t="shared" si="2"/>
        <v/>
      </c>
      <c r="P29" s="46">
        <f t="shared" si="3"/>
        <v>1</v>
      </c>
      <c r="Q29" s="46"/>
      <c r="R29" s="45"/>
      <c r="S29" s="45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45" ht="14.25">
      <c r="A30" s="67" t="s">
        <v>430</v>
      </c>
      <c r="B30" s="78" t="s">
        <v>447</v>
      </c>
      <c r="C30" s="67" t="s">
        <v>451</v>
      </c>
      <c r="D30" s="75" t="n">
        <v>8.0</v>
      </c>
      <c r="E30" s="76" t="s">
        <v>0</v>
      </c>
      <c r="F30" s="57" t="str">
        <f>IFERROR(VLOOKUP(C30,$C$9:H29,4,FALSE),"")</f>
        <v/>
      </c>
      <c r="G30" s="61" t="str">
        <f>IFERROR(VLOOKUP(C30,$C$9:G29,5,FALSE),"")</f>
        <v/>
      </c>
      <c r="H30" s="61" t="str">
        <f>IFERROR(VLOOKUP(C30,$C$9:H29,6,FALSE),"")</f>
        <v/>
      </c>
      <c r="I30" s="61" t="s">
        <v>433</v>
      </c>
      <c r="J30" s="61" t="n">
        <v>8.0</v>
      </c>
      <c r="K30" s="61" t="s">
        <v>434</v>
      </c>
      <c r="L30" s="61" t="s">
        <v>435</v>
      </c>
      <c r="M30" s="42"/>
      <c r="N30" s="46" t="e">
        <f t="shared" si="1"/>
        <v>#DIV/0!</v>
      </c>
      <c r="O30" s="46" t="str">
        <f t="shared" si="2"/>
        <v/>
      </c>
      <c r="P30" s="46">
        <f t="shared" si="3"/>
        <v>1</v>
      </c>
      <c r="Q30" s="46"/>
      <c r="R30" s="45"/>
      <c r="S30" s="45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45" ht="14.25">
      <c r="A31" s="67" t="s">
        <v>430</v>
      </c>
      <c r="B31" s="78" t="s">
        <v>447</v>
      </c>
      <c r="C31" s="67" t="s">
        <v>439</v>
      </c>
      <c r="D31" s="75" t="n">
        <v>10.1</v>
      </c>
      <c r="E31" s="76" t="s">
        <v>0</v>
      </c>
      <c r="F31" s="57" t="str">
        <f>IFERROR(VLOOKUP(C31,$C$9:H30,4,FALSE),"")</f>
        <v/>
      </c>
      <c r="G31" s="61" t="s">
        <v>350</v>
      </c>
      <c r="H31" s="61" t="s">
        <v>404</v>
      </c>
      <c r="I31" s="61" t="s">
        <v>433</v>
      </c>
      <c r="J31" s="61" t="n">
        <v>10.1</v>
      </c>
      <c r="K31" s="61" t="s">
        <v>434</v>
      </c>
      <c r="L31" s="61" t="s">
        <v>435</v>
      </c>
      <c r="M31" s="42"/>
      <c r="N31" s="46" t="e">
        <f t="shared" si="1"/>
        <v>#DIV/0!</v>
      </c>
      <c r="O31" s="46" t="str">
        <f t="shared" si="2"/>
        <v/>
      </c>
      <c r="P31" s="46">
        <f t="shared" si="3"/>
        <v>1</v>
      </c>
      <c r="Q31" s="46"/>
      <c r="R31" s="45"/>
      <c r="S31" s="45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45" ht="14.25">
      <c r="A32" s="67" t="s">
        <v>430</v>
      </c>
      <c r="B32" s="78" t="s">
        <v>447</v>
      </c>
      <c r="C32" s="67" t="s">
        <v>440</v>
      </c>
      <c r="D32" s="75" t="n">
        <v>37.5</v>
      </c>
      <c r="E32" s="76" t="s">
        <v>0</v>
      </c>
      <c r="F32" s="57" t="str">
        <f>IFERROR(VLOOKUP(C32,$C$9:H31,4,FALSE),"")</f>
        <v/>
      </c>
      <c r="G32" s="61" t="str">
        <f>IFERROR(VLOOKUP(C32,$C$9:G31,5,FALSE),"")</f>
        <v/>
      </c>
      <c r="H32" s="61" t="str">
        <f>IFERROR(VLOOKUP(C32,$C$9:H31,6,FALSE),"")</f>
        <v/>
      </c>
      <c r="I32" s="61" t="s">
        <v>433</v>
      </c>
      <c r="J32" s="61" t="n">
        <v>37.5</v>
      </c>
      <c r="K32" s="61" t="s">
        <v>434</v>
      </c>
      <c r="L32" s="61" t="s">
        <v>435</v>
      </c>
      <c r="M32" s="42"/>
      <c r="N32" s="46" t="e">
        <f t="shared" si="1"/>
        <v>#DIV/0!</v>
      </c>
      <c r="O32" s="46" t="str">
        <f t="shared" si="2"/>
        <v/>
      </c>
      <c r="P32" s="46">
        <f t="shared" si="3"/>
        <v>1</v>
      </c>
      <c r="Q32" s="46"/>
      <c r="R32" s="45"/>
      <c r="S32" s="45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40" ht="14.25">
      <c r="A33" s="67" t="s">
        <v>443</v>
      </c>
      <c r="B33" s="78" t="s">
        <v>447</v>
      </c>
      <c r="C33" s="67" t="s">
        <v>444</v>
      </c>
      <c r="D33" s="75" t="n">
        <v>124.71</v>
      </c>
      <c r="E33" s="76" t="s">
        <v>0</v>
      </c>
      <c r="F33" s="57" t="str">
        <f>IFERROR(VLOOKUP(C33,$C$9:H32,4,FALSE),"")</f>
        <v/>
      </c>
      <c r="G33" s="61" t="str">
        <f>IFERROR(VLOOKUP(C33,$C$9:G32,5,FALSE),"")</f>
        <v/>
      </c>
      <c r="H33" s="61" t="str">
        <f>IFERROR(VLOOKUP(C33,$C$9:H32,6,FALSE),"")</f>
        <v/>
      </c>
      <c r="I33" s="61"/>
      <c r="J33" s="61" t="n">
        <v>0.0</v>
      </c>
      <c r="K33" s="61"/>
      <c r="L33" s="61" t="s">
        <v>445</v>
      </c>
      <c r="M33" s="42"/>
      <c r="N33" s="46" t="e">
        <f t="shared" si="1"/>
        <v>#DIV/0!</v>
      </c>
      <c r="O33" s="46" t="str">
        <f t="shared" si="2"/>
        <v/>
      </c>
      <c r="P33" s="46">
        <f t="shared" si="3"/>
        <v>1</v>
      </c>
      <c r="Q33" s="46"/>
      <c r="R33" s="45"/>
      <c r="S33" s="45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40" ht="14.25">
      <c r="A34" s="67" t="s">
        <v>443</v>
      </c>
      <c r="B34" s="78" t="s">
        <v>447</v>
      </c>
      <c r="C34" s="67" t="s">
        <v>446</v>
      </c>
      <c r="D34" s="75" t="n">
        <v>330.81</v>
      </c>
      <c r="E34" s="76" t="s">
        <v>0</v>
      </c>
      <c r="F34" s="57" t="str">
        <f>IFERROR(VLOOKUP(C34,$C$9:H33,4,FALSE),"")</f>
        <v/>
      </c>
      <c r="G34" s="61" t="str">
        <f>IFERROR(VLOOKUP(C34,$C$9:G33,5,FALSE),"")</f>
        <v/>
      </c>
      <c r="H34" s="61" t="str">
        <f>IFERROR(VLOOKUP(C34,$C$9:H33,6,FALSE),"")</f>
        <v/>
      </c>
      <c r="I34" s="61"/>
      <c r="J34" s="61" t="n">
        <v>0.0</v>
      </c>
      <c r="K34" s="61"/>
      <c r="L34" s="61" t="s">
        <v>445</v>
      </c>
      <c r="M34" s="42"/>
      <c r="N34" s="46" t="e">
        <f t="shared" si="1"/>
        <v>#DIV/0!</v>
      </c>
      <c r="O34" s="46" t="str">
        <f t="shared" si="2"/>
        <v/>
      </c>
      <c r="P34" s="46">
        <f t="shared" si="3"/>
        <v>1</v>
      </c>
      <c r="Q34" s="46"/>
      <c r="R34" s="45"/>
      <c r="S34" s="45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</row>
    <row r="35" spans="1:40" ht="14.25">
      <c r="A35" s="67" t="s">
        <v>443</v>
      </c>
      <c r="B35" s="78" t="s">
        <v>447</v>
      </c>
      <c r="C35" s="77" t="s">
        <v>452</v>
      </c>
      <c r="D35" s="75" t="n">
        <v>7628.75</v>
      </c>
      <c r="E35" s="76" t="s">
        <v>0</v>
      </c>
      <c r="F35" s="57" t="str">
        <f>IFERROR(VLOOKUP(C35,$C$9:H34,4,FALSE),"")</f>
        <v/>
      </c>
      <c r="G35" s="61" t="s">
        <v>414</v>
      </c>
      <c r="H35" s="61" t="s">
        <v>414</v>
      </c>
      <c r="I35" s="61"/>
      <c r="J35" s="61" t="n">
        <v>0.0</v>
      </c>
      <c r="K35" s="61"/>
      <c r="L35" s="61" t="s">
        <v>445</v>
      </c>
      <c r="M35" s="42"/>
      <c r="N35" s="46" t="e">
        <f t="shared" si="1"/>
        <v>#DIV/0!</v>
      </c>
      <c r="O35" s="46" t="str">
        <f t="shared" si="2"/>
        <v/>
      </c>
      <c r="P35" s="46">
        <f t="shared" si="3"/>
        <v>1</v>
      </c>
      <c r="Q35" s="46"/>
      <c r="R35" s="45"/>
      <c r="S35" s="45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40" ht="14.25">
      <c r="A36" s="67" t="s">
        <v>443</v>
      </c>
      <c r="B36" s="78" t="s">
        <v>447</v>
      </c>
      <c r="C36" s="67" t="s">
        <v>453</v>
      </c>
      <c r="D36" s="75" t="n">
        <v>200.0</v>
      </c>
      <c r="E36" s="76" t="s">
        <v>0</v>
      </c>
      <c r="F36" s="57" t="str">
        <f>IFERROR(VLOOKUP(C36,$C$9:H35,4,FALSE),"")</f>
        <v/>
      </c>
      <c r="G36" s="61" t="str">
        <f>IFERROR(VLOOKUP(C36,$C$9:G35,5,FALSE),"")</f>
        <v/>
      </c>
      <c r="H36" s="61" t="str">
        <f>IFERROR(VLOOKUP(C36,$C$9:H35,6,FALSE),"")</f>
        <v/>
      </c>
      <c r="I36" s="61"/>
      <c r="J36" s="61" t="n">
        <v>0.0</v>
      </c>
      <c r="K36" s="61"/>
      <c r="L36" s="61" t="s">
        <v>445</v>
      </c>
      <c r="M36" s="42"/>
      <c r="N36" s="46" t="e">
        <f t="shared" si="1"/>
        <v>#DIV/0!</v>
      </c>
      <c r="O36" s="46" t="str">
        <f t="shared" si="2"/>
        <v/>
      </c>
      <c r="P36" s="46">
        <f t="shared" si="3"/>
        <v>1</v>
      </c>
      <c r="Q36" s="46"/>
      <c r="R36" s="45"/>
      <c r="S36" s="4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40" ht="14.25">
      <c r="A37" s="67" t="s">
        <v>443</v>
      </c>
      <c r="B37" s="78" t="s">
        <v>447</v>
      </c>
      <c r="C37" s="67" t="s">
        <v>454</v>
      </c>
      <c r="D37" s="75" t="n">
        <v>4551.98</v>
      </c>
      <c r="E37" s="76" t="s">
        <v>0</v>
      </c>
      <c r="F37" s="57" t="str">
        <f>IFERROR(VLOOKUP(C37,$C$9:H36,4,FALSE),"")</f>
        <v/>
      </c>
      <c r="G37" s="61" t="str">
        <f>IFERROR(VLOOKUP(C37,$C$9:G36,5,FALSE),"")</f>
        <v/>
      </c>
      <c r="H37" s="61" t="str">
        <f>IFERROR(VLOOKUP(C37,$C$9:H36,6,FALSE),"")</f>
        <v/>
      </c>
      <c r="I37" s="61"/>
      <c r="J37" s="61" t="n">
        <v>0.0</v>
      </c>
      <c r="K37" s="61"/>
      <c r="L37" s="61" t="s">
        <v>445</v>
      </c>
      <c r="M37" s="42"/>
      <c r="N37" s="46" t="e">
        <f t="shared" si="1"/>
        <v>#DIV/0!</v>
      </c>
      <c r="O37" s="46" t="str">
        <f t="shared" si="2"/>
        <v/>
      </c>
      <c r="P37" s="46">
        <f t="shared" si="3"/>
        <v>1</v>
      </c>
      <c r="Q37" s="46"/>
      <c r="R37" s="45"/>
      <c r="S37" s="45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40" thickBot="1">
      <c r="A38" s="67" t="s">
        <v>430</v>
      </c>
      <c r="B38" s="78" t="s">
        <v>455</v>
      </c>
      <c r="C38" s="67" t="s">
        <v>456</v>
      </c>
      <c r="D38" s="75" t="n">
        <v>76.0</v>
      </c>
      <c r="E38" s="76" t="s">
        <v>0</v>
      </c>
      <c r="F38" s="57" t="str">
        <f>IFERROR(VLOOKUP(C38,$C$9:H37,4,FALSE),"")</f>
        <v/>
      </c>
      <c r="G38" s="61" t="str">
        <f>IFERROR(VLOOKUP(C38,$C$9:G37,5,FALSE),"")</f>
        <v/>
      </c>
      <c r="H38" s="61" t="str">
        <f>IFERROR(VLOOKUP(C38,$C$9:H37,6,FALSE),"")</f>
        <v/>
      </c>
      <c r="I38" s="61" t="s">
        <v>433</v>
      </c>
      <c r="J38" s="61" t="n">
        <v>76.0</v>
      </c>
      <c r="K38" s="61" t="s">
        <v>434</v>
      </c>
      <c r="L38" s="61" t="s">
        <v>435</v>
      </c>
      <c r="M38" s="42"/>
      <c r="N38" s="46" t="e">
        <f t="shared" si="1"/>
        <v>#DIV/0!</v>
      </c>
      <c r="O38" s="46" t="str">
        <f t="shared" si="2"/>
        <v/>
      </c>
      <c r="P38" s="46">
        <f t="shared" si="3"/>
        <v>1</v>
      </c>
      <c r="Q38" s="46"/>
      <c r="R38" s="45"/>
      <c r="S38" s="45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94"/>
      <c r="AE38" s="94"/>
      <c r="AF38" s="51"/>
      <c r="AG38" s="51"/>
      <c r="AH38" s="51"/>
      <c r="AI38" s="51"/>
      <c r="AJ38" s="51"/>
      <c r="AK38" s="51"/>
      <c r="AL38" s="51"/>
      <c r="AM38" s="51"/>
      <c r="AN38" s="51"/>
    </row>
    <row r="39" spans="1:40" ht="14.25">
      <c r="A39" s="67" t="s">
        <v>430</v>
      </c>
      <c r="B39" s="78" t="s">
        <v>455</v>
      </c>
      <c r="C39" s="67" t="s">
        <v>457</v>
      </c>
      <c r="D39" s="75" t="n">
        <v>50.83</v>
      </c>
      <c r="E39" s="76" t="s">
        <v>0</v>
      </c>
      <c r="F39" s="57" t="str">
        <f>IFERROR(VLOOKUP(C39,$C$9:H38,4,FALSE),"")</f>
        <v/>
      </c>
      <c r="G39" s="61" t="s">
        <v>352</v>
      </c>
      <c r="H39" s="61" t="s">
        <v>293</v>
      </c>
      <c r="I39" s="61" t="s">
        <v>433</v>
      </c>
      <c r="J39" s="61" t="n">
        <v>50.83</v>
      </c>
      <c r="K39" s="61" t="s">
        <v>434</v>
      </c>
      <c r="L39" s="61" t="s">
        <v>435</v>
      </c>
      <c r="M39" s="42"/>
      <c r="N39" s="46" t="e">
        <f t="shared" si="1"/>
        <v>#DIV/0!</v>
      </c>
      <c r="O39" s="46" t="str">
        <f t="shared" si="2"/>
        <v/>
      </c>
      <c r="P39" s="46">
        <f t="shared" si="3"/>
        <v>1</v>
      </c>
      <c r="Q39" s="46"/>
      <c r="R39" s="45"/>
      <c r="S39" s="4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spans="1:40" ht="14.25">
      <c r="A40" s="67" t="s">
        <v>430</v>
      </c>
      <c r="B40" s="78" t="s">
        <v>455</v>
      </c>
      <c r="C40" s="67" t="s">
        <v>458</v>
      </c>
      <c r="D40" s="75" t="n">
        <v>15.0</v>
      </c>
      <c r="E40" s="76" t="s">
        <v>0</v>
      </c>
      <c r="F40" s="57" t="str">
        <f>IFERROR(VLOOKUP(C40,$C$9:H39,4,FALSE),"")</f>
        <v/>
      </c>
      <c r="G40" s="61" t="s">
        <v>350</v>
      </c>
      <c r="H40" s="61" t="s">
        <v>404</v>
      </c>
      <c r="I40" s="61" t="s">
        <v>433</v>
      </c>
      <c r="J40" s="61" t="n">
        <v>15.0</v>
      </c>
      <c r="K40" s="61" t="s">
        <v>434</v>
      </c>
      <c r="L40" s="61" t="s">
        <v>435</v>
      </c>
      <c r="M40" s="42"/>
      <c r="N40" s="46" t="e">
        <f t="shared" si="1"/>
        <v>#DIV/0!</v>
      </c>
      <c r="O40" s="46" t="str">
        <f t="shared" si="2"/>
        <v/>
      </c>
      <c r="P40" s="46">
        <f t="shared" si="3"/>
        <v>1</v>
      </c>
      <c r="Q40" s="46"/>
      <c r="R40" s="45"/>
      <c r="S40" s="45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40" ht="14.25">
      <c r="A41" s="67" t="s">
        <v>430</v>
      </c>
      <c r="B41" s="78" t="s">
        <v>455</v>
      </c>
      <c r="C41" s="67" t="s">
        <v>441</v>
      </c>
      <c r="D41" s="75" t="n">
        <v>34.0</v>
      </c>
      <c r="E41" s="76" t="s">
        <v>0</v>
      </c>
      <c r="F41" s="57" t="str">
        <f>IFERROR(VLOOKUP(C41,$C$9:H40,4,FALSE),"")</f>
        <v/>
      </c>
      <c r="G41" s="61" t="str">
        <f>IFERROR(VLOOKUP(C41,$C$9:G40,5,FALSE),"")</f>
        <v/>
      </c>
      <c r="H41" s="61" t="str">
        <f>IFERROR(VLOOKUP(C41,$C$9:H40,6,FALSE),"")</f>
        <v/>
      </c>
      <c r="I41" s="61" t="s">
        <v>433</v>
      </c>
      <c r="J41" s="61" t="n">
        <v>34.0</v>
      </c>
      <c r="K41" s="61" t="s">
        <v>434</v>
      </c>
      <c r="L41" s="61" t="s">
        <v>435</v>
      </c>
      <c r="M41" s="42"/>
      <c r="N41" s="46" t="e">
        <f t="shared" si="1"/>
        <v>#DIV/0!</v>
      </c>
      <c r="O41" s="46" t="str">
        <f t="shared" si="2"/>
        <v/>
      </c>
      <c r="P41" s="46">
        <f t="shared" si="3"/>
        <v>1</v>
      </c>
      <c r="Q41" s="46"/>
      <c r="R41" s="45"/>
      <c r="S41" s="45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40" ht="14.25">
      <c r="A42" s="67" t="s">
        <v>430</v>
      </c>
      <c r="B42" s="78" t="s">
        <v>459</v>
      </c>
      <c r="C42" s="67" t="s">
        <v>460</v>
      </c>
      <c r="D42" s="75" t="n">
        <v>20.22</v>
      </c>
      <c r="E42" s="76" t="s">
        <v>0</v>
      </c>
      <c r="F42" s="57" t="str">
        <f>IFERROR(VLOOKUP(C42,$C$9:H41,4,FALSE),"")</f>
        <v/>
      </c>
      <c r="G42" s="61" t="str">
        <f>IFERROR(VLOOKUP(C42,$C$9:G41,5,FALSE),"")</f>
        <v/>
      </c>
      <c r="H42" s="61" t="str">
        <f>IFERROR(VLOOKUP(C42,$C$9:H41,6,FALSE),"")</f>
        <v/>
      </c>
      <c r="I42" s="61" t="s">
        <v>433</v>
      </c>
      <c r="J42" s="61" t="n">
        <v>20.22</v>
      </c>
      <c r="K42" s="61" t="s">
        <v>434</v>
      </c>
      <c r="L42" s="61" t="s">
        <v>435</v>
      </c>
      <c r="M42" s="42"/>
      <c r="N42" s="46" t="e">
        <f t="shared" si="1"/>
        <v>#DIV/0!</v>
      </c>
      <c r="O42" s="46" t="str">
        <f t="shared" si="2"/>
        <v/>
      </c>
      <c r="P42" s="46">
        <f t="shared" si="3"/>
        <v>1</v>
      </c>
      <c r="Q42" s="46"/>
      <c r="R42" s="45"/>
      <c r="S42" s="45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</row>
    <row r="43" spans="1:40" ht="14.25">
      <c r="A43" s="67" t="s">
        <v>430</v>
      </c>
      <c r="B43" s="78" t="s">
        <v>459</v>
      </c>
      <c r="C43" s="77" t="s">
        <v>439</v>
      </c>
      <c r="D43" s="75" t="n">
        <v>56.12</v>
      </c>
      <c r="E43" s="76" t="s">
        <v>0</v>
      </c>
      <c r="F43" s="57" t="str">
        <f>IFERROR(VLOOKUP(C43,$C$9:H42,4,FALSE),"")</f>
        <v/>
      </c>
      <c r="G43" s="61" t="s">
        <v>350</v>
      </c>
      <c r="H43" s="61" t="s">
        <v>404</v>
      </c>
      <c r="I43" s="61" t="s">
        <v>433</v>
      </c>
      <c r="J43" s="61" t="n">
        <v>56.12</v>
      </c>
      <c r="K43" s="61" t="s">
        <v>434</v>
      </c>
      <c r="L43" s="61" t="s">
        <v>435</v>
      </c>
      <c r="M43" s="42"/>
      <c r="N43" s="46" t="e">
        <f t="shared" si="1"/>
        <v>#DIV/0!</v>
      </c>
      <c r="O43" s="46" t="str">
        <f t="shared" si="2"/>
        <v/>
      </c>
      <c r="P43" s="46">
        <f t="shared" si="3"/>
        <v>1</v>
      </c>
      <c r="Q43" s="46"/>
      <c r="R43" s="45"/>
      <c r="S43" s="4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40" ht="14.25">
      <c r="A44" s="67" t="s">
        <v>430</v>
      </c>
      <c r="B44" s="78" t="s">
        <v>459</v>
      </c>
      <c r="C44" s="67" t="s">
        <v>442</v>
      </c>
      <c r="D44" s="75" t="n">
        <v>190.0</v>
      </c>
      <c r="E44" s="76" t="s">
        <v>0</v>
      </c>
      <c r="F44" s="57" t="str">
        <f>IFERROR(VLOOKUP(C44,$C$9:H43,4,FALSE),"")</f>
        <v/>
      </c>
      <c r="G44" s="61" t="str">
        <f>IFERROR(VLOOKUP(C44,$C$9:G43,5,FALSE),"")</f>
        <v/>
      </c>
      <c r="H44" s="61" t="str">
        <f>IFERROR(VLOOKUP(C44,$C$9:H43,6,FALSE),"")</f>
        <v/>
      </c>
      <c r="I44" s="61" t="s">
        <v>433</v>
      </c>
      <c r="J44" s="61" t="n">
        <v>190.0</v>
      </c>
      <c r="K44" s="61" t="s">
        <v>434</v>
      </c>
      <c r="L44" s="61" t="s">
        <v>435</v>
      </c>
      <c r="M44" s="42"/>
      <c r="N44" s="46" t="e">
        <f t="shared" si="1"/>
        <v>#DIV/0!</v>
      </c>
      <c r="O44" s="46" t="str">
        <f t="shared" si="2"/>
        <v/>
      </c>
      <c r="P44" s="46">
        <f t="shared" si="3"/>
        <v>1</v>
      </c>
      <c r="Q44" s="46"/>
      <c r="R44" s="45"/>
      <c r="S44" s="4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</row>
    <row r="45" spans="1:40" ht="14.25">
      <c r="A45" s="67" t="s">
        <v>430</v>
      </c>
      <c r="B45" s="78" t="s">
        <v>459</v>
      </c>
      <c r="C45" s="67" t="s">
        <v>461</v>
      </c>
      <c r="D45" s="75" t="n">
        <v>59.0</v>
      </c>
      <c r="E45" s="76" t="s">
        <v>0</v>
      </c>
      <c r="F45" s="57" t="str">
        <f>IFERROR(VLOOKUP(C45,$C$9:H44,4,FALSE),"")</f>
        <v/>
      </c>
      <c r="G45" s="61" t="s">
        <v>347</v>
      </c>
      <c r="H45" s="61" t="s">
        <v>299</v>
      </c>
      <c r="I45" s="61" t="s">
        <v>433</v>
      </c>
      <c r="J45" s="61" t="n">
        <v>59.0</v>
      </c>
      <c r="K45" s="61" t="s">
        <v>434</v>
      </c>
      <c r="L45" s="61" t="s">
        <v>435</v>
      </c>
      <c r="M45" s="42"/>
      <c r="N45" s="46" t="e">
        <f t="shared" si="1"/>
        <v>#DIV/0!</v>
      </c>
      <c r="O45" s="46" t="str">
        <f t="shared" si="2"/>
        <v/>
      </c>
      <c r="P45" s="46">
        <f t="shared" si="3"/>
        <v>1</v>
      </c>
      <c r="Q45" s="46"/>
      <c r="R45" s="45"/>
      <c r="S45" s="4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0" ht="14.25">
      <c r="A46" s="67" t="s">
        <v>462</v>
      </c>
      <c r="B46" s="78" t="s">
        <v>459</v>
      </c>
      <c r="C46" s="67" t="s">
        <v>463</v>
      </c>
      <c r="D46" s="75" t="n">
        <v>32.9</v>
      </c>
      <c r="E46" s="76" t="s">
        <v>0</v>
      </c>
      <c r="F46" s="57" t="str">
        <f>IFERROR(VLOOKUP(C46,$C$9:H45,4,FALSE),"")</f>
        <v/>
      </c>
      <c r="G46" s="61" t="s">
        <v>361</v>
      </c>
      <c r="H46" s="61" t="s">
        <v>331</v>
      </c>
      <c r="I46" s="61" t="s">
        <v>464</v>
      </c>
      <c r="J46" s="61" t="n">
        <v>32.9</v>
      </c>
      <c r="K46" s="61" t="s">
        <v>434</v>
      </c>
      <c r="L46" s="61" t="s">
        <v>435</v>
      </c>
      <c r="M46" s="42"/>
      <c r="N46" s="46" t="e">
        <f t="shared" si="1"/>
        <v>#DIV/0!</v>
      </c>
      <c r="O46" s="46" t="str">
        <f t="shared" si="2"/>
        <v/>
      </c>
      <c r="P46" s="46">
        <f t="shared" si="3"/>
        <v>1</v>
      </c>
      <c r="Q46" s="46"/>
      <c r="R46" s="45"/>
      <c r="S46" s="45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0" ht="14.25">
      <c r="A47" s="67" t="s">
        <v>443</v>
      </c>
      <c r="B47" s="78" t="s">
        <v>459</v>
      </c>
      <c r="C47" s="67" t="s">
        <v>465</v>
      </c>
      <c r="D47" s="75" t="n">
        <v>73.0</v>
      </c>
      <c r="E47" s="76" t="s">
        <v>1</v>
      </c>
      <c r="F47" s="57" t="str">
        <f>IFERROR(VLOOKUP(C47,$C$9:H46,4,FALSE),"")</f>
        <v/>
      </c>
      <c r="G47" s="61" t="str">
        <f>IFERROR(VLOOKUP(C47,$C$9:G46,5,FALSE),"")</f>
        <v/>
      </c>
      <c r="H47" s="61" t="str">
        <f>IFERROR(VLOOKUP(C47,$C$9:H46,6,FALSE),"")</f>
        <v/>
      </c>
      <c r="I47" s="61" t="s">
        <v>466</v>
      </c>
      <c r="J47" s="61" t="n">
        <v>0.0</v>
      </c>
      <c r="K47" s="61"/>
      <c r="L47" s="61" t="s">
        <v>445</v>
      </c>
      <c r="M47" s="42"/>
      <c r="N47" s="46" t="e">
        <f t="shared" si="1"/>
        <v>#DIV/0!</v>
      </c>
      <c r="O47" s="46" t="str">
        <f t="shared" si="2"/>
        <v/>
      </c>
      <c r="P47" s="46">
        <f t="shared" si="3"/>
        <v>1</v>
      </c>
      <c r="Q47" s="46"/>
      <c r="R47" s="45"/>
      <c r="S47" s="45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0" ht="14.25">
      <c r="A48" s="67" t="s">
        <v>443</v>
      </c>
      <c r="B48" s="78" t="s">
        <v>459</v>
      </c>
      <c r="C48" s="67" t="s">
        <v>467</v>
      </c>
      <c r="D48" s="75" t="n">
        <v>54.71</v>
      </c>
      <c r="E48" s="76" t="s">
        <v>0</v>
      </c>
      <c r="F48" s="57" t="str">
        <f>IFERROR(VLOOKUP(C48,$C$9:H47,4,FALSE),"")</f>
        <v/>
      </c>
      <c r="G48" s="61" t="str">
        <f>IFERROR(VLOOKUP(C48,$C$9:G47,5,FALSE),"")</f>
        <v/>
      </c>
      <c r="H48" s="61" t="str">
        <f>IFERROR(VLOOKUP(C48,$C$9:H47,6,FALSE),"")</f>
        <v/>
      </c>
      <c r="I48" s="61" t="s">
        <v>468</v>
      </c>
      <c r="J48" s="61" t="n">
        <v>0.0</v>
      </c>
      <c r="K48" s="61"/>
      <c r="L48" s="61" t="s">
        <v>445</v>
      </c>
      <c r="M48" s="42"/>
      <c r="N48" s="46" t="e">
        <f t="shared" si="1"/>
        <v>#DIV/0!</v>
      </c>
      <c r="O48" s="46" t="str">
        <f t="shared" si="2"/>
        <v/>
      </c>
      <c r="P48" s="46">
        <f t="shared" si="3"/>
        <v>1</v>
      </c>
      <c r="Q48" s="46"/>
      <c r="R48" s="45"/>
      <c r="S48" s="4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ht="14.25">
      <c r="A49" s="67" t="s">
        <v>430</v>
      </c>
      <c r="B49" s="78" t="s">
        <v>469</v>
      </c>
      <c r="C49" s="67" t="s">
        <v>470</v>
      </c>
      <c r="D49" s="75" t="n">
        <v>146.57</v>
      </c>
      <c r="E49" s="76" t="s">
        <v>0</v>
      </c>
      <c r="F49" s="57" t="str">
        <f>IFERROR(VLOOKUP(C49,$C$9:H48,4,FALSE),"")</f>
        <v/>
      </c>
      <c r="G49" s="61" t="str">
        <f>IFERROR(VLOOKUP(C49,$C$9:G48,5,FALSE),"")</f>
        <v/>
      </c>
      <c r="H49" s="61" t="str">
        <f>IFERROR(VLOOKUP(C49,$C$9:H48,6,FALSE),"")</f>
        <v/>
      </c>
      <c r="I49" s="61" t="s">
        <v>437</v>
      </c>
      <c r="J49" s="61" t="n">
        <v>146.57</v>
      </c>
      <c r="K49" s="61" t="s">
        <v>434</v>
      </c>
      <c r="L49" s="61" t="s">
        <v>435</v>
      </c>
      <c r="M49" s="42"/>
      <c r="N49" s="46" t="e">
        <f t="shared" si="1"/>
        <v>#DIV/0!</v>
      </c>
      <c r="O49" s="46" t="str">
        <f t="shared" si="2"/>
        <v/>
      </c>
      <c r="P49" s="46">
        <f t="shared" si="3"/>
        <v>1</v>
      </c>
      <c r="Q49" s="46"/>
      <c r="R49" s="45"/>
      <c r="S49" s="45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ht="14.25">
      <c r="A50" s="67" t="s">
        <v>430</v>
      </c>
      <c r="B50" s="78" t="s">
        <v>469</v>
      </c>
      <c r="C50" s="67" t="s">
        <v>471</v>
      </c>
      <c r="D50" s="75" t="n">
        <v>2.9</v>
      </c>
      <c r="E50" s="76" t="s">
        <v>0</v>
      </c>
      <c r="F50" s="57" t="str">
        <f>IFERROR(VLOOKUP(C50,$C$9:H49,4,FALSE),"")</f>
        <v/>
      </c>
      <c r="G50" s="61" t="str">
        <f>IFERROR(VLOOKUP(C50,$C$9:G49,5,FALSE),"")</f>
        <v/>
      </c>
      <c r="H50" s="61" t="str">
        <f>IFERROR(VLOOKUP(C50,$C$9:H49,6,FALSE),"")</f>
        <v/>
      </c>
      <c r="I50" s="61" t="s">
        <v>433</v>
      </c>
      <c r="J50" s="61" t="n">
        <v>2.9</v>
      </c>
      <c r="K50" s="61" t="s">
        <v>434</v>
      </c>
      <c r="L50" s="61" t="s">
        <v>435</v>
      </c>
      <c r="M50" s="42"/>
      <c r="N50" s="46" t="e">
        <f t="shared" si="1"/>
        <v>#DIV/0!</v>
      </c>
      <c r="O50" s="46" t="str">
        <f t="shared" si="2"/>
        <v/>
      </c>
      <c r="P50" s="46">
        <f t="shared" si="3"/>
        <v>1</v>
      </c>
      <c r="Q50" s="46"/>
      <c r="R50" s="45"/>
      <c r="S50" s="45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ht="14.25">
      <c r="A51" s="67" t="s">
        <v>430</v>
      </c>
      <c r="B51" s="78" t="s">
        <v>469</v>
      </c>
      <c r="C51" s="67" t="s">
        <v>439</v>
      </c>
      <c r="D51" s="75" t="n">
        <v>73.5</v>
      </c>
      <c r="E51" s="76" t="s">
        <v>0</v>
      </c>
      <c r="F51" s="57" t="str">
        <f>IFERROR(VLOOKUP(C51,$C$9:H50,4,FALSE),"")</f>
        <v/>
      </c>
      <c r="G51" s="61" t="s">
        <v>350</v>
      </c>
      <c r="H51" s="61" t="s">
        <v>404</v>
      </c>
      <c r="I51" s="61" t="s">
        <v>433</v>
      </c>
      <c r="J51" s="61" t="n">
        <v>73.5</v>
      </c>
      <c r="K51" s="61" t="s">
        <v>434</v>
      </c>
      <c r="L51" s="61" t="s">
        <v>435</v>
      </c>
      <c r="M51" s="42"/>
      <c r="N51" s="46" t="e">
        <f t="shared" si="1"/>
        <v>#DIV/0!</v>
      </c>
      <c r="O51" s="46" t="str">
        <f t="shared" si="2"/>
        <v/>
      </c>
      <c r="P51" s="46">
        <f t="shared" si="3"/>
        <v>1</v>
      </c>
      <c r="Q51" s="46"/>
      <c r="R51" s="45"/>
      <c r="S51" s="45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ht="14.25">
      <c r="A52" s="67" t="s">
        <v>443</v>
      </c>
      <c r="B52" s="78" t="s">
        <v>469</v>
      </c>
      <c r="C52" s="67" t="s">
        <v>465</v>
      </c>
      <c r="D52" s="75" t="n">
        <v>550.0</v>
      </c>
      <c r="E52" s="76" t="s">
        <v>1</v>
      </c>
      <c r="F52" s="57" t="str">
        <f>IFERROR(VLOOKUP(C52,$C$9:H51,4,FALSE),"")</f>
        <v/>
      </c>
      <c r="G52" s="61" t="str">
        <f>IFERROR(VLOOKUP(C52,$C$9:G51,5,FALSE),"")</f>
        <v/>
      </c>
      <c r="H52" s="61" t="str">
        <f>IFERROR(VLOOKUP(C52,$C$9:H51,6,FALSE),"")</f>
        <v/>
      </c>
      <c r="I52" s="61" t="s">
        <v>466</v>
      </c>
      <c r="J52" s="61" t="n">
        <v>0.0</v>
      </c>
      <c r="K52" s="61"/>
      <c r="L52" s="61" t="s">
        <v>445</v>
      </c>
      <c r="M52" s="42"/>
      <c r="N52" s="46" t="e">
        <f t="shared" si="1"/>
        <v>#DIV/0!</v>
      </c>
      <c r="O52" s="46" t="str">
        <f t="shared" si="2"/>
        <v/>
      </c>
      <c r="P52" s="46">
        <f t="shared" si="3"/>
        <v>1</v>
      </c>
      <c r="Q52" s="46"/>
      <c r="R52" s="45"/>
      <c r="S52" s="45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ht="14.25">
      <c r="A53" s="67" t="s">
        <v>430</v>
      </c>
      <c r="B53" s="78" t="s">
        <v>472</v>
      </c>
      <c r="C53" s="67" t="s">
        <v>439</v>
      </c>
      <c r="D53" s="75" t="n">
        <v>65.1</v>
      </c>
      <c r="E53" s="76" t="s">
        <v>0</v>
      </c>
      <c r="F53" s="57" t="str">
        <f>IFERROR(VLOOKUP(C53,$C$9:H52,4,FALSE),"")</f>
        <v/>
      </c>
      <c r="G53" s="61" t="s">
        <v>350</v>
      </c>
      <c r="H53" s="61" t="s">
        <v>404</v>
      </c>
      <c r="I53" s="61" t="s">
        <v>433</v>
      </c>
      <c r="J53" s="61" t="n">
        <v>65.1</v>
      </c>
      <c r="K53" s="61" t="s">
        <v>434</v>
      </c>
      <c r="L53" s="61" t="s">
        <v>435</v>
      </c>
      <c r="M53" s="42"/>
      <c r="N53" s="46" t="e">
        <f t="shared" si="1"/>
        <v>#DIV/0!</v>
      </c>
      <c r="O53" s="46" t="str">
        <f t="shared" si="2"/>
        <v/>
      </c>
      <c r="P53" s="46">
        <f t="shared" si="3"/>
        <v>1</v>
      </c>
      <c r="Q53" s="46"/>
      <c r="R53" s="45"/>
      <c r="S53" s="45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ht="14.25">
      <c r="A54" s="67" t="s">
        <v>430</v>
      </c>
      <c r="B54" s="78" t="s">
        <v>472</v>
      </c>
      <c r="C54" s="67" t="s">
        <v>439</v>
      </c>
      <c r="D54" s="75" t="n">
        <v>34.56</v>
      </c>
      <c r="E54" s="76" t="s">
        <v>0</v>
      </c>
      <c r="F54" s="57" t="str">
        <f>IFERROR(VLOOKUP(C54,$C$9:H53,4,FALSE),"")</f>
        <v/>
      </c>
      <c r="G54" s="61" t="s">
        <v>350</v>
      </c>
      <c r="H54" s="61" t="s">
        <v>404</v>
      </c>
      <c r="I54" s="61" t="s">
        <v>433</v>
      </c>
      <c r="J54" s="61" t="n">
        <v>34.56</v>
      </c>
      <c r="K54" s="61" t="s">
        <v>434</v>
      </c>
      <c r="L54" s="61" t="s">
        <v>435</v>
      </c>
      <c r="M54" s="42"/>
      <c r="N54" s="46" t="e">
        <f t="shared" si="1"/>
        <v>#DIV/0!</v>
      </c>
      <c r="O54" s="46" t="str">
        <f t="shared" si="2"/>
        <v/>
      </c>
      <c r="P54" s="46">
        <f t="shared" si="3"/>
        <v>1</v>
      </c>
      <c r="Q54" s="46"/>
      <c r="R54" s="45"/>
      <c r="S54" s="45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ht="14.25">
      <c r="A55" s="67" t="s">
        <v>462</v>
      </c>
      <c r="B55" s="78" t="s">
        <v>472</v>
      </c>
      <c r="C55" s="67" t="s">
        <v>473</v>
      </c>
      <c r="D55" s="75" t="n">
        <v>141.33</v>
      </c>
      <c r="E55" s="76" t="s">
        <v>0</v>
      </c>
      <c r="F55" s="57" t="str">
        <f>IFERROR(VLOOKUP(C55,$C$9:H54,4,FALSE),"")</f>
        <v/>
      </c>
      <c r="G55" s="61" t="str">
        <f>IFERROR(VLOOKUP(C55,$C$9:G54,5,FALSE),"")</f>
        <v/>
      </c>
      <c r="H55" s="61" t="str">
        <f>IFERROR(VLOOKUP(C55,$C$9:H54,6,FALSE),"")</f>
        <v/>
      </c>
      <c r="I55" s="61" t="s">
        <v>464</v>
      </c>
      <c r="J55" s="61" t="n">
        <v>141.33</v>
      </c>
      <c r="K55" s="61" t="s">
        <v>434</v>
      </c>
      <c r="L55" s="61" t="s">
        <v>435</v>
      </c>
      <c r="M55" s="42"/>
      <c r="N55" s="46" t="e">
        <f t="shared" si="1"/>
        <v>#DIV/0!</v>
      </c>
      <c r="O55" s="46" t="str">
        <f t="shared" si="2"/>
        <v/>
      </c>
      <c r="P55" s="46">
        <f t="shared" si="3"/>
        <v>1</v>
      </c>
      <c r="Q55" s="46"/>
      <c r="R55" s="45"/>
      <c r="S55" s="45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ht="14.25">
      <c r="A56" s="67" t="s">
        <v>443</v>
      </c>
      <c r="B56" s="78" t="s">
        <v>472</v>
      </c>
      <c r="C56" s="67" t="s">
        <v>452</v>
      </c>
      <c r="D56" s="75" t="n">
        <v>32.9</v>
      </c>
      <c r="E56" s="76" t="s">
        <v>0</v>
      </c>
      <c r="F56" s="57" t="str">
        <f>IFERROR(VLOOKUP(C56,$C$9:H55,4,FALSE),"")</f>
        <v/>
      </c>
      <c r="G56" s="61" t="s">
        <v>414</v>
      </c>
      <c r="H56" s="61" t="s">
        <v>414</v>
      </c>
      <c r="I56" s="61"/>
      <c r="J56" s="61" t="n">
        <v>0.0</v>
      </c>
      <c r="K56" s="61"/>
      <c r="L56" s="61" t="s">
        <v>445</v>
      </c>
      <c r="M56" s="42"/>
      <c r="N56" s="46" t="e">
        <f t="shared" si="1"/>
        <v>#DIV/0!</v>
      </c>
      <c r="O56" s="46" t="str">
        <f t="shared" si="2"/>
        <v/>
      </c>
      <c r="P56" s="46">
        <f t="shared" si="3"/>
        <v>1</v>
      </c>
      <c r="Q56" s="46"/>
      <c r="R56" s="45"/>
      <c r="S56" s="45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ht="14.25">
      <c r="A57" s="67" t="s">
        <v>430</v>
      </c>
      <c r="B57" s="78" t="s">
        <v>474</v>
      </c>
      <c r="C57" s="67" t="s">
        <v>475</v>
      </c>
      <c r="D57" s="75" t="n">
        <v>8.9</v>
      </c>
      <c r="E57" s="76" t="s">
        <v>0</v>
      </c>
      <c r="F57" s="57" t="str">
        <f>IFERROR(VLOOKUP(C57,$C$9:H56,4,FALSE),"")</f>
        <v/>
      </c>
      <c r="G57" s="61" t="str">
        <f>IFERROR(VLOOKUP(C57,$C$9:G56,5,FALSE),"")</f>
        <v/>
      </c>
      <c r="H57" s="61" t="str">
        <f>IFERROR(VLOOKUP(C57,$C$9:H56,6,FALSE),"")</f>
        <v/>
      </c>
      <c r="I57" s="61" t="s">
        <v>433</v>
      </c>
      <c r="J57" s="61" t="n">
        <v>8.9</v>
      </c>
      <c r="K57" s="61" t="s">
        <v>434</v>
      </c>
      <c r="L57" s="61" t="s">
        <v>435</v>
      </c>
      <c r="M57" s="42"/>
      <c r="N57" s="46" t="e">
        <f t="shared" si="1"/>
        <v>#DIV/0!</v>
      </c>
      <c r="O57" s="46" t="str">
        <f t="shared" si="2"/>
        <v/>
      </c>
      <c r="P57" s="46">
        <f t="shared" si="3"/>
        <v>1</v>
      </c>
      <c r="Q57" s="46"/>
      <c r="R57" s="45"/>
      <c r="S57" s="45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ht="14.25">
      <c r="A58" s="67" t="s">
        <v>430</v>
      </c>
      <c r="B58" s="78" t="s">
        <v>474</v>
      </c>
      <c r="C58" s="67" t="s">
        <v>460</v>
      </c>
      <c r="D58" s="75" t="n">
        <v>214.17</v>
      </c>
      <c r="E58" s="76" t="s">
        <v>0</v>
      </c>
      <c r="F58" s="57" t="str">
        <f>IFERROR(VLOOKUP(C58,$C$9:H57,4,FALSE),"")</f>
        <v/>
      </c>
      <c r="G58" s="61" t="str">
        <f>IFERROR(VLOOKUP(C58,$C$9:G57,5,FALSE),"")</f>
        <v/>
      </c>
      <c r="H58" s="61" t="str">
        <f>IFERROR(VLOOKUP(C58,$C$9:H57,6,FALSE),"")</f>
        <v/>
      </c>
      <c r="I58" s="61" t="s">
        <v>433</v>
      </c>
      <c r="J58" s="61" t="n">
        <v>214.17</v>
      </c>
      <c r="K58" s="61" t="s">
        <v>434</v>
      </c>
      <c r="L58" s="61" t="s">
        <v>435</v>
      </c>
      <c r="M58" s="42"/>
      <c r="N58" s="46" t="e">
        <f t="shared" si="1"/>
        <v>#DIV/0!</v>
      </c>
      <c r="O58" s="46" t="str">
        <f t="shared" si="2"/>
        <v/>
      </c>
      <c r="P58" s="46">
        <f t="shared" si="3"/>
        <v>1</v>
      </c>
      <c r="Q58" s="46"/>
      <c r="R58" s="45"/>
      <c r="S58" s="45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ht="14.25">
      <c r="A59" s="67" t="s">
        <v>430</v>
      </c>
      <c r="B59" s="78" t="s">
        <v>474</v>
      </c>
      <c r="C59" s="67" t="s">
        <v>476</v>
      </c>
      <c r="D59" s="75" t="n">
        <v>67.1</v>
      </c>
      <c r="E59" s="76" t="s">
        <v>0</v>
      </c>
      <c r="F59" s="57" t="str">
        <f>IFERROR(VLOOKUP(C59,$C$9:H58,4,FALSE),"")</f>
        <v/>
      </c>
      <c r="G59" s="61" t="str">
        <f>IFERROR(VLOOKUP(C59,$C$9:G58,5,FALSE),"")</f>
        <v/>
      </c>
      <c r="H59" s="61" t="str">
        <f>IFERROR(VLOOKUP(C59,$C$9:H58,6,FALSE),"")</f>
        <v/>
      </c>
      <c r="I59" s="61" t="s">
        <v>433</v>
      </c>
      <c r="J59" s="61" t="n">
        <v>67.1</v>
      </c>
      <c r="K59" s="61" t="s">
        <v>434</v>
      </c>
      <c r="L59" s="61" t="s">
        <v>435</v>
      </c>
      <c r="M59" s="42"/>
      <c r="N59" s="46" t="e">
        <f t="shared" si="1"/>
        <v>#DIV/0!</v>
      </c>
      <c r="O59" s="46" t="str">
        <f t="shared" si="2"/>
        <v/>
      </c>
      <c r="P59" s="46">
        <f t="shared" si="3"/>
        <v>1</v>
      </c>
      <c r="Q59" s="46"/>
      <c r="R59" s="45"/>
      <c r="S59" s="45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ht="14.25">
      <c r="A60" s="67" t="s">
        <v>462</v>
      </c>
      <c r="B60" s="78" t="s">
        <v>474</v>
      </c>
      <c r="C60" s="77" t="s">
        <v>477</v>
      </c>
      <c r="D60" s="75" t="n">
        <v>49.9</v>
      </c>
      <c r="E60" s="76" t="s">
        <v>0</v>
      </c>
      <c r="F60" s="57" t="str">
        <f>IFERROR(VLOOKUP(C60,$C$9:H59,4,FALSE),"")</f>
        <v/>
      </c>
      <c r="G60" s="61" t="str">
        <f>IFERROR(VLOOKUP(C60,$C$9:G59,5,FALSE),"")</f>
        <v/>
      </c>
      <c r="H60" s="61" t="str">
        <f>IFERROR(VLOOKUP(C60,$C$9:H59,6,FALSE),"")</f>
        <v/>
      </c>
      <c r="I60" s="61" t="s">
        <v>464</v>
      </c>
      <c r="J60" s="61" t="n">
        <v>49.9</v>
      </c>
      <c r="K60" s="61" t="s">
        <v>434</v>
      </c>
      <c r="L60" s="61" t="s">
        <v>435</v>
      </c>
      <c r="M60" s="42"/>
      <c r="N60" s="46" t="e">
        <f t="shared" si="1"/>
        <v>#DIV/0!</v>
      </c>
      <c r="O60" s="46" t="str">
        <f t="shared" si="2"/>
        <v/>
      </c>
      <c r="P60" s="46">
        <f t="shared" si="3"/>
        <v>1</v>
      </c>
      <c r="Q60" s="46"/>
      <c r="R60" s="45"/>
      <c r="S60" s="4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ht="14.25">
      <c r="A61" s="67" t="s">
        <v>478</v>
      </c>
      <c r="B61" s="78" t="s">
        <v>474</v>
      </c>
      <c r="C61" s="67" t="s">
        <v>477</v>
      </c>
      <c r="D61" s="75" t="n">
        <v>-49.9</v>
      </c>
      <c r="E61" s="76" t="s">
        <v>0</v>
      </c>
      <c r="F61" s="57" t="str">
        <f>IFERROR(VLOOKUP(C61,$C$9:H60,4,FALSE),"")</f>
        <v/>
      </c>
      <c r="G61" s="61" t="str">
        <f>IFERROR(VLOOKUP(C61,$C$9:G60,5,FALSE),"")</f>
        <v/>
      </c>
      <c r="H61" s="61" t="str">
        <f>IFERROR(VLOOKUP(C61,$C$9:H60,6,FALSE),"")</f>
        <v/>
      </c>
      <c r="I61" s="61" t="s">
        <v>479</v>
      </c>
      <c r="J61" s="61" t="n">
        <v>49.9</v>
      </c>
      <c r="K61" s="61" t="s">
        <v>434</v>
      </c>
      <c r="L61" s="61" t="s">
        <v>435</v>
      </c>
      <c r="M61" s="42"/>
      <c r="N61" s="46" t="e">
        <f t="shared" si="1"/>
        <v>#DIV/0!</v>
      </c>
      <c r="O61" s="46" t="str">
        <f t="shared" si="2"/>
        <v/>
      </c>
      <c r="P61" s="46">
        <f t="shared" si="3"/>
        <v>1</v>
      </c>
      <c r="Q61" s="46"/>
      <c r="R61" s="45"/>
      <c r="S61" s="45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ht="14.25">
      <c r="A62" s="67" t="s">
        <v>430</v>
      </c>
      <c r="B62" s="78" t="s">
        <v>480</v>
      </c>
      <c r="C62" s="67" t="s">
        <v>481</v>
      </c>
      <c r="D62" s="75" t="n">
        <v>39.9</v>
      </c>
      <c r="E62" s="76" t="s">
        <v>0</v>
      </c>
      <c r="F62" s="57" t="str">
        <f>IFERROR(VLOOKUP(C62,$C$9:H61,4,FALSE),"")</f>
        <v/>
      </c>
      <c r="G62" s="61" t="str">
        <f>IFERROR(VLOOKUP(C62,$C$9:G61,5,FALSE),"")</f>
        <v/>
      </c>
      <c r="H62" s="61" t="str">
        <f>IFERROR(VLOOKUP(C62,$C$9:H61,6,FALSE),"")</f>
        <v/>
      </c>
      <c r="I62" s="61" t="s">
        <v>437</v>
      </c>
      <c r="J62" s="61" t="n">
        <v>39.9</v>
      </c>
      <c r="K62" s="61" t="s">
        <v>434</v>
      </c>
      <c r="L62" s="61" t="s">
        <v>435</v>
      </c>
      <c r="M62" s="42"/>
      <c r="N62" s="46" t="e">
        <f t="shared" si="1"/>
        <v>#DIV/0!</v>
      </c>
      <c r="O62" s="46" t="str">
        <f t="shared" si="2"/>
        <v/>
      </c>
      <c r="P62" s="46">
        <f t="shared" si="3"/>
        <v>1</v>
      </c>
      <c r="Q62" s="46"/>
      <c r="R62" s="45"/>
      <c r="S62" s="45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ht="14.25">
      <c r="A63" s="67" t="s">
        <v>430</v>
      </c>
      <c r="B63" s="78" t="s">
        <v>480</v>
      </c>
      <c r="C63" s="67" t="s">
        <v>482</v>
      </c>
      <c r="D63" s="75" t="n">
        <v>193.0</v>
      </c>
      <c r="E63" s="76" t="s">
        <v>0</v>
      </c>
      <c r="F63" s="57" t="str">
        <f>IFERROR(VLOOKUP(C63,$C$9:H62,4,FALSE),"")</f>
        <v/>
      </c>
      <c r="G63" s="61" t="str">
        <f>IFERROR(VLOOKUP(C63,$C$9:G62,5,FALSE),"")</f>
        <v/>
      </c>
      <c r="H63" s="61" t="str">
        <f>IFERROR(VLOOKUP(C63,$C$9:H62,6,FALSE),"")</f>
        <v/>
      </c>
      <c r="I63" s="61" t="s">
        <v>433</v>
      </c>
      <c r="J63" s="61" t="n">
        <v>193.0</v>
      </c>
      <c r="K63" s="61" t="s">
        <v>434</v>
      </c>
      <c r="L63" s="61" t="s">
        <v>435</v>
      </c>
      <c r="M63" s="42"/>
      <c r="N63" s="46" t="e">
        <f t="shared" si="1"/>
        <v>#DIV/0!</v>
      </c>
      <c r="O63" s="46" t="str">
        <f t="shared" si="2"/>
        <v/>
      </c>
      <c r="P63" s="46">
        <f t="shared" si="3"/>
        <v>1</v>
      </c>
      <c r="Q63" s="46"/>
      <c r="R63" s="45"/>
      <c r="S63" s="45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ht="14.25">
      <c r="A64" s="67" t="s">
        <v>430</v>
      </c>
      <c r="B64" s="78" t="s">
        <v>480</v>
      </c>
      <c r="C64" s="67" t="s">
        <v>483</v>
      </c>
      <c r="D64" s="75" t="n">
        <v>331.8</v>
      </c>
      <c r="E64" s="76" t="s">
        <v>0</v>
      </c>
      <c r="F64" s="57" t="str">
        <f>IFERROR(VLOOKUP(C64,$C$9:H63,4,FALSE),"")</f>
        <v/>
      </c>
      <c r="G64" s="61" t="s">
        <v>355</v>
      </c>
      <c r="H64" s="61" t="s">
        <v>13</v>
      </c>
      <c r="I64" s="61" t="s">
        <v>433</v>
      </c>
      <c r="J64" s="61" t="n">
        <v>331.8</v>
      </c>
      <c r="K64" s="61" t="s">
        <v>434</v>
      </c>
      <c r="L64" s="61" t="s">
        <v>435</v>
      </c>
      <c r="M64" s="42"/>
      <c r="N64" s="46" t="e">
        <f t="shared" si="1"/>
        <v>#DIV/0!</v>
      </c>
      <c r="O64" s="46" t="str">
        <f t="shared" si="2"/>
        <v/>
      </c>
      <c r="P64" s="46">
        <f t="shared" si="3"/>
        <v>1</v>
      </c>
      <c r="Q64" s="46"/>
      <c r="R64" s="45"/>
      <c r="S64" s="45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ht="14.25">
      <c r="A65" s="67" t="s">
        <v>430</v>
      </c>
      <c r="B65" s="78" t="s">
        <v>480</v>
      </c>
      <c r="C65" s="67" t="s">
        <v>439</v>
      </c>
      <c r="D65" s="75" t="n">
        <v>87.15</v>
      </c>
      <c r="E65" s="76" t="s">
        <v>0</v>
      </c>
      <c r="F65" s="57" t="str">
        <f>IFERROR(VLOOKUP(C65,$C$9:H64,4,FALSE),"")</f>
        <v/>
      </c>
      <c r="G65" s="61" t="s">
        <v>350</v>
      </c>
      <c r="H65" s="61" t="s">
        <v>404</v>
      </c>
      <c r="I65" s="61" t="s">
        <v>433</v>
      </c>
      <c r="J65" s="61" t="n">
        <v>87.15</v>
      </c>
      <c r="K65" s="61" t="s">
        <v>434</v>
      </c>
      <c r="L65" s="61" t="s">
        <v>435</v>
      </c>
      <c r="M65" s="42"/>
      <c r="N65" s="46" t="e">
        <f t="shared" si="1"/>
        <v>#DIV/0!</v>
      </c>
      <c r="O65" s="46" t="str">
        <f t="shared" si="2"/>
        <v/>
      </c>
      <c r="P65" s="46">
        <f t="shared" si="3"/>
        <v>1</v>
      </c>
      <c r="Q65" s="46"/>
      <c r="R65" s="45"/>
      <c r="S65" s="45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ht="14.25">
      <c r="A66" s="67" t="s">
        <v>430</v>
      </c>
      <c r="B66" s="78" t="s">
        <v>480</v>
      </c>
      <c r="C66" s="67" t="s">
        <v>439</v>
      </c>
      <c r="D66" s="75" t="n">
        <v>57.88</v>
      </c>
      <c r="E66" s="76" t="s">
        <v>0</v>
      </c>
      <c r="F66" s="57" t="str">
        <f>IFERROR(VLOOKUP(C66,$C$9:H65,4,FALSE),"")</f>
        <v/>
      </c>
      <c r="G66" s="61" t="s">
        <v>350</v>
      </c>
      <c r="H66" s="61" t="s">
        <v>404</v>
      </c>
      <c r="I66" s="61" t="s">
        <v>433</v>
      </c>
      <c r="J66" s="61" t="n">
        <v>57.88</v>
      </c>
      <c r="K66" s="61" t="s">
        <v>434</v>
      </c>
      <c r="L66" s="61" t="s">
        <v>435</v>
      </c>
      <c r="M66" s="42"/>
      <c r="N66" s="46" t="e">
        <f t="shared" si="1"/>
        <v>#DIV/0!</v>
      </c>
      <c r="O66" s="46" t="str">
        <f t="shared" si="2"/>
        <v/>
      </c>
      <c r="P66" s="46">
        <f t="shared" si="3"/>
        <v>1</v>
      </c>
      <c r="Q66" s="46"/>
      <c r="R66" s="45"/>
      <c r="S66" s="45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ht="14.25">
      <c r="A67" s="67" t="s">
        <v>430</v>
      </c>
      <c r="B67" s="78" t="s">
        <v>484</v>
      </c>
      <c r="C67" s="67" t="s">
        <v>441</v>
      </c>
      <c r="D67" s="75" t="n">
        <v>20.0</v>
      </c>
      <c r="E67" s="76" t="s">
        <v>0</v>
      </c>
      <c r="F67" s="57" t="str">
        <f>IFERROR(VLOOKUP(C67,$C$9:H66,4,FALSE),"")</f>
        <v/>
      </c>
      <c r="G67" s="61" t="str">
        <f>IFERROR(VLOOKUP(C67,$C$9:G66,5,FALSE),"")</f>
        <v/>
      </c>
      <c r="H67" s="61" t="str">
        <f>IFERROR(VLOOKUP(C67,$C$9:H66,6,FALSE),"")</f>
        <v/>
      </c>
      <c r="I67" s="61" t="s">
        <v>433</v>
      </c>
      <c r="J67" s="61" t="n">
        <v>20.0</v>
      </c>
      <c r="K67" s="61" t="s">
        <v>434</v>
      </c>
      <c r="L67" s="61" t="s">
        <v>435</v>
      </c>
      <c r="M67" s="42"/>
      <c r="N67" s="46" t="e">
        <f t="shared" si="1"/>
        <v>#DIV/0!</v>
      </c>
      <c r="O67" s="46" t="str">
        <f t="shared" si="2"/>
        <v/>
      </c>
      <c r="P67" s="46">
        <f t="shared" si="3"/>
        <v>1</v>
      </c>
      <c r="Q67" s="46"/>
      <c r="R67" s="45"/>
      <c r="S67" s="45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ht="14.25">
      <c r="A68" s="67" t="s">
        <v>430</v>
      </c>
      <c r="B68" s="78" t="s">
        <v>484</v>
      </c>
      <c r="C68" s="67" t="s">
        <v>439</v>
      </c>
      <c r="D68" s="75" t="n">
        <v>69.6</v>
      </c>
      <c r="E68" s="76" t="s">
        <v>0</v>
      </c>
      <c r="F68" s="57" t="str">
        <f>IFERROR(VLOOKUP(C68,$C$9:H67,4,FALSE),"")</f>
        <v/>
      </c>
      <c r="G68" s="61" t="s">
        <v>350</v>
      </c>
      <c r="H68" s="61" t="s">
        <v>404</v>
      </c>
      <c r="I68" s="61" t="s">
        <v>433</v>
      </c>
      <c r="J68" s="61" t="n">
        <v>69.6</v>
      </c>
      <c r="K68" s="61" t="s">
        <v>434</v>
      </c>
      <c r="L68" s="61" t="s">
        <v>435</v>
      </c>
      <c r="M68" s="42"/>
      <c r="N68" s="46" t="e">
        <f t="shared" si="1"/>
        <v>#DIV/0!</v>
      </c>
      <c r="O68" s="46" t="str">
        <f t="shared" si="2"/>
        <v/>
      </c>
      <c r="P68" s="46">
        <f t="shared" si="3"/>
        <v>1</v>
      </c>
      <c r="Q68" s="46"/>
      <c r="R68" s="45"/>
      <c r="S68" s="45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ht="14.25">
      <c r="A69" s="67" t="s">
        <v>430</v>
      </c>
      <c r="B69" s="78" t="s">
        <v>484</v>
      </c>
      <c r="C69" s="67" t="s">
        <v>439</v>
      </c>
      <c r="D69" s="75" t="n">
        <v>5.0</v>
      </c>
      <c r="E69" s="76" t="s">
        <v>0</v>
      </c>
      <c r="F69" s="57" t="str">
        <f>IFERROR(VLOOKUP(C69,$C$9:H68,4,FALSE),"")</f>
        <v/>
      </c>
      <c r="G69" s="61" t="s">
        <v>350</v>
      </c>
      <c r="H69" s="61" t="s">
        <v>404</v>
      </c>
      <c r="I69" s="61" t="s">
        <v>433</v>
      </c>
      <c r="J69" s="61" t="n">
        <v>5.0</v>
      </c>
      <c r="K69" s="61" t="s">
        <v>434</v>
      </c>
      <c r="L69" s="61" t="s">
        <v>435</v>
      </c>
      <c r="M69" s="42"/>
      <c r="N69" s="46" t="e">
        <f t="shared" si="1"/>
        <v>#DIV/0!</v>
      </c>
      <c r="O69" s="46" t="str">
        <f t="shared" si="2"/>
        <v/>
      </c>
      <c r="P69" s="46">
        <f t="shared" si="3"/>
        <v>1</v>
      </c>
      <c r="Q69" s="46"/>
      <c r="R69" s="45"/>
      <c r="S69" s="45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ht="14.25">
      <c r="A70" s="67" t="s">
        <v>443</v>
      </c>
      <c r="B70" s="78" t="s">
        <v>484</v>
      </c>
      <c r="C70" s="67" t="s">
        <v>452</v>
      </c>
      <c r="D70" s="75" t="n">
        <v>49.9</v>
      </c>
      <c r="E70" s="76" t="s">
        <v>0</v>
      </c>
      <c r="F70" s="57" t="str">
        <f>IFERROR(VLOOKUP(C70,$C$9:H69,4,FALSE),"")</f>
        <v/>
      </c>
      <c r="G70" s="61" t="s">
        <v>414</v>
      </c>
      <c r="H70" s="61" t="s">
        <v>414</v>
      </c>
      <c r="I70" s="61"/>
      <c r="J70" s="61" t="n">
        <v>0.0</v>
      </c>
      <c r="K70" s="61"/>
      <c r="L70" s="61" t="s">
        <v>445</v>
      </c>
      <c r="M70" s="42"/>
      <c r="N70" s="46" t="e">
        <f t="shared" si="1"/>
        <v>#DIV/0!</v>
      </c>
      <c r="O70" s="46" t="str">
        <f t="shared" si="2"/>
        <v/>
      </c>
      <c r="P70" s="46">
        <f t="shared" si="3"/>
        <v>1</v>
      </c>
      <c r="Q70" s="46"/>
      <c r="R70" s="45"/>
      <c r="S70" s="45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ht="14.25">
      <c r="A71" s="67" t="s">
        <v>430</v>
      </c>
      <c r="B71" s="78" t="s">
        <v>485</v>
      </c>
      <c r="C71" s="67" t="s">
        <v>456</v>
      </c>
      <c r="D71" s="75" t="n">
        <v>28.0</v>
      </c>
      <c r="E71" s="76" t="s">
        <v>0</v>
      </c>
      <c r="F71" s="57" t="str">
        <f>IFERROR(VLOOKUP(C71,$C$9:H70,4,FALSE),"")</f>
        <v/>
      </c>
      <c r="G71" s="61" t="str">
        <f>IFERROR(VLOOKUP(C71,$C$9:G70,5,FALSE),"")</f>
        <v/>
      </c>
      <c r="H71" s="61" t="str">
        <f>IFERROR(VLOOKUP(C71,$C$9:H70,6,FALSE),"")</f>
        <v/>
      </c>
      <c r="I71" s="61" t="s">
        <v>433</v>
      </c>
      <c r="J71" s="61" t="n">
        <v>28.0</v>
      </c>
      <c r="K71" s="61" t="s">
        <v>434</v>
      </c>
      <c r="L71" s="61" t="s">
        <v>435</v>
      </c>
      <c r="M71" s="42"/>
      <c r="N71" s="46" t="e">
        <f t="shared" si="1"/>
        <v>#DIV/0!</v>
      </c>
      <c r="O71" s="46" t="str">
        <f t="shared" si="2"/>
        <v/>
      </c>
      <c r="P71" s="46">
        <f t="shared" si="3"/>
        <v>1</v>
      </c>
      <c r="Q71" s="46"/>
      <c r="R71" s="45"/>
      <c r="S71" s="45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ht="14.25">
      <c r="A72" s="67" t="s">
        <v>430</v>
      </c>
      <c r="B72" s="78" t="s">
        <v>485</v>
      </c>
      <c r="C72" s="67" t="s">
        <v>486</v>
      </c>
      <c r="D72" s="75" t="n">
        <v>180.0</v>
      </c>
      <c r="E72" s="76" t="s">
        <v>0</v>
      </c>
      <c r="F72" s="57" t="str">
        <f>IFERROR(VLOOKUP(C72,$C$9:H71,4,FALSE),"")</f>
        <v/>
      </c>
      <c r="G72" s="61" t="str">
        <f>IFERROR(VLOOKUP(C72,$C$9:G71,5,FALSE),"")</f>
        <v/>
      </c>
      <c r="H72" s="61" t="str">
        <f>IFERROR(VLOOKUP(C72,$C$9:H71,6,FALSE),"")</f>
        <v/>
      </c>
      <c r="I72" s="61" t="s">
        <v>433</v>
      </c>
      <c r="J72" s="61" t="n">
        <v>180.0</v>
      </c>
      <c r="K72" s="61" t="s">
        <v>434</v>
      </c>
      <c r="L72" s="61" t="s">
        <v>435</v>
      </c>
      <c r="M72" s="42"/>
      <c r="N72" s="46" t="e">
        <f t="shared" si="1"/>
        <v>#DIV/0!</v>
      </c>
      <c r="O72" s="46" t="str">
        <f t="shared" si="2"/>
        <v/>
      </c>
      <c r="P72" s="46">
        <f t="shared" si="3"/>
        <v>1</v>
      </c>
      <c r="Q72" s="46"/>
      <c r="R72" s="45"/>
      <c r="S72" s="45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 ht="14.25">
      <c r="A73" s="67" t="s">
        <v>430</v>
      </c>
      <c r="B73" s="78" t="s">
        <v>485</v>
      </c>
      <c r="C73" s="67" t="s">
        <v>439</v>
      </c>
      <c r="D73" s="75" t="n">
        <v>68.25</v>
      </c>
      <c r="E73" s="76" t="s">
        <v>0</v>
      </c>
      <c r="F73" s="57" t="str">
        <f>IFERROR(VLOOKUP(C73,$C$9:H72,4,FALSE),"")</f>
        <v/>
      </c>
      <c r="G73" s="61" t="s">
        <v>350</v>
      </c>
      <c r="H73" s="61" t="s">
        <v>404</v>
      </c>
      <c r="I73" s="61" t="s">
        <v>433</v>
      </c>
      <c r="J73" s="61" t="n">
        <v>68.25</v>
      </c>
      <c r="K73" s="61" t="s">
        <v>434</v>
      </c>
      <c r="L73" s="61" t="s">
        <v>435</v>
      </c>
      <c r="M73" s="42"/>
      <c r="N73" s="46" t="e">
        <f t="shared" si="1"/>
        <v>#DIV/0!</v>
      </c>
      <c r="O73" s="46" t="str">
        <f t="shared" si="2"/>
        <v/>
      </c>
      <c r="P73" s="46">
        <f t="shared" ref="P73:P136" si="4">IF(C73="",1,COUNTIFS($C$9:$C$1499,C73,$H$9:$H$1499,H73))</f>
        <v>1</v>
      </c>
      <c r="Q73" s="46"/>
      <c r="R73" s="45"/>
      <c r="S73" s="45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 ht="14.25">
      <c r="A74" s="67" t="s">
        <v>430</v>
      </c>
      <c r="B74" s="78" t="s">
        <v>485</v>
      </c>
      <c r="C74" s="77" t="s">
        <v>439</v>
      </c>
      <c r="D74" s="75" t="n">
        <v>162.9</v>
      </c>
      <c r="E74" s="76" t="s">
        <v>0</v>
      </c>
      <c r="F74" s="57" t="str">
        <f>IFERROR(VLOOKUP(C74,$C$9:H73,4,FALSE),"")</f>
        <v/>
      </c>
      <c r="G74" s="61" t="s">
        <v>350</v>
      </c>
      <c r="H74" s="61" t="s">
        <v>404</v>
      </c>
      <c r="I74" s="61" t="s">
        <v>433</v>
      </c>
      <c r="J74" s="61" t="n">
        <v>162.9</v>
      </c>
      <c r="K74" s="61" t="s">
        <v>434</v>
      </c>
      <c r="L74" s="61" t="s">
        <v>435</v>
      </c>
      <c r="M74" s="42"/>
      <c r="N74" s="46" t="e">
        <f t="shared" ref="N74:N137" si="5">IF(OR(F74=$P$1,F74="",F74=0),D74/$B$2,IF(OR(F74=$P$2,F74=$P$3,F74=$P$4),D74/(O74*P74),D74/O74))</f>
        <v>#DIV/0!</v>
      </c>
      <c r="O74" s="46" t="str">
        <f t="shared" ref="O74:O137" si="6">IFERROR(VLOOKUP(F74,$P$1:$Q$4,2,0),F74)</f>
        <v/>
      </c>
      <c r="P74" s="46">
        <f t="shared" si="4"/>
        <v>1</v>
      </c>
      <c r="Q74" s="46"/>
      <c r="R74" s="45"/>
      <c r="S74" s="45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 ht="14.25">
      <c r="A75" s="67" t="s">
        <v>430</v>
      </c>
      <c r="B75" s="78" t="s">
        <v>485</v>
      </c>
      <c r="C75" s="67" t="s">
        <v>439</v>
      </c>
      <c r="D75" s="75" t="n">
        <v>122.2</v>
      </c>
      <c r="E75" s="76" t="s">
        <v>0</v>
      </c>
      <c r="F75" s="57" t="str">
        <f>IFERROR(VLOOKUP(C75,$C$9:H74,4,FALSE),"")</f>
        <v/>
      </c>
      <c r="G75" s="61" t="s">
        <v>350</v>
      </c>
      <c r="H75" s="61" t="s">
        <v>404</v>
      </c>
      <c r="I75" s="61" t="s">
        <v>433</v>
      </c>
      <c r="J75" s="61" t="n">
        <v>122.2</v>
      </c>
      <c r="K75" s="61" t="s">
        <v>434</v>
      </c>
      <c r="L75" s="61" t="s">
        <v>435</v>
      </c>
      <c r="M75" s="42"/>
      <c r="N75" s="46" t="e">
        <f t="shared" si="5"/>
        <v>#DIV/0!</v>
      </c>
      <c r="O75" s="46" t="str">
        <f t="shared" si="6"/>
        <v/>
      </c>
      <c r="P75" s="46">
        <f t="shared" si="4"/>
        <v>1</v>
      </c>
      <c r="Q75" s="46"/>
      <c r="R75" s="45"/>
      <c r="S75" s="45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 ht="14.25">
      <c r="A76" s="67" t="s">
        <v>430</v>
      </c>
      <c r="B76" s="78" t="s">
        <v>487</v>
      </c>
      <c r="C76" s="77" t="s">
        <v>439</v>
      </c>
      <c r="D76" s="75" t="n">
        <v>72.45</v>
      </c>
      <c r="E76" s="76" t="s">
        <v>0</v>
      </c>
      <c r="F76" s="57" t="str">
        <f>IFERROR(VLOOKUP(C76,$C$9:H75,4,FALSE),"")</f>
        <v/>
      </c>
      <c r="G76" s="61" t="s">
        <v>350</v>
      </c>
      <c r="H76" s="61" t="s">
        <v>404</v>
      </c>
      <c r="I76" s="61" t="s">
        <v>433</v>
      </c>
      <c r="J76" s="61" t="n">
        <v>72.45</v>
      </c>
      <c r="K76" s="61" t="s">
        <v>434</v>
      </c>
      <c r="L76" s="61" t="s">
        <v>435</v>
      </c>
      <c r="M76" s="42"/>
      <c r="N76" s="46" t="e">
        <f t="shared" si="5"/>
        <v>#DIV/0!</v>
      </c>
      <c r="O76" s="46" t="str">
        <f t="shared" si="6"/>
        <v/>
      </c>
      <c r="P76" s="46">
        <f t="shared" si="4"/>
        <v>1</v>
      </c>
      <c r="Q76" s="46"/>
      <c r="R76" s="45"/>
      <c r="S76" s="45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 ht="14.25">
      <c r="A77" s="67" t="s">
        <v>430</v>
      </c>
      <c r="B77" s="78" t="s">
        <v>487</v>
      </c>
      <c r="C77" s="67" t="s">
        <v>439</v>
      </c>
      <c r="D77" s="75" t="n">
        <v>79.97</v>
      </c>
      <c r="E77" s="76" t="s">
        <v>0</v>
      </c>
      <c r="F77" s="57" t="str">
        <f>IFERROR(VLOOKUP(C77,$C$9:H76,4,FALSE),"")</f>
        <v/>
      </c>
      <c r="G77" s="61" t="s">
        <v>350</v>
      </c>
      <c r="H77" s="61" t="s">
        <v>404</v>
      </c>
      <c r="I77" s="61" t="s">
        <v>433</v>
      </c>
      <c r="J77" s="61" t="n">
        <v>79.97</v>
      </c>
      <c r="K77" s="61" t="s">
        <v>434</v>
      </c>
      <c r="L77" s="61" t="s">
        <v>435</v>
      </c>
      <c r="M77" s="42"/>
      <c r="N77" s="46" t="e">
        <f t="shared" si="5"/>
        <v>#DIV/0!</v>
      </c>
      <c r="O77" s="46" t="str">
        <f t="shared" si="6"/>
        <v/>
      </c>
      <c r="P77" s="46">
        <f t="shared" si="4"/>
        <v>1</v>
      </c>
      <c r="Q77" s="46"/>
      <c r="R77" s="45"/>
      <c r="S77" s="4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</row>
    <row r="78" spans="1:31" ht="14.25">
      <c r="A78" s="67" t="s">
        <v>430</v>
      </c>
      <c r="B78" s="78" t="s">
        <v>487</v>
      </c>
      <c r="C78" s="67" t="s">
        <v>488</v>
      </c>
      <c r="D78" s="75" t="n">
        <v>25.5</v>
      </c>
      <c r="E78" s="76" t="s">
        <v>0</v>
      </c>
      <c r="F78" s="57" t="str">
        <f>IFERROR(VLOOKUP(C78,$C$9:H77,4,FALSE),"")</f>
        <v/>
      </c>
      <c r="G78" s="61" t="s">
        <v>350</v>
      </c>
      <c r="H78" s="61" t="s">
        <v>404</v>
      </c>
      <c r="I78" s="61" t="s">
        <v>433</v>
      </c>
      <c r="J78" s="61" t="n">
        <v>25.5</v>
      </c>
      <c r="K78" s="61" t="s">
        <v>434</v>
      </c>
      <c r="L78" s="61" t="s">
        <v>435</v>
      </c>
      <c r="M78" s="42"/>
      <c r="N78" s="46" t="e">
        <f t="shared" si="5"/>
        <v>#DIV/0!</v>
      </c>
      <c r="O78" s="46" t="str">
        <f t="shared" si="6"/>
        <v/>
      </c>
      <c r="P78" s="46">
        <f t="shared" si="4"/>
        <v>1</v>
      </c>
      <c r="Q78" s="46"/>
      <c r="R78" s="45"/>
      <c r="S78" s="45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</row>
    <row r="79" spans="1:31" ht="14.25">
      <c r="A79" s="67" t="s">
        <v>443</v>
      </c>
      <c r="B79" s="78" t="s">
        <v>487</v>
      </c>
      <c r="C79" s="67" t="s">
        <v>489</v>
      </c>
      <c r="D79" s="75" t="n">
        <v>416.0</v>
      </c>
      <c r="E79" s="76" t="s">
        <v>0</v>
      </c>
      <c r="F79" s="57" t="str">
        <f>IFERROR(VLOOKUP(C79,$C$9:H78,4,FALSE),"")</f>
        <v/>
      </c>
      <c r="G79" s="61" t="str">
        <f>IFERROR(VLOOKUP(C79,$C$9:G78,5,FALSE),"")</f>
        <v/>
      </c>
      <c r="H79" s="61" t="str">
        <f>IFERROR(VLOOKUP(C79,$C$9:H78,6,FALSE),"")</f>
        <v/>
      </c>
      <c r="I79" s="61" t="s">
        <v>490</v>
      </c>
      <c r="J79" s="61" t="n">
        <v>0.0</v>
      </c>
      <c r="K79" s="61"/>
      <c r="L79" s="61" t="s">
        <v>445</v>
      </c>
      <c r="M79" s="42"/>
      <c r="N79" s="46" t="e">
        <f t="shared" si="5"/>
        <v>#DIV/0!</v>
      </c>
      <c r="O79" s="46" t="str">
        <f t="shared" si="6"/>
        <v/>
      </c>
      <c r="P79" s="46">
        <f t="shared" si="4"/>
        <v>1</v>
      </c>
      <c r="Q79" s="46"/>
      <c r="R79" s="45"/>
      <c r="S79" s="45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</row>
    <row r="80" spans="1:31" ht="14.25">
      <c r="A80" s="67" t="s">
        <v>443</v>
      </c>
      <c r="B80" s="78" t="s">
        <v>487</v>
      </c>
      <c r="C80" s="67" t="s">
        <v>452</v>
      </c>
      <c r="D80" s="75" t="n">
        <v>141.33</v>
      </c>
      <c r="E80" s="76" t="s">
        <v>0</v>
      </c>
      <c r="F80" s="57" t="str">
        <f>IFERROR(VLOOKUP(C80,$C$9:H79,4,FALSE),"")</f>
        <v/>
      </c>
      <c r="G80" s="61" t="s">
        <v>414</v>
      </c>
      <c r="H80" s="61" t="s">
        <v>414</v>
      </c>
      <c r="I80" s="61"/>
      <c r="J80" s="61" t="n">
        <v>0.0</v>
      </c>
      <c r="K80" s="61"/>
      <c r="L80" s="61" t="s">
        <v>445</v>
      </c>
      <c r="M80" s="42"/>
      <c r="N80" s="46" t="e">
        <f t="shared" si="5"/>
        <v>#DIV/0!</v>
      </c>
      <c r="O80" s="46" t="str">
        <f t="shared" si="6"/>
        <v/>
      </c>
      <c r="P80" s="46">
        <f t="shared" si="4"/>
        <v>1</v>
      </c>
      <c r="Q80" s="46"/>
      <c r="R80" s="45"/>
      <c r="S80" s="45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 ht="14.25">
      <c r="A81" s="67" t="s">
        <v>443</v>
      </c>
      <c r="B81" s="78" t="s">
        <v>487</v>
      </c>
      <c r="C81" s="67" t="s">
        <v>491</v>
      </c>
      <c r="D81" s="75" t="n">
        <v>700.0</v>
      </c>
      <c r="E81" s="76" t="s">
        <v>1</v>
      </c>
      <c r="F81" s="57" t="str">
        <f>IFERROR(VLOOKUP(C81,$C$9:H80,4,FALSE),"")</f>
        <v/>
      </c>
      <c r="G81" s="61" t="str">
        <f>IFERROR(VLOOKUP(C81,$C$9:G80,5,FALSE),"")</f>
        <v/>
      </c>
      <c r="H81" s="61" t="str">
        <f>IFERROR(VLOOKUP(C81,$C$9:H80,6,FALSE),"")</f>
        <v/>
      </c>
      <c r="I81" s="61" t="s">
        <v>492</v>
      </c>
      <c r="J81" s="61" t="n">
        <v>0.0</v>
      </c>
      <c r="K81" s="61"/>
      <c r="L81" s="61" t="s">
        <v>445</v>
      </c>
      <c r="M81" s="42"/>
      <c r="N81" s="46" t="e">
        <f t="shared" si="5"/>
        <v>#DIV/0!</v>
      </c>
      <c r="O81" s="46" t="str">
        <f t="shared" si="6"/>
        <v/>
      </c>
      <c r="P81" s="46">
        <f t="shared" si="4"/>
        <v>1</v>
      </c>
      <c r="Q81" s="46"/>
      <c r="R81" s="45"/>
      <c r="S81" s="45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 ht="14.25">
      <c r="A82" s="67" t="s">
        <v>430</v>
      </c>
      <c r="B82" s="78" t="s">
        <v>493</v>
      </c>
      <c r="C82" s="67" t="s">
        <v>494</v>
      </c>
      <c r="D82" s="75" t="n">
        <v>22.5</v>
      </c>
      <c r="E82" s="76" t="s">
        <v>0</v>
      </c>
      <c r="F82" s="57" t="str">
        <f>IFERROR(VLOOKUP(C82,$C$9:H81,4,FALSE),"")</f>
        <v/>
      </c>
      <c r="G82" s="61" t="s">
        <v>350</v>
      </c>
      <c r="H82" s="61" t="s">
        <v>404</v>
      </c>
      <c r="I82" s="61" t="s">
        <v>433</v>
      </c>
      <c r="J82" s="61" t="n">
        <v>22.5</v>
      </c>
      <c r="K82" s="61" t="s">
        <v>434</v>
      </c>
      <c r="L82" s="61" t="s">
        <v>435</v>
      </c>
      <c r="M82" s="42"/>
      <c r="N82" s="46" t="e">
        <f t="shared" si="5"/>
        <v>#DIV/0!</v>
      </c>
      <c r="O82" s="46" t="str">
        <f t="shared" si="6"/>
        <v/>
      </c>
      <c r="P82" s="46">
        <f t="shared" si="4"/>
        <v>1</v>
      </c>
      <c r="Q82" s="46"/>
      <c r="R82" s="45"/>
      <c r="S82" s="45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 ht="14.25">
      <c r="A83" s="67" t="s">
        <v>430</v>
      </c>
      <c r="B83" s="78" t="s">
        <v>493</v>
      </c>
      <c r="C83" s="67" t="s">
        <v>495</v>
      </c>
      <c r="D83" s="75" t="n">
        <v>24.9</v>
      </c>
      <c r="E83" s="76" t="s">
        <v>0</v>
      </c>
      <c r="F83" s="57" t="str">
        <f>IFERROR(VLOOKUP(C83,$C$9:H82,4,FALSE),"")</f>
        <v/>
      </c>
      <c r="G83" s="61" t="s">
        <v>352</v>
      </c>
      <c r="H83" s="61" t="s">
        <v>293</v>
      </c>
      <c r="I83" s="61" t="s">
        <v>433</v>
      </c>
      <c r="J83" s="61" t="n">
        <v>24.9</v>
      </c>
      <c r="K83" s="61" t="s">
        <v>434</v>
      </c>
      <c r="L83" s="61" t="s">
        <v>435</v>
      </c>
      <c r="M83" s="42"/>
      <c r="N83" s="46" t="e">
        <f t="shared" si="5"/>
        <v>#DIV/0!</v>
      </c>
      <c r="O83" s="46" t="str">
        <f t="shared" si="6"/>
        <v/>
      </c>
      <c r="P83" s="46">
        <f t="shared" si="4"/>
        <v>1</v>
      </c>
      <c r="Q83" s="46"/>
      <c r="R83" s="45"/>
      <c r="S83" s="45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 ht="14.25">
      <c r="A84" s="67" t="s">
        <v>430</v>
      </c>
      <c r="B84" s="78" t="s">
        <v>493</v>
      </c>
      <c r="C84" s="67" t="s">
        <v>439</v>
      </c>
      <c r="D84" s="75" t="n">
        <v>72.45</v>
      </c>
      <c r="E84" s="76" t="s">
        <v>0</v>
      </c>
      <c r="F84" s="57" t="str">
        <f>IFERROR(VLOOKUP(C84,$C$9:H83,4,FALSE),"")</f>
        <v/>
      </c>
      <c r="G84" s="61" t="s">
        <v>350</v>
      </c>
      <c r="H84" s="61" t="s">
        <v>404</v>
      </c>
      <c r="I84" s="61" t="s">
        <v>433</v>
      </c>
      <c r="J84" s="61" t="n">
        <v>72.45</v>
      </c>
      <c r="K84" s="61" t="s">
        <v>434</v>
      </c>
      <c r="L84" s="61" t="s">
        <v>435</v>
      </c>
      <c r="M84" s="42"/>
      <c r="N84" s="46" t="e">
        <f t="shared" si="5"/>
        <v>#DIV/0!</v>
      </c>
      <c r="O84" s="46" t="str">
        <f t="shared" si="6"/>
        <v/>
      </c>
      <c r="P84" s="46">
        <f t="shared" si="4"/>
        <v>1</v>
      </c>
      <c r="Q84" s="46"/>
      <c r="R84" s="45"/>
      <c r="S84" s="45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25">
      <c r="A85" s="67" t="s">
        <v>462</v>
      </c>
      <c r="B85" s="78" t="s">
        <v>493</v>
      </c>
      <c r="C85" s="67" t="s">
        <v>496</v>
      </c>
      <c r="D85" s="75" t="n">
        <v>50.0</v>
      </c>
      <c r="E85" s="76" t="s">
        <v>0</v>
      </c>
      <c r="F85" s="57" t="str">
        <f>IFERROR(VLOOKUP(C85,$C$9:H84,4,FALSE),"")</f>
        <v/>
      </c>
      <c r="G85" s="61" t="str">
        <f>IFERROR(VLOOKUP(C85,$C$9:G84,5,FALSE),"")</f>
        <v/>
      </c>
      <c r="H85" s="61" t="str">
        <f>IFERROR(VLOOKUP(C85,$C$9:H84,6,FALSE),"")</f>
        <v/>
      </c>
      <c r="I85" s="61" t="s">
        <v>464</v>
      </c>
      <c r="J85" s="61" t="n">
        <v>50.0</v>
      </c>
      <c r="K85" s="61" t="s">
        <v>434</v>
      </c>
      <c r="L85" s="61" t="s">
        <v>435</v>
      </c>
      <c r="M85" s="42"/>
      <c r="N85" s="46" t="e">
        <f t="shared" si="5"/>
        <v>#DIV/0!</v>
      </c>
      <c r="O85" s="46" t="str">
        <f t="shared" si="6"/>
        <v/>
      </c>
      <c r="P85" s="46">
        <f t="shared" si="4"/>
        <v>1</v>
      </c>
      <c r="Q85" s="46"/>
      <c r="R85" s="45"/>
      <c r="S85" s="45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 ht="14.25">
      <c r="A86" s="67" t="s">
        <v>443</v>
      </c>
      <c r="B86" s="78" t="s">
        <v>493</v>
      </c>
      <c r="C86" s="67" t="s">
        <v>497</v>
      </c>
      <c r="D86" s="75" t="n">
        <v>1749.0</v>
      </c>
      <c r="E86" s="76" t="s">
        <v>1</v>
      </c>
      <c r="F86" s="57" t="str">
        <f>IFERROR(VLOOKUP(C86,$C$9:H85,4,FALSE),"")</f>
        <v/>
      </c>
      <c r="G86" s="61" t="str">
        <f>IFERROR(VLOOKUP(C86,$C$9:G85,5,FALSE),"")</f>
        <v/>
      </c>
      <c r="H86" s="61" t="str">
        <f>IFERROR(VLOOKUP(C86,$C$9:H85,6,FALSE),"")</f>
        <v/>
      </c>
      <c r="I86" s="61" t="s">
        <v>490</v>
      </c>
      <c r="J86" s="61" t="n">
        <v>0.0</v>
      </c>
      <c r="K86" s="61"/>
      <c r="L86" s="61" t="s">
        <v>445</v>
      </c>
      <c r="M86" s="42"/>
      <c r="N86" s="46" t="e">
        <f t="shared" si="5"/>
        <v>#DIV/0!</v>
      </c>
      <c r="O86" s="46" t="str">
        <f t="shared" si="6"/>
        <v/>
      </c>
      <c r="P86" s="46">
        <f t="shared" si="4"/>
        <v>1</v>
      </c>
      <c r="Q86" s="46"/>
      <c r="R86" s="45"/>
      <c r="S86" s="45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 ht="14.25">
      <c r="A87" s="67" t="s">
        <v>443</v>
      </c>
      <c r="B87" s="78" t="s">
        <v>493</v>
      </c>
      <c r="C87" s="67" t="s">
        <v>497</v>
      </c>
      <c r="D87" s="75" t="n">
        <v>120.0</v>
      </c>
      <c r="E87" s="76" t="s">
        <v>1</v>
      </c>
      <c r="F87" s="57" t="str">
        <f>IFERROR(VLOOKUP(C87,$C$9:H86,4,FALSE),"")</f>
        <v/>
      </c>
      <c r="G87" s="61" t="str">
        <f>IFERROR(VLOOKUP(C87,$C$9:G86,5,FALSE),"")</f>
        <v/>
      </c>
      <c r="H87" s="61" t="str">
        <f>IFERROR(VLOOKUP(C87,$C$9:H86,6,FALSE),"")</f>
        <v/>
      </c>
      <c r="I87" s="61" t="s">
        <v>490</v>
      </c>
      <c r="J87" s="61" t="n">
        <v>0.0</v>
      </c>
      <c r="K87" s="61"/>
      <c r="L87" s="61" t="s">
        <v>445</v>
      </c>
      <c r="M87" s="42"/>
      <c r="N87" s="46" t="e">
        <f t="shared" si="5"/>
        <v>#DIV/0!</v>
      </c>
      <c r="O87" s="46" t="str">
        <f t="shared" si="6"/>
        <v/>
      </c>
      <c r="P87" s="46">
        <f t="shared" si="4"/>
        <v>1</v>
      </c>
      <c r="Q87" s="46"/>
      <c r="R87" s="45"/>
      <c r="S87" s="45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 ht="14.25">
      <c r="A88" s="67" t="s">
        <v>430</v>
      </c>
      <c r="B88" s="78" t="s">
        <v>498</v>
      </c>
      <c r="C88" s="77" t="s">
        <v>439</v>
      </c>
      <c r="D88" s="75" t="n">
        <v>68.25</v>
      </c>
      <c r="E88" s="76" t="s">
        <v>0</v>
      </c>
      <c r="F88" s="57" t="str">
        <f>IFERROR(VLOOKUP(C88,$C$9:H87,4,FALSE),"")</f>
        <v/>
      </c>
      <c r="G88" s="61" t="s">
        <v>350</v>
      </c>
      <c r="H88" s="61" t="s">
        <v>404</v>
      </c>
      <c r="I88" s="61" t="s">
        <v>433</v>
      </c>
      <c r="J88" s="61" t="n">
        <v>68.25</v>
      </c>
      <c r="K88" s="61" t="s">
        <v>434</v>
      </c>
      <c r="L88" s="61" t="s">
        <v>435</v>
      </c>
      <c r="M88" s="42"/>
      <c r="N88" s="46" t="e">
        <f t="shared" si="5"/>
        <v>#DIV/0!</v>
      </c>
      <c r="O88" s="46" t="str">
        <f t="shared" si="6"/>
        <v/>
      </c>
      <c r="P88" s="46">
        <f t="shared" si="4"/>
        <v>1</v>
      </c>
      <c r="Q88" s="46"/>
      <c r="R88" s="45"/>
      <c r="S88" s="45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 spans="1:31" ht="14.25">
      <c r="A89" s="67" t="s">
        <v>430</v>
      </c>
      <c r="B89" s="78" t="s">
        <v>498</v>
      </c>
      <c r="C89" s="67" t="s">
        <v>439</v>
      </c>
      <c r="D89" s="75" t="n">
        <v>154.7</v>
      </c>
      <c r="E89" s="76" t="s">
        <v>0</v>
      </c>
      <c r="F89" s="57" t="str">
        <f>IFERROR(VLOOKUP(C89,$C$9:H88,4,FALSE),"")</f>
        <v/>
      </c>
      <c r="G89" s="61" t="s">
        <v>350</v>
      </c>
      <c r="H89" s="61" t="s">
        <v>404</v>
      </c>
      <c r="I89" s="61" t="s">
        <v>433</v>
      </c>
      <c r="J89" s="61" t="n">
        <v>154.7</v>
      </c>
      <c r="K89" s="61" t="s">
        <v>434</v>
      </c>
      <c r="L89" s="61" t="s">
        <v>435</v>
      </c>
      <c r="M89" s="42"/>
      <c r="N89" s="46" t="e">
        <f t="shared" si="5"/>
        <v>#DIV/0!</v>
      </c>
      <c r="O89" s="46" t="str">
        <f t="shared" si="6"/>
        <v/>
      </c>
      <c r="P89" s="46">
        <f t="shared" si="4"/>
        <v>1</v>
      </c>
      <c r="Q89" s="46"/>
      <c r="R89" s="45"/>
      <c r="S89" s="45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 ht="14.25">
      <c r="A90" s="67" t="s">
        <v>430</v>
      </c>
      <c r="B90" s="78" t="s">
        <v>498</v>
      </c>
      <c r="C90" s="67" t="s">
        <v>499</v>
      </c>
      <c r="D90" s="75" t="n">
        <v>78.07</v>
      </c>
      <c r="E90" s="76" t="s">
        <v>0</v>
      </c>
      <c r="F90" s="57" t="str">
        <f>IFERROR(VLOOKUP(C90,$C$9:H89,4,FALSE),"")</f>
        <v/>
      </c>
      <c r="G90" s="61" t="str">
        <f>IFERROR(VLOOKUP(C90,$C$9:G89,5,FALSE),"")</f>
        <v/>
      </c>
      <c r="H90" s="61" t="str">
        <f>IFERROR(VLOOKUP(C90,$C$9:H89,6,FALSE),"")</f>
        <v/>
      </c>
      <c r="I90" s="61" t="s">
        <v>433</v>
      </c>
      <c r="J90" s="61" t="n">
        <v>78.07</v>
      </c>
      <c r="K90" s="61" t="s">
        <v>434</v>
      </c>
      <c r="L90" s="61" t="s">
        <v>435</v>
      </c>
      <c r="M90" s="42"/>
      <c r="N90" s="46" t="e">
        <f t="shared" si="5"/>
        <v>#DIV/0!</v>
      </c>
      <c r="O90" s="46" t="str">
        <f t="shared" si="6"/>
        <v/>
      </c>
      <c r="P90" s="46">
        <f t="shared" si="4"/>
        <v>1</v>
      </c>
      <c r="Q90" s="46"/>
      <c r="R90" s="45"/>
      <c r="S90" s="45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 ht="14.25">
      <c r="A91" s="67" t="s">
        <v>430</v>
      </c>
      <c r="B91" s="78" t="s">
        <v>498</v>
      </c>
      <c r="C91" s="67" t="s">
        <v>440</v>
      </c>
      <c r="D91" s="75" t="n">
        <v>90.0</v>
      </c>
      <c r="E91" s="76" t="s">
        <v>0</v>
      </c>
      <c r="F91" s="57" t="str">
        <f>IFERROR(VLOOKUP(C91,$C$9:H90,4,FALSE),"")</f>
        <v/>
      </c>
      <c r="G91" s="61" t="str">
        <f>IFERROR(VLOOKUP(C91,$C$9:G90,5,FALSE),"")</f>
        <v/>
      </c>
      <c r="H91" s="61" t="str">
        <f>IFERROR(VLOOKUP(C91,$C$9:H90,6,FALSE),"")</f>
        <v/>
      </c>
      <c r="I91" s="61" t="s">
        <v>433</v>
      </c>
      <c r="J91" s="61" t="n">
        <v>90.0</v>
      </c>
      <c r="K91" s="61" t="s">
        <v>434</v>
      </c>
      <c r="L91" s="61" t="s">
        <v>435</v>
      </c>
      <c r="M91" s="42"/>
      <c r="N91" s="46" t="e">
        <f t="shared" si="5"/>
        <v>#DIV/0!</v>
      </c>
      <c r="O91" s="46" t="str">
        <f t="shared" si="6"/>
        <v/>
      </c>
      <c r="P91" s="46">
        <f t="shared" si="4"/>
        <v>1</v>
      </c>
      <c r="Q91" s="46"/>
      <c r="R91" s="45"/>
      <c r="S91" s="45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25">
      <c r="A92" s="67" t="s">
        <v>430</v>
      </c>
      <c r="B92" s="78" t="s">
        <v>500</v>
      </c>
      <c r="C92" s="67" t="s">
        <v>475</v>
      </c>
      <c r="D92" s="75" t="n">
        <v>14.0</v>
      </c>
      <c r="E92" s="76" t="s">
        <v>0</v>
      </c>
      <c r="F92" s="57" t="str">
        <f>IFERROR(VLOOKUP(C92,$C$9:H91,4,FALSE),"")</f>
        <v/>
      </c>
      <c r="G92" s="61" t="str">
        <f>IFERROR(VLOOKUP(C92,$C$9:G91,5,FALSE),"")</f>
        <v/>
      </c>
      <c r="H92" s="61" t="str">
        <f>IFERROR(VLOOKUP(C92,$C$9:H91,6,FALSE),"")</f>
        <v/>
      </c>
      <c r="I92" s="61" t="s">
        <v>433</v>
      </c>
      <c r="J92" s="61" t="n">
        <v>14.0</v>
      </c>
      <c r="K92" s="61" t="s">
        <v>434</v>
      </c>
      <c r="L92" s="61" t="s">
        <v>435</v>
      </c>
      <c r="M92" s="42"/>
      <c r="N92" s="46" t="e">
        <f t="shared" si="5"/>
        <v>#DIV/0!</v>
      </c>
      <c r="O92" s="46" t="str">
        <f t="shared" si="6"/>
        <v/>
      </c>
      <c r="P92" s="46">
        <f t="shared" si="4"/>
        <v>1</v>
      </c>
      <c r="Q92" s="46"/>
      <c r="R92" s="45"/>
      <c r="S92" s="45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 ht="14.25">
      <c r="A93" s="67" t="s">
        <v>430</v>
      </c>
      <c r="B93" s="78" t="s">
        <v>500</v>
      </c>
      <c r="C93" s="67" t="s">
        <v>501</v>
      </c>
      <c r="D93" s="75" t="n">
        <v>124.0</v>
      </c>
      <c r="E93" s="76" t="s">
        <v>0</v>
      </c>
      <c r="F93" s="57" t="str">
        <f>IFERROR(VLOOKUP(C93,$C$9:H92,4,FALSE),"")</f>
        <v/>
      </c>
      <c r="G93" s="61" t="str">
        <f>IFERROR(VLOOKUP(C93,$C$9:G92,5,FALSE),"")</f>
        <v/>
      </c>
      <c r="H93" s="61" t="str">
        <f>IFERROR(VLOOKUP(C93,$C$9:H92,6,FALSE),"")</f>
        <v/>
      </c>
      <c r="I93" s="61" t="s">
        <v>433</v>
      </c>
      <c r="J93" s="61" t="n">
        <v>124.0</v>
      </c>
      <c r="K93" s="61" t="s">
        <v>434</v>
      </c>
      <c r="L93" s="61" t="s">
        <v>435</v>
      </c>
      <c r="M93" s="42"/>
      <c r="N93" s="46" t="e">
        <f t="shared" si="5"/>
        <v>#DIV/0!</v>
      </c>
      <c r="O93" s="46" t="str">
        <f t="shared" si="6"/>
        <v/>
      </c>
      <c r="P93" s="46">
        <f t="shared" si="4"/>
        <v>1</v>
      </c>
      <c r="Q93" s="46"/>
      <c r="R93" s="45"/>
      <c r="S93" s="45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 ht="14.25">
      <c r="A94" s="67" t="s">
        <v>430</v>
      </c>
      <c r="B94" s="78" t="s">
        <v>500</v>
      </c>
      <c r="C94" s="67" t="s">
        <v>439</v>
      </c>
      <c r="D94" s="75" t="n">
        <v>48.45</v>
      </c>
      <c r="E94" s="76" t="s">
        <v>0</v>
      </c>
      <c r="F94" s="57" t="str">
        <f>IFERROR(VLOOKUP(C94,$C$9:H93,4,FALSE),"")</f>
        <v/>
      </c>
      <c r="G94" s="61" t="s">
        <v>350</v>
      </c>
      <c r="H94" s="61" t="s">
        <v>404</v>
      </c>
      <c r="I94" s="61" t="s">
        <v>433</v>
      </c>
      <c r="J94" s="61" t="n">
        <v>48.45</v>
      </c>
      <c r="K94" s="61" t="s">
        <v>434</v>
      </c>
      <c r="L94" s="61" t="s">
        <v>435</v>
      </c>
      <c r="M94" s="42"/>
      <c r="N94" s="46" t="e">
        <f t="shared" si="5"/>
        <v>#DIV/0!</v>
      </c>
      <c r="O94" s="46" t="str">
        <f t="shared" si="6"/>
        <v/>
      </c>
      <c r="P94" s="46">
        <f t="shared" si="4"/>
        <v>1</v>
      </c>
      <c r="Q94" s="46"/>
      <c r="R94" s="45"/>
      <c r="S94" s="45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 ht="14.25">
      <c r="A95" s="67" t="s">
        <v>430</v>
      </c>
      <c r="B95" s="78" t="s">
        <v>500</v>
      </c>
      <c r="C95" s="67" t="s">
        <v>439</v>
      </c>
      <c r="D95" s="75" t="n">
        <v>100.8</v>
      </c>
      <c r="E95" s="76" t="s">
        <v>0</v>
      </c>
      <c r="F95" s="57" t="str">
        <f>IFERROR(VLOOKUP(C95,$C$9:H94,4,FALSE),"")</f>
        <v/>
      </c>
      <c r="G95" s="61" t="s">
        <v>350</v>
      </c>
      <c r="H95" s="61" t="s">
        <v>404</v>
      </c>
      <c r="I95" s="61" t="s">
        <v>433</v>
      </c>
      <c r="J95" s="61" t="n">
        <v>100.8</v>
      </c>
      <c r="K95" s="61" t="s">
        <v>434</v>
      </c>
      <c r="L95" s="61" t="s">
        <v>435</v>
      </c>
      <c r="M95" s="42"/>
      <c r="N95" s="46" t="e">
        <f t="shared" si="5"/>
        <v>#DIV/0!</v>
      </c>
      <c r="O95" s="46" t="str">
        <f t="shared" si="6"/>
        <v/>
      </c>
      <c r="P95" s="46">
        <f t="shared" si="4"/>
        <v>1</v>
      </c>
      <c r="Q95" s="46"/>
      <c r="R95" s="45"/>
      <c r="S95" s="45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 ht="14.25">
      <c r="A96" s="67" t="s">
        <v>430</v>
      </c>
      <c r="B96" s="78" t="s">
        <v>500</v>
      </c>
      <c r="C96" s="77" t="s">
        <v>439</v>
      </c>
      <c r="D96" s="75" t="n">
        <v>48.0</v>
      </c>
      <c r="E96" s="76" t="s">
        <v>0</v>
      </c>
      <c r="F96" s="57" t="str">
        <f>IFERROR(VLOOKUP(C96,$C$9:H95,4,FALSE),"")</f>
        <v/>
      </c>
      <c r="G96" s="61" t="s">
        <v>350</v>
      </c>
      <c r="H96" s="61" t="s">
        <v>404</v>
      </c>
      <c r="I96" s="61" t="s">
        <v>433</v>
      </c>
      <c r="J96" s="61" t="n">
        <v>48.0</v>
      </c>
      <c r="K96" s="61" t="s">
        <v>434</v>
      </c>
      <c r="L96" s="61" t="s">
        <v>435</v>
      </c>
      <c r="M96" s="42"/>
      <c r="N96" s="46" t="e">
        <f t="shared" si="5"/>
        <v>#DIV/0!</v>
      </c>
      <c r="O96" s="46" t="str">
        <f t="shared" si="6"/>
        <v/>
      </c>
      <c r="P96" s="46">
        <f t="shared" si="4"/>
        <v>1</v>
      </c>
      <c r="Q96" s="46"/>
      <c r="R96" s="45"/>
      <c r="S96" s="45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 ht="14.25">
      <c r="A97" s="67" t="s">
        <v>430</v>
      </c>
      <c r="B97" s="78" t="s">
        <v>500</v>
      </c>
      <c r="C97" s="67" t="s">
        <v>441</v>
      </c>
      <c r="D97" s="75" t="n">
        <v>20.0</v>
      </c>
      <c r="E97" s="76" t="s">
        <v>0</v>
      </c>
      <c r="F97" s="57" t="str">
        <f>IFERROR(VLOOKUP(C97,$C$9:H96,4,FALSE),"")</f>
        <v/>
      </c>
      <c r="G97" s="61" t="str">
        <f>IFERROR(VLOOKUP(C97,$C$9:G96,5,FALSE),"")</f>
        <v/>
      </c>
      <c r="H97" s="61" t="str">
        <f>IFERROR(VLOOKUP(C97,$C$9:H96,6,FALSE),"")</f>
        <v/>
      </c>
      <c r="I97" s="61" t="s">
        <v>433</v>
      </c>
      <c r="J97" s="61" t="n">
        <v>20.0</v>
      </c>
      <c r="K97" s="61" t="s">
        <v>434</v>
      </c>
      <c r="L97" s="61" t="s">
        <v>435</v>
      </c>
      <c r="M97" s="42"/>
      <c r="N97" s="46" t="e">
        <f t="shared" si="5"/>
        <v>#DIV/0!</v>
      </c>
      <c r="O97" s="46" t="str">
        <f t="shared" si="6"/>
        <v/>
      </c>
      <c r="P97" s="46">
        <f t="shared" si="4"/>
        <v>1</v>
      </c>
      <c r="Q97" s="46"/>
      <c r="R97" s="45"/>
      <c r="S97" s="45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 ht="14.25">
      <c r="A98" s="67" t="s">
        <v>502</v>
      </c>
      <c r="B98" s="78" t="s">
        <v>500</v>
      </c>
      <c r="C98" s="67" t="s">
        <v>503</v>
      </c>
      <c r="D98" s="75" t="n">
        <v>207.9</v>
      </c>
      <c r="E98" s="76" t="s">
        <v>0</v>
      </c>
      <c r="F98" s="57" t="str">
        <f>IFERROR(VLOOKUP(C98,$C$9:H97,4,FALSE),"")</f>
        <v/>
      </c>
      <c r="G98" s="61" t="str">
        <f>IFERROR(VLOOKUP(C98,$C$9:G97,5,FALSE),"")</f>
        <v/>
      </c>
      <c r="H98" s="61" t="str">
        <f>IFERROR(VLOOKUP(C98,$C$9:H97,6,FALSE),"")</f>
        <v/>
      </c>
      <c r="I98" s="61" t="s">
        <v>433</v>
      </c>
      <c r="J98" s="61" t="n">
        <v>207.9</v>
      </c>
      <c r="K98" s="61" t="s">
        <v>434</v>
      </c>
      <c r="L98" s="61" t="s">
        <v>435</v>
      </c>
      <c r="M98" s="42"/>
      <c r="N98" s="46" t="e">
        <f t="shared" si="5"/>
        <v>#DIV/0!</v>
      </c>
      <c r="O98" s="46" t="str">
        <f t="shared" si="6"/>
        <v/>
      </c>
      <c r="P98" s="46">
        <f t="shared" si="4"/>
        <v>1</v>
      </c>
      <c r="Q98" s="46"/>
      <c r="R98" s="45"/>
      <c r="S98" s="45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 ht="14.25">
      <c r="A99" s="67" t="s">
        <v>443</v>
      </c>
      <c r="B99" s="78" t="s">
        <v>500</v>
      </c>
      <c r="C99" s="67" t="s">
        <v>452</v>
      </c>
      <c r="D99" s="75" t="n">
        <v>50.0</v>
      </c>
      <c r="E99" s="76" t="s">
        <v>0</v>
      </c>
      <c r="F99" s="57" t="str">
        <f>IFERROR(VLOOKUP(C99,$C$9:H98,4,FALSE),"")</f>
        <v/>
      </c>
      <c r="G99" s="61" t="s">
        <v>414</v>
      </c>
      <c r="H99" s="61" t="s">
        <v>414</v>
      </c>
      <c r="I99" s="61"/>
      <c r="J99" s="61" t="n">
        <v>0.0</v>
      </c>
      <c r="K99" s="61"/>
      <c r="L99" s="61" t="s">
        <v>445</v>
      </c>
      <c r="M99" s="42"/>
      <c r="N99" s="46" t="e">
        <f t="shared" si="5"/>
        <v>#DIV/0!</v>
      </c>
      <c r="O99" s="46" t="str">
        <f t="shared" si="6"/>
        <v/>
      </c>
      <c r="P99" s="46">
        <f t="shared" si="4"/>
        <v>1</v>
      </c>
      <c r="Q99" s="46"/>
      <c r="R99" s="45"/>
      <c r="S99" s="45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 ht="14.25">
      <c r="A100" s="67" t="s">
        <v>430</v>
      </c>
      <c r="B100" s="78" t="s">
        <v>504</v>
      </c>
      <c r="C100" s="67" t="s">
        <v>505</v>
      </c>
      <c r="D100" s="75" t="n">
        <v>250.0</v>
      </c>
      <c r="E100" s="76" t="s">
        <v>0</v>
      </c>
      <c r="F100" s="57" t="str">
        <f>IFERROR(VLOOKUP(C100,$C$9:H99,4,FALSE),"")</f>
        <v/>
      </c>
      <c r="G100" s="61" t="str">
        <f>IFERROR(VLOOKUP(C100,$C$9:G99,5,FALSE),"")</f>
        <v/>
      </c>
      <c r="H100" s="61" t="str">
        <f>IFERROR(VLOOKUP(C100,$C$9:H99,6,FALSE),"")</f>
        <v/>
      </c>
      <c r="I100" s="61" t="s">
        <v>433</v>
      </c>
      <c r="J100" s="61" t="n">
        <v>250.0</v>
      </c>
      <c r="K100" s="61" t="s">
        <v>434</v>
      </c>
      <c r="L100" s="61" t="s">
        <v>435</v>
      </c>
      <c r="M100" s="42"/>
      <c r="N100" s="46" t="e">
        <f t="shared" si="5"/>
        <v>#DIV/0!</v>
      </c>
      <c r="O100" s="46" t="str">
        <f t="shared" si="6"/>
        <v/>
      </c>
      <c r="P100" s="46">
        <f t="shared" si="4"/>
        <v>1</v>
      </c>
      <c r="Q100" s="46"/>
      <c r="R100" s="45"/>
      <c r="S100" s="45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 ht="14.25">
      <c r="A101" s="67" t="s">
        <v>430</v>
      </c>
      <c r="B101" s="78" t="s">
        <v>504</v>
      </c>
      <c r="C101" s="67" t="s">
        <v>439</v>
      </c>
      <c r="D101" s="75" t="n">
        <v>94.5</v>
      </c>
      <c r="E101" s="76" t="s">
        <v>0</v>
      </c>
      <c r="F101" s="57" t="str">
        <f>IFERROR(VLOOKUP(C101,$C$9:H100,4,FALSE),"")</f>
        <v/>
      </c>
      <c r="G101" s="61" t="s">
        <v>350</v>
      </c>
      <c r="H101" s="61" t="s">
        <v>404</v>
      </c>
      <c r="I101" s="61" t="s">
        <v>433</v>
      </c>
      <c r="J101" s="61" t="n">
        <v>94.5</v>
      </c>
      <c r="K101" s="61" t="s">
        <v>434</v>
      </c>
      <c r="L101" s="61" t="s">
        <v>435</v>
      </c>
      <c r="M101" s="42"/>
      <c r="N101" s="46" t="e">
        <f t="shared" si="5"/>
        <v>#DIV/0!</v>
      </c>
      <c r="O101" s="46" t="str">
        <f t="shared" si="6"/>
        <v/>
      </c>
      <c r="P101" s="46">
        <f t="shared" si="4"/>
        <v>1</v>
      </c>
      <c r="Q101" s="46"/>
      <c r="R101" s="45"/>
      <c r="S101" s="45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 ht="14.25">
      <c r="A102" s="67" t="s">
        <v>443</v>
      </c>
      <c r="B102" s="78" t="s">
        <v>504</v>
      </c>
      <c r="C102" s="67" t="s">
        <v>452</v>
      </c>
      <c r="D102" s="75" t="n">
        <v>207.9</v>
      </c>
      <c r="E102" s="76" t="s">
        <v>0</v>
      </c>
      <c r="F102" s="57" t="str">
        <f>IFERROR(VLOOKUP(C102,$C$9:H101,4,FALSE),"")</f>
        <v/>
      </c>
      <c r="G102" s="61" t="s">
        <v>414</v>
      </c>
      <c r="H102" s="61" t="s">
        <v>414</v>
      </c>
      <c r="I102" s="61"/>
      <c r="J102" s="61" t="n">
        <v>0.0</v>
      </c>
      <c r="K102" s="61"/>
      <c r="L102" s="61" t="s">
        <v>445</v>
      </c>
      <c r="M102" s="42"/>
      <c r="N102" s="46" t="e">
        <f t="shared" si="5"/>
        <v>#DIV/0!</v>
      </c>
      <c r="O102" s="46" t="str">
        <f t="shared" si="6"/>
        <v/>
      </c>
      <c r="P102" s="46">
        <f t="shared" si="4"/>
        <v>1</v>
      </c>
      <c r="Q102" s="46"/>
      <c r="R102" s="45"/>
      <c r="S102" s="45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 ht="14.25">
      <c r="A103" s="67" t="s">
        <v>443</v>
      </c>
      <c r="B103" s="78" t="s">
        <v>504</v>
      </c>
      <c r="C103" s="67" t="s">
        <v>506</v>
      </c>
      <c r="D103" s="75" t="n">
        <v>50.0</v>
      </c>
      <c r="E103" s="76" t="s">
        <v>0</v>
      </c>
      <c r="F103" s="57" t="str">
        <f>IFERROR(VLOOKUP(C103,$C$9:H102,4,FALSE),"")</f>
        <v/>
      </c>
      <c r="G103" s="61" t="str">
        <f>IFERROR(VLOOKUP(C103,$C$9:G102,5,FALSE),"")</f>
        <v/>
      </c>
      <c r="H103" s="61" t="str">
        <f>IFERROR(VLOOKUP(C103,$C$9:H102,6,FALSE),"")</f>
        <v/>
      </c>
      <c r="I103" s="61"/>
      <c r="J103" s="61" t="n">
        <v>0.0</v>
      </c>
      <c r="K103" s="61"/>
      <c r="L103" s="61" t="s">
        <v>445</v>
      </c>
      <c r="M103" s="42"/>
      <c r="N103" s="46" t="e">
        <f t="shared" si="5"/>
        <v>#DIV/0!</v>
      </c>
      <c r="O103" s="46" t="str">
        <f t="shared" si="6"/>
        <v/>
      </c>
      <c r="P103" s="46">
        <f t="shared" si="4"/>
        <v>1</v>
      </c>
      <c r="Q103" s="46"/>
      <c r="R103" s="45"/>
      <c r="S103" s="45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 ht="14.25">
      <c r="A104" s="67" t="s">
        <v>430</v>
      </c>
      <c r="B104" s="78" t="s">
        <v>507</v>
      </c>
      <c r="C104" s="67" t="s">
        <v>456</v>
      </c>
      <c r="D104" s="75" t="n">
        <v>30.0</v>
      </c>
      <c r="E104" s="76" t="s">
        <v>0</v>
      </c>
      <c r="F104" s="57" t="str">
        <f>IFERROR(VLOOKUP(C104,$C$9:H103,4,FALSE),"")</f>
        <v/>
      </c>
      <c r="G104" s="61" t="str">
        <f>IFERROR(VLOOKUP(C104,$C$9:G103,5,FALSE),"")</f>
        <v/>
      </c>
      <c r="H104" s="61" t="str">
        <f>IFERROR(VLOOKUP(C104,$C$9:H103,6,FALSE),"")</f>
        <v/>
      </c>
      <c r="I104" s="61" t="s">
        <v>433</v>
      </c>
      <c r="J104" s="61" t="n">
        <v>30.0</v>
      </c>
      <c r="K104" s="61" t="s">
        <v>434</v>
      </c>
      <c r="L104" s="61" t="s">
        <v>435</v>
      </c>
      <c r="M104" s="42"/>
      <c r="N104" s="46" t="e">
        <f t="shared" si="5"/>
        <v>#DIV/0!</v>
      </c>
      <c r="O104" s="46" t="str">
        <f t="shared" si="6"/>
        <v/>
      </c>
      <c r="P104" s="46">
        <f t="shared" si="4"/>
        <v>1</v>
      </c>
      <c r="Q104" s="46"/>
      <c r="R104" s="45"/>
      <c r="S104" s="45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25">
      <c r="A105" s="67" t="s">
        <v>430</v>
      </c>
      <c r="B105" s="78" t="s">
        <v>507</v>
      </c>
      <c r="C105" s="77" t="s">
        <v>456</v>
      </c>
      <c r="D105" s="75" t="n">
        <v>-30.0</v>
      </c>
      <c r="E105" s="76" t="s">
        <v>0</v>
      </c>
      <c r="F105" s="57" t="str">
        <f>IFERROR(VLOOKUP(C105,$C$9:H104,4,FALSE),"")</f>
        <v/>
      </c>
      <c r="G105" s="61" t="str">
        <f>IFERROR(VLOOKUP(C105,$C$9:G104,5,FALSE),"")</f>
        <v/>
      </c>
      <c r="H105" s="61" t="str">
        <f>IFERROR(VLOOKUP(C105,$C$9:H104,6,FALSE),"")</f>
        <v/>
      </c>
      <c r="I105" s="61" t="s">
        <v>479</v>
      </c>
      <c r="J105" s="61" t="n">
        <v>30.0</v>
      </c>
      <c r="K105" s="61" t="s">
        <v>434</v>
      </c>
      <c r="L105" s="61" t="s">
        <v>435</v>
      </c>
      <c r="M105" s="42"/>
      <c r="N105" s="46" t="e">
        <f t="shared" si="5"/>
        <v>#DIV/0!</v>
      </c>
      <c r="O105" s="46" t="str">
        <f t="shared" si="6"/>
        <v/>
      </c>
      <c r="P105" s="46">
        <f t="shared" si="4"/>
        <v>1</v>
      </c>
      <c r="Q105" s="46"/>
      <c r="R105" s="45"/>
      <c r="S105" s="45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 ht="14.25">
      <c r="A106" s="67" t="s">
        <v>430</v>
      </c>
      <c r="B106" s="78" t="s">
        <v>507</v>
      </c>
      <c r="C106" s="67" t="s">
        <v>508</v>
      </c>
      <c r="D106" s="75" t="n">
        <v>136.0</v>
      </c>
      <c r="E106" s="76" t="s">
        <v>0</v>
      </c>
      <c r="F106" s="57" t="str">
        <f>IFERROR(VLOOKUP(C106,$C$9:H105,4,FALSE),"")</f>
        <v/>
      </c>
      <c r="G106" s="61" t="s">
        <v>354</v>
      </c>
      <c r="H106" s="61" t="s">
        <v>429</v>
      </c>
      <c r="I106" s="61" t="s">
        <v>433</v>
      </c>
      <c r="J106" s="61" t="n">
        <v>136.0</v>
      </c>
      <c r="K106" s="61" t="s">
        <v>434</v>
      </c>
      <c r="L106" s="61" t="s">
        <v>435</v>
      </c>
      <c r="M106" s="42"/>
      <c r="N106" s="46" t="e">
        <f t="shared" si="5"/>
        <v>#DIV/0!</v>
      </c>
      <c r="O106" s="46" t="str">
        <f t="shared" si="6"/>
        <v/>
      </c>
      <c r="P106" s="46">
        <f t="shared" si="4"/>
        <v>1</v>
      </c>
      <c r="Q106" s="46"/>
      <c r="R106" s="45"/>
      <c r="S106" s="45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25">
      <c r="A107" s="67" t="s">
        <v>430</v>
      </c>
      <c r="B107" s="78" t="s">
        <v>507</v>
      </c>
      <c r="C107" s="67" t="s">
        <v>439</v>
      </c>
      <c r="D107" s="75" t="n">
        <v>94.45</v>
      </c>
      <c r="E107" s="76" t="s">
        <v>0</v>
      </c>
      <c r="F107" s="57" t="str">
        <f>IFERROR(VLOOKUP(C107,$C$9:H106,4,FALSE),"")</f>
        <v/>
      </c>
      <c r="G107" s="61" t="s">
        <v>350</v>
      </c>
      <c r="H107" s="61" t="s">
        <v>404</v>
      </c>
      <c r="I107" s="61" t="s">
        <v>433</v>
      </c>
      <c r="J107" s="61" t="n">
        <v>94.45</v>
      </c>
      <c r="K107" s="61" t="s">
        <v>434</v>
      </c>
      <c r="L107" s="61" t="s">
        <v>435</v>
      </c>
      <c r="M107" s="42"/>
      <c r="N107" s="46" t="e">
        <f t="shared" si="5"/>
        <v>#DIV/0!</v>
      </c>
      <c r="O107" s="46" t="str">
        <f t="shared" si="6"/>
        <v/>
      </c>
      <c r="P107" s="46">
        <f t="shared" si="4"/>
        <v>1</v>
      </c>
      <c r="Q107" s="46"/>
      <c r="R107" s="45"/>
      <c r="S107" s="45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 ht="14.25">
      <c r="A108" s="67" t="s">
        <v>430</v>
      </c>
      <c r="B108" s="78" t="s">
        <v>507</v>
      </c>
      <c r="C108" s="67" t="s">
        <v>441</v>
      </c>
      <c r="D108" s="75" t="n">
        <v>14.0</v>
      </c>
      <c r="E108" s="76" t="s">
        <v>0</v>
      </c>
      <c r="F108" s="57" t="str">
        <f>IFERROR(VLOOKUP(C108,$C$9:H107,4,FALSE),"")</f>
        <v/>
      </c>
      <c r="G108" s="61" t="str">
        <f>IFERROR(VLOOKUP(C108,$C$9:G107,5,FALSE),"")</f>
        <v/>
      </c>
      <c r="H108" s="61" t="str">
        <f>IFERROR(VLOOKUP(C108,$C$9:H107,6,FALSE),"")</f>
        <v/>
      </c>
      <c r="I108" s="61" t="s">
        <v>433</v>
      </c>
      <c r="J108" s="61" t="n">
        <v>14.0</v>
      </c>
      <c r="K108" s="61" t="s">
        <v>434</v>
      </c>
      <c r="L108" s="61" t="s">
        <v>435</v>
      </c>
      <c r="M108" s="42"/>
      <c r="N108" s="46" t="e">
        <f t="shared" si="5"/>
        <v>#DIV/0!</v>
      </c>
      <c r="O108" s="46" t="str">
        <f t="shared" si="6"/>
        <v/>
      </c>
      <c r="P108" s="46">
        <f t="shared" si="4"/>
        <v>1</v>
      </c>
      <c r="Q108" s="46"/>
      <c r="R108" s="45"/>
      <c r="S108" s="45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 ht="14.25">
      <c r="A109" s="67" t="s">
        <v>443</v>
      </c>
      <c r="B109" s="78" t="s">
        <v>507</v>
      </c>
      <c r="C109" s="77" t="s">
        <v>453</v>
      </c>
      <c r="D109" s="75" t="n">
        <v>200.0</v>
      </c>
      <c r="E109" s="76" t="s">
        <v>0</v>
      </c>
      <c r="F109" s="57" t="str">
        <f>IFERROR(VLOOKUP(C109,$C$9:H108,4,FALSE),"")</f>
        <v/>
      </c>
      <c r="G109" s="61" t="str">
        <f>IFERROR(VLOOKUP(C109,$C$9:G108,5,FALSE),"")</f>
        <v/>
      </c>
      <c r="H109" s="61" t="str">
        <f>IFERROR(VLOOKUP(C109,$C$9:H108,6,FALSE),"")</f>
        <v/>
      </c>
      <c r="I109" s="61"/>
      <c r="J109" s="61" t="n">
        <v>0.0</v>
      </c>
      <c r="K109" s="61"/>
      <c r="L109" s="61" t="s">
        <v>445</v>
      </c>
      <c r="M109" s="42"/>
      <c r="N109" s="46" t="e">
        <f t="shared" si="5"/>
        <v>#DIV/0!</v>
      </c>
      <c r="O109" s="46" t="str">
        <f t="shared" si="6"/>
        <v/>
      </c>
      <c r="P109" s="46">
        <f t="shared" si="4"/>
        <v>1</v>
      </c>
      <c r="Q109" s="46"/>
      <c r="R109" s="45"/>
      <c r="S109" s="45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 ht="14.25">
      <c r="A110" s="67" t="s">
        <v>430</v>
      </c>
      <c r="B110" s="68" t="s">
        <v>509</v>
      </c>
      <c r="C110" s="67" t="s">
        <v>510</v>
      </c>
      <c r="D110" s="75" t="n">
        <v>30.0</v>
      </c>
      <c r="E110" s="76" t="s">
        <v>0</v>
      </c>
      <c r="F110" s="57" t="str">
        <f>IFERROR(VLOOKUP(C110,$C$9:H109,4,FALSE),"")</f>
        <v/>
      </c>
      <c r="G110" s="61" t="s">
        <v>345</v>
      </c>
      <c r="H110" s="61" t="s">
        <v>281</v>
      </c>
      <c r="I110" s="61" t="s">
        <v>433</v>
      </c>
      <c r="J110" s="61" t="n">
        <v>30.0</v>
      </c>
      <c r="K110" s="61" t="s">
        <v>434</v>
      </c>
      <c r="L110" s="61" t="s">
        <v>435</v>
      </c>
      <c r="M110" s="42"/>
      <c r="N110" s="46" t="e">
        <f t="shared" si="5"/>
        <v>#DIV/0!</v>
      </c>
      <c r="O110" s="46" t="str">
        <f t="shared" si="6"/>
        <v/>
      </c>
      <c r="P110" s="46">
        <f t="shared" si="4"/>
        <v>1</v>
      </c>
      <c r="Q110" s="46"/>
      <c r="R110" s="45"/>
      <c r="S110" s="45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 ht="14.25">
      <c r="A111" s="67" t="s">
        <v>430</v>
      </c>
      <c r="B111" s="68" t="s">
        <v>509</v>
      </c>
      <c r="C111" s="67" t="s">
        <v>511</v>
      </c>
      <c r="D111" s="75" t="n">
        <v>155.0</v>
      </c>
      <c r="E111" s="76" t="s">
        <v>0</v>
      </c>
      <c r="F111" s="57" t="str">
        <f>IFERROR(VLOOKUP(C111,$C$9:H110,4,FALSE),"")</f>
        <v/>
      </c>
      <c r="G111" s="61" t="str">
        <f>IFERROR(VLOOKUP(C111,$C$9:G110,5,FALSE),"")</f>
        <v/>
      </c>
      <c r="H111" s="61" t="str">
        <f>IFERROR(VLOOKUP(C111,$C$9:H110,6,FALSE),"")</f>
        <v/>
      </c>
      <c r="I111" s="61" t="s">
        <v>433</v>
      </c>
      <c r="J111" s="61" t="n">
        <v>155.0</v>
      </c>
      <c r="K111" s="61" t="s">
        <v>434</v>
      </c>
      <c r="L111" s="61" t="s">
        <v>435</v>
      </c>
      <c r="M111" s="42"/>
      <c r="N111" s="46" t="e">
        <f t="shared" si="5"/>
        <v>#DIV/0!</v>
      </c>
      <c r="O111" s="46" t="str">
        <f t="shared" si="6"/>
        <v/>
      </c>
      <c r="P111" s="46">
        <f t="shared" si="4"/>
        <v>1</v>
      </c>
      <c r="Q111" s="46"/>
      <c r="R111" s="45"/>
      <c r="S111" s="45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 ht="14.25">
      <c r="A112" s="67" t="s">
        <v>430</v>
      </c>
      <c r="B112" s="68" t="s">
        <v>509</v>
      </c>
      <c r="C112" s="67" t="s">
        <v>439</v>
      </c>
      <c r="D112" s="75" t="n">
        <v>25.9</v>
      </c>
      <c r="E112" s="76" t="s">
        <v>0</v>
      </c>
      <c r="F112" s="57" t="str">
        <f>IFERROR(VLOOKUP(C112,$C$9:H111,4,FALSE),"")</f>
        <v/>
      </c>
      <c r="G112" s="61" t="s">
        <v>350</v>
      </c>
      <c r="H112" s="61" t="s">
        <v>404</v>
      </c>
      <c r="I112" s="61" t="s">
        <v>433</v>
      </c>
      <c r="J112" s="61" t="n">
        <v>25.9</v>
      </c>
      <c r="K112" s="61" t="s">
        <v>434</v>
      </c>
      <c r="L112" s="61" t="s">
        <v>435</v>
      </c>
      <c r="M112" s="42"/>
      <c r="N112" s="46" t="e">
        <f t="shared" si="5"/>
        <v>#DIV/0!</v>
      </c>
      <c r="O112" s="46" t="str">
        <f t="shared" si="6"/>
        <v/>
      </c>
      <c r="P112" s="46">
        <f t="shared" si="4"/>
        <v>1</v>
      </c>
      <c r="Q112" s="46"/>
      <c r="R112" s="45"/>
      <c r="S112" s="45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 ht="14.25">
      <c r="A113" s="67" t="s">
        <v>430</v>
      </c>
      <c r="B113" s="68" t="s">
        <v>509</v>
      </c>
      <c r="C113" s="67" t="s">
        <v>439</v>
      </c>
      <c r="D113" s="75" t="n">
        <v>52.9</v>
      </c>
      <c r="E113" s="76" t="s">
        <v>0</v>
      </c>
      <c r="F113" s="57" t="str">
        <f>IFERROR(VLOOKUP(C113,$C$9:H112,4,FALSE),"")</f>
        <v/>
      </c>
      <c r="G113" s="61" t="s">
        <v>350</v>
      </c>
      <c r="H113" s="61" t="s">
        <v>404</v>
      </c>
      <c r="I113" s="61" t="s">
        <v>433</v>
      </c>
      <c r="J113" s="61" t="n">
        <v>52.9</v>
      </c>
      <c r="K113" s="61" t="s">
        <v>434</v>
      </c>
      <c r="L113" s="61" t="s">
        <v>435</v>
      </c>
      <c r="M113" s="42"/>
      <c r="N113" s="46" t="e">
        <f t="shared" si="5"/>
        <v>#DIV/0!</v>
      </c>
      <c r="O113" s="46" t="str">
        <f t="shared" si="6"/>
        <v/>
      </c>
      <c r="P113" s="46">
        <f t="shared" si="4"/>
        <v>1</v>
      </c>
      <c r="Q113" s="46"/>
      <c r="R113" s="45"/>
      <c r="S113" s="45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 ht="14.25">
      <c r="A114" s="67" t="s">
        <v>430</v>
      </c>
      <c r="B114" s="68" t="s">
        <v>509</v>
      </c>
      <c r="C114" s="67" t="s">
        <v>442</v>
      </c>
      <c r="D114" s="75" t="n">
        <v>190.0</v>
      </c>
      <c r="E114" s="76" t="s">
        <v>0</v>
      </c>
      <c r="F114" s="57" t="str">
        <f>IFERROR(VLOOKUP(C114,$C$9:H113,4,FALSE),"")</f>
        <v/>
      </c>
      <c r="G114" s="61" t="str">
        <f>IFERROR(VLOOKUP(C114,$C$9:G113,5,FALSE),"")</f>
        <v/>
      </c>
      <c r="H114" s="61" t="str">
        <f>IFERROR(VLOOKUP(C114,$C$9:H113,6,FALSE),"")</f>
        <v/>
      </c>
      <c r="I114" s="61" t="s">
        <v>433</v>
      </c>
      <c r="J114" s="61" t="n">
        <v>190.0</v>
      </c>
      <c r="K114" s="61" t="s">
        <v>434</v>
      </c>
      <c r="L114" s="61" t="s">
        <v>435</v>
      </c>
      <c r="M114" s="42"/>
      <c r="N114" s="46" t="e">
        <f t="shared" si="5"/>
        <v>#DIV/0!</v>
      </c>
      <c r="O114" s="46" t="str">
        <f t="shared" si="6"/>
        <v/>
      </c>
      <c r="P114" s="46">
        <f t="shared" si="4"/>
        <v>1</v>
      </c>
      <c r="Q114" s="46"/>
      <c r="R114" s="45"/>
      <c r="S114" s="45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 ht="14.25">
      <c r="A115" s="67" t="s">
        <v>430</v>
      </c>
      <c r="B115" s="78" t="s">
        <v>512</v>
      </c>
      <c r="C115" s="77" t="s">
        <v>442</v>
      </c>
      <c r="D115" s="75" t="n">
        <v>190.0</v>
      </c>
      <c r="E115" s="76" t="s">
        <v>0</v>
      </c>
      <c r="F115" s="57" t="str">
        <f>IFERROR(VLOOKUP(C115,$C$9:H114,4,FALSE),"")</f>
        <v/>
      </c>
      <c r="G115" s="61" t="str">
        <f>IFERROR(VLOOKUP(C115,$C$9:G114,5,FALSE),"")</f>
        <v/>
      </c>
      <c r="H115" s="61" t="str">
        <f>IFERROR(VLOOKUP(C115,$C$9:H114,6,FALSE),"")</f>
        <v/>
      </c>
      <c r="I115" s="61" t="s">
        <v>433</v>
      </c>
      <c r="J115" s="61" t="n">
        <v>190.0</v>
      </c>
      <c r="K115" s="61" t="s">
        <v>434</v>
      </c>
      <c r="L115" s="61" t="s">
        <v>435</v>
      </c>
      <c r="M115" s="42"/>
      <c r="N115" s="46" t="e">
        <f t="shared" si="5"/>
        <v>#DIV/0!</v>
      </c>
      <c r="O115" s="46" t="str">
        <f t="shared" si="6"/>
        <v/>
      </c>
      <c r="P115" s="46">
        <f t="shared" si="4"/>
        <v>1</v>
      </c>
      <c r="Q115" s="46"/>
      <c r="R115" s="45"/>
      <c r="S115" s="45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 ht="14.25">
      <c r="A116" s="67" t="s">
        <v>430</v>
      </c>
      <c r="B116" s="71" t="s">
        <v>512</v>
      </c>
      <c r="C116" s="67" t="s">
        <v>439</v>
      </c>
      <c r="D116" s="75" t="n">
        <v>36.98</v>
      </c>
      <c r="E116" s="76" t="s">
        <v>0</v>
      </c>
      <c r="F116" s="57" t="str">
        <f>IFERROR(VLOOKUP(C116,$C$9:H115,4,FALSE),"")</f>
        <v/>
      </c>
      <c r="G116" s="61" t="s">
        <v>350</v>
      </c>
      <c r="H116" s="61" t="s">
        <v>404</v>
      </c>
      <c r="I116" s="61" t="s">
        <v>433</v>
      </c>
      <c r="J116" s="61" t="n">
        <v>36.98</v>
      </c>
      <c r="K116" s="61" t="s">
        <v>434</v>
      </c>
      <c r="L116" s="61" t="s">
        <v>435</v>
      </c>
      <c r="M116" s="42"/>
      <c r="N116" s="46" t="e">
        <f t="shared" si="5"/>
        <v>#DIV/0!</v>
      </c>
      <c r="O116" s="46" t="str">
        <f t="shared" si="6"/>
        <v/>
      </c>
      <c r="P116" s="46">
        <f t="shared" si="4"/>
        <v>1</v>
      </c>
      <c r="Q116" s="46"/>
      <c r="R116" s="45"/>
      <c r="S116" s="45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 ht="14.25">
      <c r="A117" s="67" t="s">
        <v>430</v>
      </c>
      <c r="B117" s="68" t="s">
        <v>512</v>
      </c>
      <c r="C117" s="67" t="s">
        <v>439</v>
      </c>
      <c r="D117" s="75" t="n">
        <v>67.0</v>
      </c>
      <c r="E117" s="76" t="s">
        <v>0</v>
      </c>
      <c r="F117" s="57" t="str">
        <f>IFERROR(VLOOKUP(C117,$C$9:H116,4,FALSE),"")</f>
        <v/>
      </c>
      <c r="G117" s="61" t="s">
        <v>350</v>
      </c>
      <c r="H117" s="61" t="s">
        <v>404</v>
      </c>
      <c r="I117" s="61" t="s">
        <v>433</v>
      </c>
      <c r="J117" s="61" t="n">
        <v>67.0</v>
      </c>
      <c r="K117" s="61" t="s">
        <v>434</v>
      </c>
      <c r="L117" s="61" t="s">
        <v>435</v>
      </c>
      <c r="M117" s="42"/>
      <c r="N117" s="46" t="e">
        <f t="shared" si="5"/>
        <v>#DIV/0!</v>
      </c>
      <c r="O117" s="46" t="str">
        <f t="shared" si="6"/>
        <v/>
      </c>
      <c r="P117" s="46">
        <f t="shared" si="4"/>
        <v>1</v>
      </c>
      <c r="Q117" s="46"/>
      <c r="R117" s="45"/>
      <c r="S117" s="45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 ht="14.25">
      <c r="A118" s="67" t="s">
        <v>430</v>
      </c>
      <c r="B118" s="68" t="s">
        <v>512</v>
      </c>
      <c r="C118" s="67" t="s">
        <v>513</v>
      </c>
      <c r="D118" s="75" t="n">
        <v>150.0</v>
      </c>
      <c r="E118" s="76" t="s">
        <v>0</v>
      </c>
      <c r="F118" s="57" t="str">
        <f>IFERROR(VLOOKUP(C118,$C$9:H117,4,FALSE),"")</f>
        <v/>
      </c>
      <c r="G118" s="61" t="str">
        <f>IFERROR(VLOOKUP(C118,$C$9:G117,5,FALSE),"")</f>
        <v/>
      </c>
      <c r="H118" s="61" t="str">
        <f>IFERROR(VLOOKUP(C118,$C$9:H117,6,FALSE),"")</f>
        <v/>
      </c>
      <c r="I118" s="61" t="s">
        <v>514</v>
      </c>
      <c r="J118" s="61" t="n">
        <v>150.0</v>
      </c>
      <c r="K118" s="61" t="s">
        <v>434</v>
      </c>
      <c r="L118" s="61" t="s">
        <v>435</v>
      </c>
      <c r="M118" s="42"/>
      <c r="N118" s="46" t="e">
        <f t="shared" si="5"/>
        <v>#DIV/0!</v>
      </c>
      <c r="O118" s="46" t="str">
        <f t="shared" si="6"/>
        <v/>
      </c>
      <c r="P118" s="46">
        <f t="shared" si="4"/>
        <v>1</v>
      </c>
      <c r="Q118" s="46"/>
      <c r="R118" s="45"/>
      <c r="S118" s="45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 ht="14.25">
      <c r="A119" s="67" t="s">
        <v>430</v>
      </c>
      <c r="B119" s="68" t="s">
        <v>512</v>
      </c>
      <c r="C119" s="67" t="s">
        <v>513</v>
      </c>
      <c r="D119" s="75" t="n">
        <v>90.0</v>
      </c>
      <c r="E119" s="76" t="s">
        <v>0</v>
      </c>
      <c r="F119" s="57" t="str">
        <f>IFERROR(VLOOKUP(C119,$C$9:H118,4,FALSE),"")</f>
        <v/>
      </c>
      <c r="G119" s="61" t="str">
        <f>IFERROR(VLOOKUP(C119,$C$9:G118,5,FALSE),"")</f>
        <v/>
      </c>
      <c r="H119" s="61" t="str">
        <f>IFERROR(VLOOKUP(C119,$C$9:H118,6,FALSE),"")</f>
        <v/>
      </c>
      <c r="I119" s="61" t="s">
        <v>515</v>
      </c>
      <c r="J119" s="61" t="n">
        <v>90.0</v>
      </c>
      <c r="K119" s="61" t="s">
        <v>434</v>
      </c>
      <c r="L119" s="61" t="s">
        <v>435</v>
      </c>
      <c r="M119" s="42"/>
      <c r="N119" s="46" t="e">
        <f t="shared" si="5"/>
        <v>#DIV/0!</v>
      </c>
      <c r="O119" s="46" t="str">
        <f t="shared" si="6"/>
        <v/>
      </c>
      <c r="P119" s="46">
        <f t="shared" si="4"/>
        <v>1</v>
      </c>
      <c r="Q119" s="46"/>
      <c r="R119" s="45"/>
      <c r="S119" s="45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 ht="14.25">
      <c r="A120" s="67" t="s">
        <v>462</v>
      </c>
      <c r="B120" s="68" t="s">
        <v>512</v>
      </c>
      <c r="C120" s="67" t="s">
        <v>516</v>
      </c>
      <c r="D120" s="75" t="n">
        <v>49.9</v>
      </c>
      <c r="E120" s="76" t="s">
        <v>0</v>
      </c>
      <c r="F120" s="57" t="str">
        <f>IFERROR(VLOOKUP(C120,$C$9:H119,4,FALSE),"")</f>
        <v/>
      </c>
      <c r="G120" s="61" t="str">
        <f>IFERROR(VLOOKUP(C120,$C$9:G119,5,FALSE),"")</f>
        <v/>
      </c>
      <c r="H120" s="61" t="str">
        <f>IFERROR(VLOOKUP(C120,$C$9:H119,6,FALSE),"")</f>
        <v/>
      </c>
      <c r="I120" s="61" t="s">
        <v>464</v>
      </c>
      <c r="J120" s="61" t="n">
        <v>49.9</v>
      </c>
      <c r="K120" s="61" t="s">
        <v>434</v>
      </c>
      <c r="L120" s="61" t="s">
        <v>435</v>
      </c>
      <c r="M120" s="42"/>
      <c r="N120" s="46" t="e">
        <f t="shared" si="5"/>
        <v>#DIV/0!</v>
      </c>
      <c r="O120" s="46" t="str">
        <f t="shared" si="6"/>
        <v/>
      </c>
      <c r="P120" s="46">
        <f t="shared" si="4"/>
        <v>1</v>
      </c>
      <c r="Q120" s="46"/>
      <c r="R120" s="45"/>
      <c r="S120" s="45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 ht="14.25">
      <c r="A121" s="67" t="s">
        <v>430</v>
      </c>
      <c r="B121" s="68" t="s">
        <v>517</v>
      </c>
      <c r="C121" s="67" t="s">
        <v>518</v>
      </c>
      <c r="D121" s="75" t="n">
        <v>150.0</v>
      </c>
      <c r="E121" s="76" t="s">
        <v>0</v>
      </c>
      <c r="F121" s="57" t="str">
        <f>IFERROR(VLOOKUP(C121,$C$9:H120,4,FALSE),"")</f>
        <v/>
      </c>
      <c r="G121" s="61" t="str">
        <f>IFERROR(VLOOKUP(C121,$C$9:G120,5,FALSE),"")</f>
        <v/>
      </c>
      <c r="H121" s="61" t="str">
        <f>IFERROR(VLOOKUP(C121,$C$9:H120,6,FALSE),"")</f>
        <v/>
      </c>
      <c r="I121" s="61" t="s">
        <v>519</v>
      </c>
      <c r="J121" s="61" t="n">
        <v>150.0</v>
      </c>
      <c r="K121" s="61" t="s">
        <v>434</v>
      </c>
      <c r="L121" s="61" t="s">
        <v>435</v>
      </c>
      <c r="M121" s="42"/>
      <c r="N121" s="46" t="e">
        <f t="shared" si="5"/>
        <v>#DIV/0!</v>
      </c>
      <c r="O121" s="46" t="str">
        <f t="shared" si="6"/>
        <v/>
      </c>
      <c r="P121" s="46">
        <f t="shared" si="4"/>
        <v>1</v>
      </c>
      <c r="Q121" s="46"/>
      <c r="R121" s="45"/>
      <c r="S121" s="45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 ht="14.25">
      <c r="A122" s="67" t="s">
        <v>430</v>
      </c>
      <c r="B122" s="68" t="s">
        <v>517</v>
      </c>
      <c r="C122" s="67" t="s">
        <v>439</v>
      </c>
      <c r="D122" s="75" t="n">
        <v>80.25</v>
      </c>
      <c r="E122" s="76" t="s">
        <v>0</v>
      </c>
      <c r="F122" s="57" t="str">
        <f>IFERROR(VLOOKUP(C122,$C$9:H121,4,FALSE),"")</f>
        <v/>
      </c>
      <c r="G122" s="61" t="s">
        <v>350</v>
      </c>
      <c r="H122" s="61" t="s">
        <v>404</v>
      </c>
      <c r="I122" s="61" t="s">
        <v>433</v>
      </c>
      <c r="J122" s="61" t="n">
        <v>80.25</v>
      </c>
      <c r="K122" s="61" t="s">
        <v>434</v>
      </c>
      <c r="L122" s="61" t="s">
        <v>435</v>
      </c>
      <c r="M122" s="42"/>
      <c r="N122" s="46" t="e">
        <f t="shared" si="5"/>
        <v>#DIV/0!</v>
      </c>
      <c r="O122" s="46" t="str">
        <f t="shared" si="6"/>
        <v/>
      </c>
      <c r="P122" s="46">
        <f t="shared" si="4"/>
        <v>1</v>
      </c>
      <c r="Q122" s="46"/>
      <c r="R122" s="45"/>
      <c r="S122" s="45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 ht="14.25">
      <c r="A123" s="67" t="s">
        <v>430</v>
      </c>
      <c r="B123" s="68" t="s">
        <v>517</v>
      </c>
      <c r="C123" s="67" t="s">
        <v>439</v>
      </c>
      <c r="D123" s="75" t="n">
        <v>72.45</v>
      </c>
      <c r="E123" s="76" t="s">
        <v>0</v>
      </c>
      <c r="F123" s="57" t="str">
        <f>IFERROR(VLOOKUP(C123,$C$9:H122,4,FALSE),"")</f>
        <v/>
      </c>
      <c r="G123" s="61" t="s">
        <v>350</v>
      </c>
      <c r="H123" s="61" t="s">
        <v>404</v>
      </c>
      <c r="I123" s="61" t="s">
        <v>433</v>
      </c>
      <c r="J123" s="61" t="n">
        <v>72.45</v>
      </c>
      <c r="K123" s="61" t="s">
        <v>434</v>
      </c>
      <c r="L123" s="61" t="s">
        <v>435</v>
      </c>
      <c r="M123" s="42"/>
      <c r="N123" s="46" t="e">
        <f t="shared" si="5"/>
        <v>#DIV/0!</v>
      </c>
      <c r="O123" s="46" t="str">
        <f t="shared" si="6"/>
        <v/>
      </c>
      <c r="P123" s="46">
        <f t="shared" si="4"/>
        <v>1</v>
      </c>
      <c r="Q123" s="46"/>
      <c r="R123" s="45"/>
      <c r="S123" s="45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 ht="14.25">
      <c r="A124" s="67" t="s">
        <v>430</v>
      </c>
      <c r="B124" s="68" t="s">
        <v>520</v>
      </c>
      <c r="C124" s="67" t="s">
        <v>521</v>
      </c>
      <c r="D124" s="75" t="n">
        <v>18.5</v>
      </c>
      <c r="E124" s="76" t="s">
        <v>0</v>
      </c>
      <c r="F124" s="57" t="str">
        <f>IFERROR(VLOOKUP(C124,$C$9:H123,4,FALSE),"")</f>
        <v/>
      </c>
      <c r="G124" s="61" t="s">
        <v>350</v>
      </c>
      <c r="H124" s="61" t="s">
        <v>404</v>
      </c>
      <c r="I124" s="61" t="s">
        <v>433</v>
      </c>
      <c r="J124" s="61" t="n">
        <v>18.5</v>
      </c>
      <c r="K124" s="61" t="s">
        <v>434</v>
      </c>
      <c r="L124" s="61" t="s">
        <v>435</v>
      </c>
      <c r="M124" s="42"/>
      <c r="N124" s="46" t="e">
        <f t="shared" si="5"/>
        <v>#DIV/0!</v>
      </c>
      <c r="O124" s="46" t="str">
        <f t="shared" si="6"/>
        <v/>
      </c>
      <c r="P124" s="46">
        <f t="shared" si="4"/>
        <v>1</v>
      </c>
      <c r="Q124" s="46"/>
      <c r="R124" s="45"/>
      <c r="S124" s="45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 ht="14.25">
      <c r="A125" s="67" t="s">
        <v>430</v>
      </c>
      <c r="B125" s="68" t="s">
        <v>520</v>
      </c>
      <c r="C125" s="67" t="s">
        <v>475</v>
      </c>
      <c r="D125" s="75" t="n">
        <v>29.9</v>
      </c>
      <c r="E125" s="76" t="s">
        <v>0</v>
      </c>
      <c r="F125" s="57" t="str">
        <f>IFERROR(VLOOKUP(C125,$C$9:H124,4,FALSE),"")</f>
        <v/>
      </c>
      <c r="G125" s="61" t="str">
        <f>IFERROR(VLOOKUP(C125,$C$9:G124,5,FALSE),"")</f>
        <v/>
      </c>
      <c r="H125" s="61" t="str">
        <f>IFERROR(VLOOKUP(C125,$C$9:H124,6,FALSE),"")</f>
        <v/>
      </c>
      <c r="I125" s="61" t="s">
        <v>433</v>
      </c>
      <c r="J125" s="61" t="n">
        <v>29.9</v>
      </c>
      <c r="K125" s="61" t="s">
        <v>434</v>
      </c>
      <c r="L125" s="61" t="s">
        <v>435</v>
      </c>
      <c r="M125" s="42"/>
      <c r="N125" s="46" t="e">
        <f t="shared" si="5"/>
        <v>#DIV/0!</v>
      </c>
      <c r="O125" s="46" t="str">
        <f t="shared" si="6"/>
        <v/>
      </c>
      <c r="P125" s="46">
        <f t="shared" si="4"/>
        <v>1</v>
      </c>
      <c r="Q125" s="46"/>
      <c r="R125" s="45"/>
      <c r="S125" s="45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 ht="14.25">
      <c r="A126" s="67" t="s">
        <v>430</v>
      </c>
      <c r="B126" s="68" t="s">
        <v>520</v>
      </c>
      <c r="C126" s="67" t="s">
        <v>522</v>
      </c>
      <c r="D126" s="75" t="n">
        <v>57.0</v>
      </c>
      <c r="E126" s="76" t="s">
        <v>0</v>
      </c>
      <c r="F126" s="57" t="str">
        <f>IFERROR(VLOOKUP(C126,$C$9:H125,4,FALSE),"")</f>
        <v/>
      </c>
      <c r="G126" s="61" t="s">
        <v>352</v>
      </c>
      <c r="H126" s="61" t="s">
        <v>17</v>
      </c>
      <c r="I126" s="61" t="s">
        <v>433</v>
      </c>
      <c r="J126" s="61" t="n">
        <v>57.0</v>
      </c>
      <c r="K126" s="61" t="s">
        <v>434</v>
      </c>
      <c r="L126" s="61" t="s">
        <v>435</v>
      </c>
      <c r="M126" s="42"/>
      <c r="N126" s="46" t="e">
        <f t="shared" si="5"/>
        <v>#DIV/0!</v>
      </c>
      <c r="O126" s="46" t="str">
        <f t="shared" si="6"/>
        <v/>
      </c>
      <c r="P126" s="46">
        <f t="shared" si="4"/>
        <v>1</v>
      </c>
      <c r="Q126" s="46"/>
      <c r="R126" s="45"/>
      <c r="S126" s="45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 ht="14.25">
      <c r="A127" s="67" t="s">
        <v>430</v>
      </c>
      <c r="B127" s="68" t="s">
        <v>520</v>
      </c>
      <c r="C127" s="67" t="s">
        <v>471</v>
      </c>
      <c r="D127" s="75" t="n">
        <v>10.8</v>
      </c>
      <c r="E127" s="76" t="s">
        <v>0</v>
      </c>
      <c r="F127" s="57" t="str">
        <f>IFERROR(VLOOKUP(C127,$C$9:H126,4,FALSE),"")</f>
        <v/>
      </c>
      <c r="G127" s="61" t="str">
        <f>IFERROR(VLOOKUP(C127,$C$9:G126,5,FALSE),"")</f>
        <v/>
      </c>
      <c r="H127" s="61" t="str">
        <f>IFERROR(VLOOKUP(C127,$C$9:H126,6,FALSE),"")</f>
        <v/>
      </c>
      <c r="I127" s="61" t="s">
        <v>433</v>
      </c>
      <c r="J127" s="61" t="n">
        <v>10.8</v>
      </c>
      <c r="K127" s="61" t="s">
        <v>434</v>
      </c>
      <c r="L127" s="61" t="s">
        <v>435</v>
      </c>
      <c r="M127" s="42"/>
      <c r="N127" s="46" t="e">
        <f t="shared" si="5"/>
        <v>#DIV/0!</v>
      </c>
      <c r="O127" s="46" t="str">
        <f t="shared" si="6"/>
        <v/>
      </c>
      <c r="P127" s="46">
        <f t="shared" si="4"/>
        <v>1</v>
      </c>
      <c r="Q127" s="46"/>
      <c r="R127" s="45"/>
      <c r="S127" s="45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 ht="14.25">
      <c r="A128" s="67" t="s">
        <v>430</v>
      </c>
      <c r="B128" s="68" t="s">
        <v>520</v>
      </c>
      <c r="C128" s="67" t="s">
        <v>432</v>
      </c>
      <c r="D128" s="75" t="n">
        <v>22.0</v>
      </c>
      <c r="E128" s="76" t="s">
        <v>0</v>
      </c>
      <c r="F128" s="57" t="str">
        <f>IFERROR(VLOOKUP(C128,$C$9:H127,4,FALSE),"")</f>
        <v/>
      </c>
      <c r="G128" s="61" t="s">
        <v>350</v>
      </c>
      <c r="H128" s="61" t="s">
        <v>404</v>
      </c>
      <c r="I128" s="61" t="s">
        <v>433</v>
      </c>
      <c r="J128" s="61" t="n">
        <v>22.0</v>
      </c>
      <c r="K128" s="61" t="s">
        <v>434</v>
      </c>
      <c r="L128" s="61" t="s">
        <v>435</v>
      </c>
      <c r="M128" s="42"/>
      <c r="N128" s="46" t="e">
        <f t="shared" si="5"/>
        <v>#DIV/0!</v>
      </c>
      <c r="O128" s="46" t="str">
        <f t="shared" si="6"/>
        <v/>
      </c>
      <c r="P128" s="46">
        <f t="shared" si="4"/>
        <v>1</v>
      </c>
      <c r="Q128" s="46"/>
      <c r="R128" s="45"/>
      <c r="S128" s="45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 ht="14.25">
      <c r="A129" s="67" t="s">
        <v>430</v>
      </c>
      <c r="B129" s="68" t="s">
        <v>520</v>
      </c>
      <c r="C129" s="67" t="s">
        <v>439</v>
      </c>
      <c r="D129" s="75" t="n">
        <v>163.58</v>
      </c>
      <c r="E129" s="76" t="s">
        <v>0</v>
      </c>
      <c r="F129" s="57" t="str">
        <f>IFERROR(VLOOKUP(C129,$C$9:H128,4,FALSE),"")</f>
        <v/>
      </c>
      <c r="G129" s="61" t="s">
        <v>350</v>
      </c>
      <c r="H129" s="61" t="s">
        <v>404</v>
      </c>
      <c r="I129" s="61" t="s">
        <v>433</v>
      </c>
      <c r="J129" s="61" t="n">
        <v>163.58</v>
      </c>
      <c r="K129" s="61" t="s">
        <v>434</v>
      </c>
      <c r="L129" s="61" t="s">
        <v>435</v>
      </c>
      <c r="M129" s="42"/>
      <c r="N129" s="46" t="e">
        <f t="shared" si="5"/>
        <v>#DIV/0!</v>
      </c>
      <c r="O129" s="46" t="str">
        <f t="shared" si="6"/>
        <v/>
      </c>
      <c r="P129" s="46">
        <f t="shared" si="4"/>
        <v>1</v>
      </c>
      <c r="Q129" s="46"/>
      <c r="R129" s="45"/>
      <c r="S129" s="45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 ht="14.25">
      <c r="A130" s="67" t="s">
        <v>430</v>
      </c>
      <c r="B130" s="68" t="s">
        <v>520</v>
      </c>
      <c r="C130" s="67" t="s">
        <v>439</v>
      </c>
      <c r="D130" s="75" t="n">
        <v>67.2</v>
      </c>
      <c r="E130" s="76" t="s">
        <v>0</v>
      </c>
      <c r="F130" s="57" t="str">
        <f>IFERROR(VLOOKUP(C130,$C$9:H129,4,FALSE),"")</f>
        <v/>
      </c>
      <c r="G130" s="61" t="s">
        <v>350</v>
      </c>
      <c r="H130" s="61" t="s">
        <v>404</v>
      </c>
      <c r="I130" s="61" t="s">
        <v>433</v>
      </c>
      <c r="J130" s="61" t="n">
        <v>67.2</v>
      </c>
      <c r="K130" s="61" t="s">
        <v>434</v>
      </c>
      <c r="L130" s="61" t="s">
        <v>435</v>
      </c>
      <c r="M130" s="42"/>
      <c r="N130" s="46" t="e">
        <f t="shared" si="5"/>
        <v>#DIV/0!</v>
      </c>
      <c r="O130" s="46" t="str">
        <f t="shared" si="6"/>
        <v/>
      </c>
      <c r="P130" s="46">
        <f t="shared" si="4"/>
        <v>1</v>
      </c>
      <c r="Q130" s="46"/>
      <c r="R130" s="45"/>
      <c r="S130" s="45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 ht="14.25">
      <c r="A131" s="67" t="s">
        <v>430</v>
      </c>
      <c r="B131" s="68" t="s">
        <v>520</v>
      </c>
      <c r="C131" s="67" t="s">
        <v>440</v>
      </c>
      <c r="D131" s="75" t="n">
        <v>37.5</v>
      </c>
      <c r="E131" s="76" t="s">
        <v>0</v>
      </c>
      <c r="F131" s="57" t="str">
        <f>IFERROR(VLOOKUP(C131,$C$9:H130,4,FALSE),"")</f>
        <v/>
      </c>
      <c r="G131" s="61" t="str">
        <f>IFERROR(VLOOKUP(C131,$C$9:G130,5,FALSE),"")</f>
        <v/>
      </c>
      <c r="H131" s="61" t="str">
        <f>IFERROR(VLOOKUP(C131,$C$9:H130,6,FALSE),"")</f>
        <v/>
      </c>
      <c r="I131" s="61" t="s">
        <v>433</v>
      </c>
      <c r="J131" s="61" t="n">
        <v>37.5</v>
      </c>
      <c r="K131" s="61" t="s">
        <v>434</v>
      </c>
      <c r="L131" s="61" t="s">
        <v>435</v>
      </c>
      <c r="M131" s="42"/>
      <c r="N131" s="46" t="e">
        <f t="shared" si="5"/>
        <v>#DIV/0!</v>
      </c>
      <c r="O131" s="46" t="str">
        <f t="shared" si="6"/>
        <v/>
      </c>
      <c r="P131" s="46">
        <f t="shared" si="4"/>
        <v>1</v>
      </c>
      <c r="Q131" s="46"/>
      <c r="R131" s="45"/>
      <c r="S131" s="45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25">
      <c r="A132" s="67" t="s">
        <v>430</v>
      </c>
      <c r="B132" s="68" t="s">
        <v>520</v>
      </c>
      <c r="C132" s="67" t="s">
        <v>440</v>
      </c>
      <c r="D132" s="75" t="n">
        <v>150.0</v>
      </c>
      <c r="E132" s="76" t="s">
        <v>0</v>
      </c>
      <c r="F132" s="57" t="str">
        <f>IFERROR(VLOOKUP(C132,$C$9:H131,4,FALSE),"")</f>
        <v/>
      </c>
      <c r="G132" s="61" t="str">
        <f>IFERROR(VLOOKUP(C132,$C$9:G131,5,FALSE),"")</f>
        <v/>
      </c>
      <c r="H132" s="61" t="str">
        <f>IFERROR(VLOOKUP(C132,$C$9:H131,6,FALSE),"")</f>
        <v/>
      </c>
      <c r="I132" s="61" t="s">
        <v>433</v>
      </c>
      <c r="J132" s="61" t="n">
        <v>150.0</v>
      </c>
      <c r="K132" s="61" t="s">
        <v>434</v>
      </c>
      <c r="L132" s="61" t="s">
        <v>435</v>
      </c>
      <c r="M132" s="42"/>
      <c r="N132" s="46" t="e">
        <f t="shared" si="5"/>
        <v>#DIV/0!</v>
      </c>
      <c r="O132" s="46" t="str">
        <f t="shared" si="6"/>
        <v/>
      </c>
      <c r="P132" s="46">
        <f t="shared" si="4"/>
        <v>1</v>
      </c>
      <c r="Q132" s="46"/>
      <c r="R132" s="45"/>
      <c r="S132" s="45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 ht="14.25">
      <c r="A133" s="67" t="s">
        <v>430</v>
      </c>
      <c r="B133" s="68" t="s">
        <v>520</v>
      </c>
      <c r="C133" s="67" t="s">
        <v>513</v>
      </c>
      <c r="D133" s="75" t="n">
        <v>150.0</v>
      </c>
      <c r="E133" s="76" t="s">
        <v>0</v>
      </c>
      <c r="F133" s="57" t="str">
        <f>IFERROR(VLOOKUP(C133,$C$9:H132,4,FALSE),"")</f>
        <v/>
      </c>
      <c r="G133" s="61" t="str">
        <f>IFERROR(VLOOKUP(C133,$C$9:G132,5,FALSE),"")</f>
        <v/>
      </c>
      <c r="H133" s="61" t="str">
        <f>IFERROR(VLOOKUP(C133,$C$9:H132,6,FALSE),"")</f>
        <v/>
      </c>
      <c r="I133" s="61" t="s">
        <v>514</v>
      </c>
      <c r="J133" s="61" t="n">
        <v>150.0</v>
      </c>
      <c r="K133" s="61" t="s">
        <v>434</v>
      </c>
      <c r="L133" s="61" t="s">
        <v>435</v>
      </c>
      <c r="M133" s="42"/>
      <c r="N133" s="46" t="e">
        <f t="shared" si="5"/>
        <v>#DIV/0!</v>
      </c>
      <c r="O133" s="46" t="str">
        <f t="shared" si="6"/>
        <v/>
      </c>
      <c r="P133" s="46">
        <f t="shared" si="4"/>
        <v>1</v>
      </c>
      <c r="Q133" s="46"/>
      <c r="R133" s="45"/>
      <c r="S133" s="45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  <row r="134" spans="1:31" ht="14.25">
      <c r="A134" s="67" t="s">
        <v>462</v>
      </c>
      <c r="B134" s="68" t="s">
        <v>520</v>
      </c>
      <c r="C134" s="67" t="s">
        <v>523</v>
      </c>
      <c r="D134" s="75" t="n">
        <v>3.9</v>
      </c>
      <c r="E134" s="76" t="s">
        <v>0</v>
      </c>
      <c r="F134" s="57" t="str">
        <f>IFERROR(VLOOKUP(C134,$C$9:H133,4,FALSE),"")</f>
        <v/>
      </c>
      <c r="G134" s="61" t="s">
        <v>361</v>
      </c>
      <c r="H134" s="61" t="s">
        <v>331</v>
      </c>
      <c r="I134" s="61" t="s">
        <v>464</v>
      </c>
      <c r="J134" s="61" t="n">
        <v>3.9</v>
      </c>
      <c r="K134" s="61" t="s">
        <v>434</v>
      </c>
      <c r="L134" s="61" t="s">
        <v>435</v>
      </c>
      <c r="M134" s="42"/>
      <c r="N134" s="46" t="e">
        <f t="shared" si="5"/>
        <v>#DIV/0!</v>
      </c>
      <c r="O134" s="46" t="str">
        <f t="shared" si="6"/>
        <v/>
      </c>
      <c r="P134" s="46">
        <f t="shared" si="4"/>
        <v>1</v>
      </c>
      <c r="Q134" s="46"/>
      <c r="R134" s="45"/>
      <c r="S134" s="45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</row>
    <row r="135" spans="1:31" ht="14.25">
      <c r="A135" s="67" t="s">
        <v>443</v>
      </c>
      <c r="B135" s="68" t="s">
        <v>520</v>
      </c>
      <c r="C135" s="67" t="s">
        <v>452</v>
      </c>
      <c r="D135" s="75" t="n">
        <v>49.9</v>
      </c>
      <c r="E135" s="76" t="s">
        <v>0</v>
      </c>
      <c r="F135" s="57" t="str">
        <f>IFERROR(VLOOKUP(C135,$C$9:H134,4,FALSE),"")</f>
        <v/>
      </c>
      <c r="G135" s="61" t="s">
        <v>414</v>
      </c>
      <c r="H135" s="61" t="s">
        <v>414</v>
      </c>
      <c r="I135" s="61"/>
      <c r="J135" s="61" t="n">
        <v>0.0</v>
      </c>
      <c r="K135" s="61"/>
      <c r="L135" s="61" t="s">
        <v>445</v>
      </c>
      <c r="M135" s="42"/>
      <c r="N135" s="46" t="e">
        <f t="shared" si="5"/>
        <v>#DIV/0!</v>
      </c>
      <c r="O135" s="46" t="str">
        <f t="shared" si="6"/>
        <v/>
      </c>
      <c r="P135" s="46">
        <f t="shared" si="4"/>
        <v>1</v>
      </c>
      <c r="Q135" s="46"/>
      <c r="R135" s="45"/>
      <c r="S135" s="45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</row>
    <row r="136" spans="1:31" ht="14.25">
      <c r="A136" s="67" t="s">
        <v>443</v>
      </c>
      <c r="B136" s="78" t="s">
        <v>520</v>
      </c>
      <c r="C136" s="77" t="s">
        <v>5</v>
      </c>
      <c r="D136" s="75" t="n">
        <v>115.0</v>
      </c>
      <c r="E136" s="76" t="s">
        <v>1</v>
      </c>
      <c r="F136" s="57" t="str">
        <f>IFERROR(VLOOKUP(C136,$C$9:H135,4,FALSE),"")</f>
        <v/>
      </c>
      <c r="G136" s="61" t="s">
        <v>346</v>
      </c>
      <c r="H136" s="61" t="s">
        <v>5</v>
      </c>
      <c r="I136" s="61" t="s">
        <v>490</v>
      </c>
      <c r="J136" s="61" t="n">
        <v>0.0</v>
      </c>
      <c r="K136" s="61"/>
      <c r="L136" s="61" t="s">
        <v>445</v>
      </c>
      <c r="M136" s="42"/>
      <c r="N136" s="46" t="e">
        <f t="shared" si="5"/>
        <v>#DIV/0!</v>
      </c>
      <c r="O136" s="46" t="str">
        <f t="shared" si="6"/>
        <v/>
      </c>
      <c r="P136" s="46">
        <f t="shared" si="4"/>
        <v>1</v>
      </c>
      <c r="Q136" s="46"/>
      <c r="R136" s="45"/>
      <c r="S136" s="45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</row>
    <row r="137" spans="1:31" ht="14.25">
      <c r="A137" s="67" t="s">
        <v>430</v>
      </c>
      <c r="B137" s="71" t="s">
        <v>524</v>
      </c>
      <c r="C137" s="67" t="s">
        <v>525</v>
      </c>
      <c r="D137" s="75" t="n">
        <v>21.9</v>
      </c>
      <c r="E137" s="76" t="s">
        <v>0</v>
      </c>
      <c r="F137" s="57" t="str">
        <f>IFERROR(VLOOKUP(C137,$C$9:H136,4,FALSE),"")</f>
        <v/>
      </c>
      <c r="G137" s="61" t="s">
        <v>352</v>
      </c>
      <c r="H137" s="61" t="s">
        <v>293</v>
      </c>
      <c r="I137" s="61" t="s">
        <v>433</v>
      </c>
      <c r="J137" s="61" t="n">
        <v>21.9</v>
      </c>
      <c r="K137" s="61" t="s">
        <v>434</v>
      </c>
      <c r="L137" s="61" t="s">
        <v>435</v>
      </c>
      <c r="M137" s="42"/>
      <c r="N137" s="46" t="e">
        <f t="shared" si="5"/>
        <v>#DIV/0!</v>
      </c>
      <c r="O137" s="46" t="str">
        <f t="shared" si="6"/>
        <v/>
      </c>
      <c r="P137" s="46">
        <f t="shared" ref="P137" si="7">IF(C137="",1,COUNTIFS($C$9:$C$1499,C137,$H$9:$H$1499,H137))</f>
        <v>1</v>
      </c>
      <c r="Q137" s="46"/>
      <c r="R137" s="45"/>
      <c r="S137" s="45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</row>
    <row r="138" spans="1:31" ht="14.25">
      <c r="A138" s="67" t="s">
        <v>430</v>
      </c>
      <c r="B138" s="68" t="s">
        <v>524</v>
      </c>
      <c r="C138" s="67" t="s">
        <v>494</v>
      </c>
      <c r="D138" s="75" t="n">
        <v>18.0</v>
      </c>
      <c r="E138" s="76" t="s">
        <v>0</v>
      </c>
      <c r="F138" s="57" t="str">
        <f>IFERROR(VLOOKUP(C138,$C$9:H137,4,FALSE),"")</f>
        <v/>
      </c>
      <c r="G138" s="61" t="s">
        <v>350</v>
      </c>
      <c r="H138" s="61" t="s">
        <v>404</v>
      </c>
      <c r="I138" s="61" t="s">
        <v>433</v>
      </c>
      <c r="J138" s="61" t="n">
        <v>18.0</v>
      </c>
      <c r="K138" s="61" t="s">
        <v>434</v>
      </c>
      <c r="L138" s="61" t="s">
        <v>435</v>
      </c>
      <c r="M138" s="42"/>
      <c r="N138" s="46" t="e">
        <f t="shared" ref="N138:N201" si="8">IF(OR(F138=$P$1,F138="",F138=0),D138/$B$2,IF(OR(F138=$P$2,F138=$P$3,F138=$P$4),D138/(O138*P138),D138/O138))</f>
        <v>#DIV/0!</v>
      </c>
      <c r="O138" s="46" t="str">
        <f t="shared" ref="O138:O201" si="9">IFERROR(VLOOKUP(F138,$P$1:$Q$4,2,0),F138)</f>
        <v/>
      </c>
      <c r="P138" s="46">
        <f>IF(C138="",1,COUNTIFS($C$9:$C$1499,C138,$H$9:$H$1499,H138))</f>
        <v>1</v>
      </c>
      <c r="Q138" s="46"/>
      <c r="R138" s="45"/>
      <c r="S138" s="45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</row>
    <row r="139" spans="1:31" ht="14.25">
      <c r="A139" s="67" t="s">
        <v>430</v>
      </c>
      <c r="B139" s="68" t="s">
        <v>524</v>
      </c>
      <c r="C139" s="67" t="s">
        <v>495</v>
      </c>
      <c r="D139" s="75" t="n">
        <v>63.7</v>
      </c>
      <c r="E139" s="76" t="s">
        <v>0</v>
      </c>
      <c r="F139" s="57" t="str">
        <f>IFERROR(VLOOKUP(C139,$C$9:H138,4,FALSE),"")</f>
        <v/>
      </c>
      <c r="G139" s="61" t="s">
        <v>352</v>
      </c>
      <c r="H139" s="61" t="s">
        <v>293</v>
      </c>
      <c r="I139" s="61" t="s">
        <v>433</v>
      </c>
      <c r="J139" s="61" t="n">
        <v>63.7</v>
      </c>
      <c r="K139" s="61" t="s">
        <v>434</v>
      </c>
      <c r="L139" s="61" t="s">
        <v>435</v>
      </c>
      <c r="M139" s="42"/>
      <c r="N139" s="46" t="e">
        <f t="shared" si="8"/>
        <v>#DIV/0!</v>
      </c>
      <c r="O139" s="46" t="str">
        <f t="shared" si="9"/>
        <v/>
      </c>
      <c r="P139" s="46">
        <f t="shared" ref="P139:P202" si="10">IF(C139="",1,COUNTIFS($C$9:$C$1499,C139,$H$9:$H$1499,H139))</f>
        <v>1</v>
      </c>
      <c r="Q139" s="46"/>
      <c r="R139" s="45"/>
      <c r="S139" s="45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</row>
    <row r="140" spans="1:31" ht="14.25">
      <c r="A140" s="67" t="s">
        <v>430</v>
      </c>
      <c r="B140" s="68" t="s">
        <v>524</v>
      </c>
      <c r="C140" s="67" t="s">
        <v>439</v>
      </c>
      <c r="D140" s="75" t="n">
        <v>67.0</v>
      </c>
      <c r="E140" s="76" t="s">
        <v>0</v>
      </c>
      <c r="F140" s="57" t="str">
        <f>IFERROR(VLOOKUP(C140,$C$9:H139,4,FALSE),"")</f>
        <v/>
      </c>
      <c r="G140" s="61" t="s">
        <v>350</v>
      </c>
      <c r="H140" s="61" t="s">
        <v>404</v>
      </c>
      <c r="I140" s="61" t="s">
        <v>433</v>
      </c>
      <c r="J140" s="61" t="n">
        <v>67.0</v>
      </c>
      <c r="K140" s="61" t="s">
        <v>434</v>
      </c>
      <c r="L140" s="61" t="s">
        <v>435</v>
      </c>
      <c r="M140" s="42"/>
      <c r="N140" s="46" t="e">
        <f t="shared" si="8"/>
        <v>#DIV/0!</v>
      </c>
      <c r="O140" s="46" t="str">
        <f t="shared" si="9"/>
        <v/>
      </c>
      <c r="P140" s="46">
        <f t="shared" si="10"/>
        <v>1</v>
      </c>
      <c r="Q140" s="46"/>
      <c r="R140" s="45"/>
      <c r="S140" s="45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</row>
    <row r="141" spans="1:31" ht="14.25">
      <c r="A141" s="67" t="s">
        <v>430</v>
      </c>
      <c r="B141" s="68" t="s">
        <v>524</v>
      </c>
      <c r="C141" s="67" t="s">
        <v>439</v>
      </c>
      <c r="D141" s="75" t="n">
        <v>75.6</v>
      </c>
      <c r="E141" s="76" t="s">
        <v>0</v>
      </c>
      <c r="F141" s="57" t="str">
        <f>IFERROR(VLOOKUP(C141,$C$9:H140,4,FALSE),"")</f>
        <v/>
      </c>
      <c r="G141" s="61" t="s">
        <v>350</v>
      </c>
      <c r="H141" s="61" t="s">
        <v>404</v>
      </c>
      <c r="I141" s="61" t="s">
        <v>433</v>
      </c>
      <c r="J141" s="61" t="n">
        <v>75.6</v>
      </c>
      <c r="K141" s="61" t="s">
        <v>434</v>
      </c>
      <c r="L141" s="61" t="s">
        <v>435</v>
      </c>
      <c r="M141" s="42"/>
      <c r="N141" s="46" t="e">
        <f t="shared" si="8"/>
        <v>#DIV/0!</v>
      </c>
      <c r="O141" s="46" t="str">
        <f t="shared" si="9"/>
        <v/>
      </c>
      <c r="P141" s="46">
        <f t="shared" si="10"/>
        <v>1</v>
      </c>
      <c r="Q141" s="46"/>
      <c r="R141" s="45"/>
      <c r="S141" s="45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</row>
    <row r="142" spans="1:31" ht="14.25">
      <c r="A142" s="67" t="s">
        <v>430</v>
      </c>
      <c r="B142" s="68" t="s">
        <v>524</v>
      </c>
      <c r="C142" s="67" t="s">
        <v>439</v>
      </c>
      <c r="D142" s="75" t="n">
        <v>65.1</v>
      </c>
      <c r="E142" s="76" t="s">
        <v>0</v>
      </c>
      <c r="F142" s="57" t="str">
        <f>IFERROR(VLOOKUP(C142,$C$9:H141,4,FALSE),"")</f>
        <v/>
      </c>
      <c r="G142" s="61" t="s">
        <v>350</v>
      </c>
      <c r="H142" s="61" t="s">
        <v>404</v>
      </c>
      <c r="I142" s="61" t="s">
        <v>433</v>
      </c>
      <c r="J142" s="61" t="n">
        <v>65.1</v>
      </c>
      <c r="K142" s="61" t="s">
        <v>434</v>
      </c>
      <c r="L142" s="61" t="s">
        <v>435</v>
      </c>
      <c r="M142" s="42"/>
      <c r="N142" s="46" t="e">
        <f t="shared" si="8"/>
        <v>#DIV/0!</v>
      </c>
      <c r="O142" s="46" t="str">
        <f t="shared" si="9"/>
        <v/>
      </c>
      <c r="P142" s="46">
        <f t="shared" si="10"/>
        <v>1</v>
      </c>
      <c r="Q142" s="46"/>
      <c r="R142" s="45"/>
      <c r="S142" s="45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</row>
    <row r="143" spans="1:31" ht="14.25">
      <c r="A143" s="67" t="s">
        <v>502</v>
      </c>
      <c r="B143" s="71" t="s">
        <v>524</v>
      </c>
      <c r="C143" s="67" t="s">
        <v>526</v>
      </c>
      <c r="D143" s="75" t="n">
        <v>156.95</v>
      </c>
      <c r="E143" s="76" t="s">
        <v>0</v>
      </c>
      <c r="F143" s="57" t="str">
        <f>IFERROR(VLOOKUP(C143,$C$9:H142,4,FALSE),"")</f>
        <v/>
      </c>
      <c r="G143" s="61" t="str">
        <f>IFERROR(VLOOKUP(C143,$C$9:G142,5,FALSE),"")</f>
        <v/>
      </c>
      <c r="H143" s="61" t="str">
        <f>IFERROR(VLOOKUP(C143,$C$9:H142,6,FALSE),"")</f>
        <v/>
      </c>
      <c r="I143" s="61" t="s">
        <v>433</v>
      </c>
      <c r="J143" s="61" t="n">
        <v>156.95</v>
      </c>
      <c r="K143" s="61" t="s">
        <v>434</v>
      </c>
      <c r="L143" s="61" t="s">
        <v>435</v>
      </c>
      <c r="M143" s="42"/>
      <c r="N143" s="46" t="e">
        <f t="shared" si="8"/>
        <v>#DIV/0!</v>
      </c>
      <c r="O143" s="46" t="str">
        <f t="shared" si="9"/>
        <v/>
      </c>
      <c r="P143" s="46">
        <f t="shared" si="10"/>
        <v>1</v>
      </c>
      <c r="Q143" s="46"/>
      <c r="R143" s="45"/>
      <c r="S143" s="45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</row>
    <row r="144" spans="1:31" ht="14.25">
      <c r="A144" s="67" t="s">
        <v>443</v>
      </c>
      <c r="B144" s="71" t="s">
        <v>524</v>
      </c>
      <c r="C144" s="67" t="s">
        <v>452</v>
      </c>
      <c r="D144" s="75" t="n">
        <v>3.9</v>
      </c>
      <c r="E144" s="76" t="s">
        <v>0</v>
      </c>
      <c r="F144" s="57" t="str">
        <f>IFERROR(VLOOKUP(C144,$C$9:H143,4,FALSE),"")</f>
        <v/>
      </c>
      <c r="G144" s="61" t="s">
        <v>414</v>
      </c>
      <c r="H144" s="61" t="s">
        <v>414</v>
      </c>
      <c r="I144" s="61"/>
      <c r="J144" s="61" t="n">
        <v>0.0</v>
      </c>
      <c r="K144" s="61"/>
      <c r="L144" s="61" t="s">
        <v>445</v>
      </c>
      <c r="M144" s="42"/>
      <c r="N144" s="46" t="e">
        <f t="shared" si="8"/>
        <v>#DIV/0!</v>
      </c>
      <c r="O144" s="46" t="str">
        <f t="shared" si="9"/>
        <v/>
      </c>
      <c r="P144" s="46">
        <f t="shared" si="10"/>
        <v>1</v>
      </c>
      <c r="Q144" s="46"/>
      <c r="R144" s="45"/>
      <c r="S144" s="45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</row>
    <row r="145" spans="1:31" ht="14.25">
      <c r="A145" s="67" t="s">
        <v>430</v>
      </c>
      <c r="B145" s="68" t="s">
        <v>527</v>
      </c>
      <c r="C145" s="67" t="s">
        <v>432</v>
      </c>
      <c r="D145" s="75" t="n">
        <v>12.0</v>
      </c>
      <c r="E145" s="76" t="s">
        <v>0</v>
      </c>
      <c r="F145" s="57" t="str">
        <f>IFERROR(VLOOKUP(C145,$C$9:H144,4,FALSE),"")</f>
        <v/>
      </c>
      <c r="G145" s="61" t="s">
        <v>350</v>
      </c>
      <c r="H145" s="61" t="s">
        <v>404</v>
      </c>
      <c r="I145" s="61" t="s">
        <v>433</v>
      </c>
      <c r="J145" s="61" t="n">
        <v>12.0</v>
      </c>
      <c r="K145" s="61" t="s">
        <v>434</v>
      </c>
      <c r="L145" s="61" t="s">
        <v>435</v>
      </c>
      <c r="M145" s="42"/>
      <c r="N145" s="46" t="e">
        <f t="shared" si="8"/>
        <v>#DIV/0!</v>
      </c>
      <c r="O145" s="46" t="str">
        <f t="shared" si="9"/>
        <v/>
      </c>
      <c r="P145" s="46">
        <f t="shared" si="10"/>
        <v>1</v>
      </c>
      <c r="Q145" s="46"/>
      <c r="R145" s="45"/>
      <c r="S145" s="45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</row>
    <row r="146" spans="1:31" ht="14.25">
      <c r="A146" s="67" t="s">
        <v>430</v>
      </c>
      <c r="B146" s="68" t="s">
        <v>527</v>
      </c>
      <c r="C146" s="67" t="s">
        <v>439</v>
      </c>
      <c r="D146" s="75" t="n">
        <v>156.9</v>
      </c>
      <c r="E146" s="76" t="s">
        <v>0</v>
      </c>
      <c r="F146" s="57" t="str">
        <f>IFERROR(VLOOKUP(C146,$C$9:H145,4,FALSE),"")</f>
        <v/>
      </c>
      <c r="G146" s="61" t="s">
        <v>350</v>
      </c>
      <c r="H146" s="61" t="s">
        <v>404</v>
      </c>
      <c r="I146" s="61" t="s">
        <v>433</v>
      </c>
      <c r="J146" s="61" t="n">
        <v>156.9</v>
      </c>
      <c r="K146" s="61" t="s">
        <v>434</v>
      </c>
      <c r="L146" s="61" t="s">
        <v>435</v>
      </c>
      <c r="M146" s="42"/>
      <c r="N146" s="46" t="e">
        <f t="shared" si="8"/>
        <v>#DIV/0!</v>
      </c>
      <c r="O146" s="46" t="str">
        <f t="shared" si="9"/>
        <v/>
      </c>
      <c r="P146" s="46">
        <f t="shared" si="10"/>
        <v>1</v>
      </c>
      <c r="Q146" s="46"/>
      <c r="R146" s="45"/>
      <c r="S146" s="45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</row>
    <row r="147" spans="1:31" ht="14.25">
      <c r="A147" s="67" t="s">
        <v>443</v>
      </c>
      <c r="B147" s="68" t="s">
        <v>527</v>
      </c>
      <c r="C147" s="67" t="s">
        <v>452</v>
      </c>
      <c r="D147" s="75" t="n">
        <v>156.95</v>
      </c>
      <c r="E147" s="76" t="s">
        <v>0</v>
      </c>
      <c r="F147" s="57" t="str">
        <f>IFERROR(VLOOKUP(C147,$C$9:H146,4,FALSE),"")</f>
        <v/>
      </c>
      <c r="G147" s="61" t="s">
        <v>414</v>
      </c>
      <c r="H147" s="61" t="s">
        <v>414</v>
      </c>
      <c r="I147" s="61"/>
      <c r="J147" s="61" t="n">
        <v>0.0</v>
      </c>
      <c r="K147" s="61"/>
      <c r="L147" s="61" t="s">
        <v>445</v>
      </c>
      <c r="M147" s="42"/>
      <c r="N147" s="46" t="e">
        <f t="shared" si="8"/>
        <v>#DIV/0!</v>
      </c>
      <c r="O147" s="46" t="str">
        <f t="shared" si="9"/>
        <v/>
      </c>
      <c r="P147" s="46">
        <f t="shared" si="10"/>
        <v>1</v>
      </c>
      <c r="Q147" s="46"/>
      <c r="R147" s="45"/>
      <c r="S147" s="45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</row>
    <row r="148" spans="1:31" ht="14.25">
      <c r="A148" s="67" t="s">
        <v>430</v>
      </c>
      <c r="B148" s="78" t="s">
        <v>528</v>
      </c>
      <c r="C148" s="77" t="s">
        <v>521</v>
      </c>
      <c r="D148" s="75" t="n">
        <v>18.5</v>
      </c>
      <c r="E148" s="76" t="s">
        <v>0</v>
      </c>
      <c r="F148" s="57" t="str">
        <f>IFERROR(VLOOKUP(C148,$C$9:H147,4,FALSE),"")</f>
        <v/>
      </c>
      <c r="G148" s="61" t="s">
        <v>350</v>
      </c>
      <c r="H148" s="61" t="s">
        <v>404</v>
      </c>
      <c r="I148" s="61" t="s">
        <v>433</v>
      </c>
      <c r="J148" s="61" t="n">
        <v>18.5</v>
      </c>
      <c r="K148" s="61" t="s">
        <v>434</v>
      </c>
      <c r="L148" s="61" t="s">
        <v>435</v>
      </c>
      <c r="M148" s="42"/>
      <c r="N148" s="46" t="e">
        <f t="shared" si="8"/>
        <v>#DIV/0!</v>
      </c>
      <c r="O148" s="46" t="str">
        <f t="shared" si="9"/>
        <v/>
      </c>
      <c r="P148" s="46">
        <f t="shared" si="10"/>
        <v>1</v>
      </c>
      <c r="Q148" s="46"/>
      <c r="R148" s="45"/>
      <c r="S148" s="45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</row>
    <row r="149" spans="1:31" ht="14.25">
      <c r="A149" s="67" t="s">
        <v>430</v>
      </c>
      <c r="B149" s="68" t="s">
        <v>528</v>
      </c>
      <c r="C149" s="67" t="s">
        <v>439</v>
      </c>
      <c r="D149" s="75" t="n">
        <v>69.0</v>
      </c>
      <c r="E149" s="76" t="s">
        <v>0</v>
      </c>
      <c r="F149" s="57" t="str">
        <f>IFERROR(VLOOKUP(C149,$C$9:H148,4,FALSE),"")</f>
        <v/>
      </c>
      <c r="G149" s="61" t="s">
        <v>350</v>
      </c>
      <c r="H149" s="61" t="s">
        <v>404</v>
      </c>
      <c r="I149" s="61" t="s">
        <v>433</v>
      </c>
      <c r="J149" s="61" t="n">
        <v>69.0</v>
      </c>
      <c r="K149" s="61" t="s">
        <v>434</v>
      </c>
      <c r="L149" s="61" t="s">
        <v>435</v>
      </c>
      <c r="M149" s="42"/>
      <c r="N149" s="46" t="e">
        <f t="shared" si="8"/>
        <v>#DIV/0!</v>
      </c>
      <c r="O149" s="46" t="str">
        <f t="shared" si="9"/>
        <v/>
      </c>
      <c r="P149" s="46">
        <f t="shared" si="10"/>
        <v>1</v>
      </c>
      <c r="Q149" s="46"/>
      <c r="R149" s="45"/>
      <c r="S149" s="45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</row>
    <row r="150" spans="1:31" ht="14.25">
      <c r="A150" s="67" t="s">
        <v>430</v>
      </c>
      <c r="B150" s="68" t="s">
        <v>528</v>
      </c>
      <c r="C150" s="67" t="s">
        <v>439</v>
      </c>
      <c r="D150" s="75" t="n">
        <v>59.0</v>
      </c>
      <c r="E150" s="76" t="s">
        <v>0</v>
      </c>
      <c r="F150" s="57" t="str">
        <f>IFERROR(VLOOKUP(C150,$C$9:H149,4,FALSE),"")</f>
        <v/>
      </c>
      <c r="G150" s="61" t="s">
        <v>350</v>
      </c>
      <c r="H150" s="61" t="s">
        <v>404</v>
      </c>
      <c r="I150" t="s" s="58">
        <v>433</v>
      </c>
      <c r="J150" t="n">
        <v>59.0</v>
      </c>
      <c r="K150" t="s">
        <v>434</v>
      </c>
      <c r="L150" t="s">
        <v>435</v>
      </c>
      <c r="M150"/>
      <c r="N150" s="46" t="e">
        <f t="shared" si="8"/>
        <v>#DIV/0!</v>
      </c>
      <c r="O150" s="46" t="str">
        <f t="shared" si="9"/>
        <v/>
      </c>
      <c r="P150" s="46">
        <f t="shared" si="10"/>
        <v>1</v>
      </c>
      <c r="Q150" s="46"/>
      <c r="R150" s="45"/>
      <c r="S150" s="45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</row>
    <row r="151" spans="1:31" ht="14.25">
      <c r="A151" s="67" t="s">
        <v>430</v>
      </c>
      <c r="B151" s="71" t="s">
        <v>529</v>
      </c>
      <c r="C151" s="67" t="s">
        <v>456</v>
      </c>
      <c r="D151" s="75" t="n">
        <v>76.0</v>
      </c>
      <c r="E151" s="76" t="s">
        <v>0</v>
      </c>
      <c r="F151" s="57" t="str">
        <f>IFERROR(VLOOKUP(C151,$C$9:H150,4,FALSE),"")</f>
        <v/>
      </c>
      <c r="G151" s="61" t="str">
        <f>IFERROR(VLOOKUP(C151,$C$9:G150,5,FALSE),"")</f>
        <v/>
      </c>
      <c r="H151" s="61" t="str">
        <f>IFERROR(VLOOKUP(C151,$C$9:H150,6,FALSE),"")</f>
        <v/>
      </c>
      <c r="I151" s="61" t="s">
        <v>433</v>
      </c>
      <c r="J151" s="61" t="n">
        <v>76.0</v>
      </c>
      <c r="K151" s="61" t="s">
        <v>434</v>
      </c>
      <c r="L151" s="61" t="s">
        <v>435</v>
      </c>
      <c r="M151" s="42"/>
      <c r="N151" s="46" t="e">
        <f t="shared" si="8"/>
        <v>#DIV/0!</v>
      </c>
      <c r="O151" s="46" t="str">
        <f t="shared" si="9"/>
        <v/>
      </c>
      <c r="P151" s="46">
        <f t="shared" si="10"/>
        <v>1</v>
      </c>
      <c r="Q151" s="46"/>
      <c r="R151" s="45"/>
      <c r="S151" s="45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</row>
    <row r="152" spans="1:31" ht="14.25">
      <c r="A152" s="67" t="s">
        <v>430</v>
      </c>
      <c r="B152" s="71" t="s">
        <v>529</v>
      </c>
      <c r="C152" s="67" t="s">
        <v>456</v>
      </c>
      <c r="D152" s="75" t="n">
        <v>199.0</v>
      </c>
      <c r="E152" s="76" t="s">
        <v>0</v>
      </c>
      <c r="F152" s="57" t="str">
        <f>IFERROR(VLOOKUP(C152,$C$9:H151,4,FALSE),"")</f>
        <v/>
      </c>
      <c r="G152" s="61" t="str">
        <f>IFERROR(VLOOKUP(C152,$C$9:G151,5,FALSE),"")</f>
        <v/>
      </c>
      <c r="H152" s="61" t="str">
        <f>IFERROR(VLOOKUP(C152,$C$9:H151,6,FALSE),"")</f>
        <v/>
      </c>
      <c r="I152" s="61" t="s">
        <v>433</v>
      </c>
      <c r="J152" s="61" t="n">
        <v>199.0</v>
      </c>
      <c r="K152" s="61" t="s">
        <v>434</v>
      </c>
      <c r="L152" s="61" t="s">
        <v>435</v>
      </c>
      <c r="M152" s="42"/>
      <c r="N152" s="46" t="e">
        <f t="shared" si="8"/>
        <v>#DIV/0!</v>
      </c>
      <c r="O152" s="46" t="str">
        <f t="shared" si="9"/>
        <v/>
      </c>
      <c r="P152" s="46">
        <f t="shared" si="10"/>
        <v>1</v>
      </c>
      <c r="Q152" s="46"/>
      <c r="R152" s="45"/>
      <c r="S152" s="45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</row>
    <row r="153" spans="1:31" ht="14.25">
      <c r="A153" s="67" t="s">
        <v>430</v>
      </c>
      <c r="B153" s="71" t="s">
        <v>529</v>
      </c>
      <c r="C153" s="67" t="s">
        <v>530</v>
      </c>
      <c r="D153" s="75" t="n">
        <v>25.0</v>
      </c>
      <c r="E153" s="76" t="s">
        <v>0</v>
      </c>
      <c r="F153" s="57" t="str">
        <f>IFERROR(VLOOKUP(C153,$C$9:H152,4,FALSE),"")</f>
        <v/>
      </c>
      <c r="G153" s="61" t="str">
        <f>IFERROR(VLOOKUP(C153,$C$9:G152,5,FALSE),"")</f>
        <v/>
      </c>
      <c r="H153" s="61" t="str">
        <f>IFERROR(VLOOKUP(C153,$C$9:H152,6,FALSE),"")</f>
        <v/>
      </c>
      <c r="I153" s="61" t="s">
        <v>433</v>
      </c>
      <c r="J153" s="61" t="n">
        <v>25.0</v>
      </c>
      <c r="K153" s="61" t="s">
        <v>434</v>
      </c>
      <c r="L153" s="61" t="s">
        <v>435</v>
      </c>
      <c r="M153" s="42"/>
      <c r="N153" s="46" t="e">
        <f t="shared" si="8"/>
        <v>#DIV/0!</v>
      </c>
      <c r="O153" s="46" t="str">
        <f t="shared" si="9"/>
        <v/>
      </c>
      <c r="P153" s="46">
        <f t="shared" si="10"/>
        <v>1</v>
      </c>
      <c r="Q153" s="46"/>
      <c r="R153" s="45"/>
      <c r="S153" s="45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</row>
    <row r="154" spans="1:31" ht="14.25">
      <c r="A154" s="67" t="s">
        <v>430</v>
      </c>
      <c r="B154" s="68" t="s">
        <v>529</v>
      </c>
      <c r="C154" s="67" t="s">
        <v>531</v>
      </c>
      <c r="D154" s="75" t="n">
        <v>69.0</v>
      </c>
      <c r="E154" s="76" t="s">
        <v>0</v>
      </c>
      <c r="F154" s="57" t="str">
        <f>IFERROR(VLOOKUP(C154,$C$9:H153,4,FALSE),"")</f>
        <v/>
      </c>
      <c r="G154" s="61" t="str">
        <f>IFERROR(VLOOKUP(C154,$C$9:G153,5,FALSE),"")</f>
        <v/>
      </c>
      <c r="H154" s="61" t="str">
        <f>IFERROR(VLOOKUP(C154,$C$9:H153,6,FALSE),"")</f>
        <v/>
      </c>
      <c r="I154" s="61" t="s">
        <v>433</v>
      </c>
      <c r="J154" s="61" t="n">
        <v>69.0</v>
      </c>
      <c r="K154" s="61" t="s">
        <v>434</v>
      </c>
      <c r="L154" s="61" t="s">
        <v>435</v>
      </c>
      <c r="M154" s="42"/>
      <c r="N154" s="46" t="e">
        <f t="shared" si="8"/>
        <v>#DIV/0!</v>
      </c>
      <c r="O154" s="46" t="str">
        <f t="shared" si="9"/>
        <v/>
      </c>
      <c r="P154" s="46">
        <f t="shared" si="10"/>
        <v>1</v>
      </c>
      <c r="Q154" s="46"/>
      <c r="R154" s="45"/>
      <c r="S154" s="45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</row>
    <row r="155" spans="1:31" ht="14.25">
      <c r="A155" s="67" t="s">
        <v>430</v>
      </c>
      <c r="B155" s="68" t="s">
        <v>529</v>
      </c>
      <c r="C155" s="67" t="s">
        <v>439</v>
      </c>
      <c r="D155" s="75" t="n">
        <v>68.25</v>
      </c>
      <c r="E155" s="76" t="s">
        <v>0</v>
      </c>
      <c r="F155" s="57" t="str">
        <f>IFERROR(VLOOKUP(C155,$C$9:H154,4,FALSE),"")</f>
        <v/>
      </c>
      <c r="G155" s="61" t="s">
        <v>350</v>
      </c>
      <c r="H155" s="61" t="s">
        <v>404</v>
      </c>
      <c r="I155" s="61" t="s">
        <v>433</v>
      </c>
      <c r="J155" s="61" t="n">
        <v>68.25</v>
      </c>
      <c r="K155" s="61" t="s">
        <v>434</v>
      </c>
      <c r="L155" s="61" t="s">
        <v>435</v>
      </c>
      <c r="M155" s="42"/>
      <c r="N155" s="46" t="e">
        <f t="shared" si="8"/>
        <v>#DIV/0!</v>
      </c>
      <c r="O155" s="46" t="str">
        <f t="shared" si="9"/>
        <v/>
      </c>
      <c r="P155" s="46">
        <f t="shared" si="10"/>
        <v>1</v>
      </c>
      <c r="Q155" s="46"/>
      <c r="R155" s="45"/>
      <c r="S155" s="45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</row>
    <row r="156" spans="1:31" ht="14.25">
      <c r="A156" s="67" t="s">
        <v>430</v>
      </c>
      <c r="B156" s="68" t="s">
        <v>529</v>
      </c>
      <c r="C156" s="67" t="s">
        <v>439</v>
      </c>
      <c r="D156" s="75" t="n">
        <v>66.15</v>
      </c>
      <c r="E156" s="76" t="s">
        <v>0</v>
      </c>
      <c r="F156" s="57" t="str">
        <f>IFERROR(VLOOKUP(C156,$C$9:H155,4,FALSE),"")</f>
        <v/>
      </c>
      <c r="G156" s="61" t="s">
        <v>350</v>
      </c>
      <c r="H156" s="61" t="s">
        <v>404</v>
      </c>
      <c r="I156" s="61" t="s">
        <v>433</v>
      </c>
      <c r="J156" s="61" t="n">
        <v>66.15</v>
      </c>
      <c r="K156" s="61" t="s">
        <v>434</v>
      </c>
      <c r="L156" s="61" t="s">
        <v>435</v>
      </c>
      <c r="M156" s="42"/>
      <c r="N156" s="46" t="e">
        <f t="shared" si="8"/>
        <v>#DIV/0!</v>
      </c>
      <c r="O156" s="46" t="str">
        <f t="shared" si="9"/>
        <v/>
      </c>
      <c r="P156" s="46">
        <f t="shared" si="10"/>
        <v>1</v>
      </c>
      <c r="Q156" s="46"/>
      <c r="R156" s="45"/>
      <c r="S156" s="45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</row>
    <row r="157" spans="1:31" ht="14.25">
      <c r="A157" s="67" t="s">
        <v>430</v>
      </c>
      <c r="B157" s="68" t="s">
        <v>529</v>
      </c>
      <c r="C157" s="67" t="s">
        <v>513</v>
      </c>
      <c r="D157" s="75" t="n">
        <v>150.0</v>
      </c>
      <c r="E157" s="76" t="s">
        <v>0</v>
      </c>
      <c r="F157" s="57" t="str">
        <f>IFERROR(VLOOKUP(C157,$C$9:H156,4,FALSE),"")</f>
        <v/>
      </c>
      <c r="G157" s="61" t="str">
        <f>IFERROR(VLOOKUP(C157,$C$9:G156,5,FALSE),"")</f>
        <v/>
      </c>
      <c r="H157" s="61" t="str">
        <f>IFERROR(VLOOKUP(C157,$C$9:H156,6,FALSE),"")</f>
        <v/>
      </c>
      <c r="I157" s="61" t="s">
        <v>514</v>
      </c>
      <c r="J157" s="61" t="n">
        <v>150.0</v>
      </c>
      <c r="K157" s="61" t="s">
        <v>434</v>
      </c>
      <c r="L157" s="61" t="s">
        <v>435</v>
      </c>
      <c r="M157" s="42"/>
      <c r="N157" s="46" t="e">
        <f t="shared" si="8"/>
        <v>#DIV/0!</v>
      </c>
      <c r="O157" s="46" t="str">
        <f t="shared" si="9"/>
        <v/>
      </c>
      <c r="P157" s="46">
        <f t="shared" si="10"/>
        <v>1</v>
      </c>
      <c r="Q157" s="46"/>
      <c r="R157" s="45"/>
      <c r="S157" s="45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</row>
    <row r="158" spans="1:31" ht="14.25">
      <c r="A158" s="67" t="s">
        <v>430</v>
      </c>
      <c r="B158" s="68" t="s">
        <v>532</v>
      </c>
      <c r="C158" s="67" t="s">
        <v>475</v>
      </c>
      <c r="D158" s="75" t="n">
        <v>37.8</v>
      </c>
      <c r="E158" s="76" t="s">
        <v>0</v>
      </c>
      <c r="F158" s="57" t="str">
        <f>IFERROR(VLOOKUP(C158,$C$9:H157,4,FALSE),"")</f>
        <v/>
      </c>
      <c r="G158" s="61" t="str">
        <f>IFERROR(VLOOKUP(C158,$C$9:G157,5,FALSE),"")</f>
        <v/>
      </c>
      <c r="H158" s="61" t="str">
        <f>IFERROR(VLOOKUP(C158,$C$9:H157,6,FALSE),"")</f>
        <v/>
      </c>
      <c r="I158" s="61" t="s">
        <v>433</v>
      </c>
      <c r="J158" s="61" t="n">
        <v>37.8</v>
      </c>
      <c r="K158" s="61" t="s">
        <v>434</v>
      </c>
      <c r="L158" s="61" t="s">
        <v>435</v>
      </c>
      <c r="M158" s="42"/>
      <c r="N158" s="46" t="e">
        <f t="shared" si="8"/>
        <v>#DIV/0!</v>
      </c>
      <c r="O158" s="46" t="str">
        <f t="shared" si="9"/>
        <v/>
      </c>
      <c r="P158" s="46">
        <f t="shared" si="10"/>
        <v>1</v>
      </c>
      <c r="Q158" s="46"/>
      <c r="R158" s="45"/>
      <c r="S158" s="45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</row>
    <row r="159" spans="1:31" ht="14.25">
      <c r="A159" s="67" t="s">
        <v>430</v>
      </c>
      <c r="B159" s="68" t="s">
        <v>532</v>
      </c>
      <c r="C159" s="67" t="s">
        <v>460</v>
      </c>
      <c r="D159" s="75" t="n">
        <v>108.89</v>
      </c>
      <c r="E159" s="76" t="s">
        <v>0</v>
      </c>
      <c r="F159" s="57" t="str">
        <f>IFERROR(VLOOKUP(C159,$C$9:H158,4,FALSE),"")</f>
        <v/>
      </c>
      <c r="G159" s="61" t="str">
        <f>IFERROR(VLOOKUP(C159,$C$9:G158,5,FALSE),"")</f>
        <v/>
      </c>
      <c r="H159" s="61" t="str">
        <f>IFERROR(VLOOKUP(C159,$C$9:H158,6,FALSE),"")</f>
        <v/>
      </c>
      <c r="I159" s="61" t="s">
        <v>433</v>
      </c>
      <c r="J159" s="61" t="n">
        <v>108.89</v>
      </c>
      <c r="K159" s="61" t="s">
        <v>434</v>
      </c>
      <c r="L159" s="61" t="s">
        <v>435</v>
      </c>
      <c r="M159" s="42"/>
      <c r="N159" s="46" t="e">
        <f t="shared" si="8"/>
        <v>#DIV/0!</v>
      </c>
      <c r="O159" s="46" t="str">
        <f t="shared" si="9"/>
        <v/>
      </c>
      <c r="P159" s="46">
        <f t="shared" si="10"/>
        <v>1</v>
      </c>
      <c r="Q159" s="46"/>
      <c r="R159" s="45"/>
      <c r="S159" s="45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</row>
    <row r="160" spans="1:31" ht="14.25">
      <c r="A160" s="67" t="s">
        <v>430</v>
      </c>
      <c r="B160" s="68" t="s">
        <v>532</v>
      </c>
      <c r="C160" s="67" t="s">
        <v>533</v>
      </c>
      <c r="D160" s="75" t="n">
        <v>10.0</v>
      </c>
      <c r="E160" s="76" t="s">
        <v>0</v>
      </c>
      <c r="F160" s="57" t="str">
        <f>IFERROR(VLOOKUP(C160,$C$9:H159,4,FALSE),"")</f>
        <v/>
      </c>
      <c r="G160" s="61" t="str">
        <f>IFERROR(VLOOKUP(C160,$C$9:G159,5,FALSE),"")</f>
        <v/>
      </c>
      <c r="H160" s="61" t="str">
        <f>IFERROR(VLOOKUP(C160,$C$9:H159,6,FALSE),"")</f>
        <v/>
      </c>
      <c r="I160" s="61" t="s">
        <v>433</v>
      </c>
      <c r="J160" s="61" t="n">
        <v>10.0</v>
      </c>
      <c r="K160" s="61" t="s">
        <v>434</v>
      </c>
      <c r="L160" s="61" t="s">
        <v>435</v>
      </c>
      <c r="M160" s="42"/>
      <c r="N160" s="46" t="e">
        <f t="shared" si="8"/>
        <v>#DIV/0!</v>
      </c>
      <c r="O160" s="46" t="str">
        <f t="shared" si="9"/>
        <v/>
      </c>
      <c r="P160" s="46">
        <f t="shared" si="10"/>
        <v>1</v>
      </c>
      <c r="Q160" s="46"/>
      <c r="R160" s="45"/>
      <c r="S160" s="45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</row>
    <row r="161" spans="1:31" ht="14.25">
      <c r="A161" s="67" t="s">
        <v>430</v>
      </c>
      <c r="B161" s="78" t="s">
        <v>532</v>
      </c>
      <c r="C161" s="77" t="s">
        <v>534</v>
      </c>
      <c r="D161" s="75" t="n">
        <v>15.0</v>
      </c>
      <c r="E161" s="76" t="s">
        <v>0</v>
      </c>
      <c r="F161" s="57" t="str">
        <f>IFERROR(VLOOKUP(C161,$C$9:H160,4,FALSE),"")</f>
        <v/>
      </c>
      <c r="G161" s="61" t="str">
        <f>IFERROR(VLOOKUP(C161,$C$9:G160,5,FALSE),"")</f>
        <v/>
      </c>
      <c r="H161" s="61" t="str">
        <f>IFERROR(VLOOKUP(C161,$C$9:H160,6,FALSE),"")</f>
        <v/>
      </c>
      <c r="I161" s="61" t="s">
        <v>433</v>
      </c>
      <c r="J161" s="61" t="n">
        <v>15.0</v>
      </c>
      <c r="K161" s="61" t="s">
        <v>434</v>
      </c>
      <c r="L161" s="61" t="s">
        <v>435</v>
      </c>
      <c r="M161" s="42"/>
      <c r="N161" s="46" t="e">
        <f t="shared" si="8"/>
        <v>#DIV/0!</v>
      </c>
      <c r="O161" s="46" t="str">
        <f t="shared" si="9"/>
        <v/>
      </c>
      <c r="P161" s="46">
        <f t="shared" si="10"/>
        <v>1</v>
      </c>
      <c r="Q161" s="46"/>
      <c r="R161" s="45"/>
      <c r="S161" s="45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</row>
    <row r="162" spans="1:31" ht="14.25">
      <c r="A162" s="67" t="s">
        <v>430</v>
      </c>
      <c r="B162" s="78" t="s">
        <v>532</v>
      </c>
      <c r="C162" s="77" t="s">
        <v>535</v>
      </c>
      <c r="D162" s="75" t="n">
        <v>5.0</v>
      </c>
      <c r="E162" s="76" t="s">
        <v>0</v>
      </c>
      <c r="F162" s="57" t="str">
        <f>IFERROR(VLOOKUP(C162,$C$9:H161,4,FALSE),"")</f>
        <v/>
      </c>
      <c r="G162" s="61" t="str">
        <f>IFERROR(VLOOKUP(C162,$C$9:G161,5,FALSE),"")</f>
        <v/>
      </c>
      <c r="H162" s="61" t="str">
        <f>IFERROR(VLOOKUP(C162,$C$9:H161,6,FALSE),"")</f>
        <v/>
      </c>
      <c r="I162" s="61" t="s">
        <v>433</v>
      </c>
      <c r="J162" s="61" t="n">
        <v>5.0</v>
      </c>
      <c r="K162" s="61" t="s">
        <v>434</v>
      </c>
      <c r="L162" s="61" t="s">
        <v>435</v>
      </c>
      <c r="M162" s="42"/>
      <c r="N162" s="46" t="e">
        <f t="shared" si="8"/>
        <v>#DIV/0!</v>
      </c>
      <c r="O162" s="46" t="str">
        <f t="shared" si="9"/>
        <v/>
      </c>
      <c r="P162" s="46">
        <f t="shared" si="10"/>
        <v>1</v>
      </c>
      <c r="Q162" s="46"/>
      <c r="R162" s="45"/>
      <c r="S162" s="45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</row>
    <row r="163" spans="1:31" ht="14.25">
      <c r="A163" s="67" t="s">
        <v>443</v>
      </c>
      <c r="B163" s="78" t="s">
        <v>532</v>
      </c>
      <c r="C163" s="77" t="s">
        <v>465</v>
      </c>
      <c r="D163" s="75" t="n">
        <v>40.0</v>
      </c>
      <c r="E163" s="76" t="s">
        <v>1</v>
      </c>
      <c r="F163" s="57" t="str">
        <f>IFERROR(VLOOKUP(C163,$C$9:H162,4,FALSE),"")</f>
        <v/>
      </c>
      <c r="G163" s="61" t="str">
        <f>IFERROR(VLOOKUP(C163,$C$9:G162,5,FALSE),"")</f>
        <v/>
      </c>
      <c r="H163" s="61" t="str">
        <f>IFERROR(VLOOKUP(C163,$C$9:H162,6,FALSE),"")</f>
        <v/>
      </c>
      <c r="I163" s="61" t="s">
        <v>466</v>
      </c>
      <c r="J163" s="61" t="n">
        <v>0.0</v>
      </c>
      <c r="K163" s="61"/>
      <c r="L163" s="61" t="s">
        <v>445</v>
      </c>
      <c r="M163" s="42"/>
      <c r="N163" s="46" t="e">
        <f t="shared" si="8"/>
        <v>#DIV/0!</v>
      </c>
      <c r="O163" s="46" t="str">
        <f t="shared" si="9"/>
        <v/>
      </c>
      <c r="P163" s="46">
        <f t="shared" si="10"/>
        <v>1</v>
      </c>
      <c r="Q163" s="46"/>
      <c r="R163" s="45"/>
      <c r="S163" s="45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</row>
    <row r="164" spans="1:31" ht="14.25">
      <c r="A164" s="67" t="s">
        <v>430</v>
      </c>
      <c r="B164" s="78" t="s">
        <v>536</v>
      </c>
      <c r="C164" s="77" t="s">
        <v>537</v>
      </c>
      <c r="D164" s="75" t="n">
        <v>120.0</v>
      </c>
      <c r="E164" s="76" t="s">
        <v>0</v>
      </c>
      <c r="F164" s="57" t="str">
        <f>IFERROR(VLOOKUP(C164,$C$9:H163,4,FALSE),"")</f>
        <v/>
      </c>
      <c r="G164" s="61" t="s">
        <v>350</v>
      </c>
      <c r="H164" s="61" t="s">
        <v>340</v>
      </c>
      <c r="I164" s="61" t="s">
        <v>437</v>
      </c>
      <c r="J164" s="61" t="n">
        <v>120.0</v>
      </c>
      <c r="K164" s="61" t="s">
        <v>434</v>
      </c>
      <c r="L164" s="61" t="s">
        <v>435</v>
      </c>
      <c r="M164" s="42"/>
      <c r="N164" s="46" t="e">
        <f t="shared" si="8"/>
        <v>#DIV/0!</v>
      </c>
      <c r="O164" s="46" t="str">
        <f t="shared" si="9"/>
        <v/>
      </c>
      <c r="P164" s="46">
        <f t="shared" si="10"/>
        <v>1</v>
      </c>
      <c r="Q164" s="46"/>
      <c r="R164" s="45"/>
      <c r="S164" s="45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</row>
    <row r="165" spans="1:31" ht="14.25">
      <c r="A165" s="67" t="s">
        <v>430</v>
      </c>
      <c r="B165" s="68" t="s">
        <v>536</v>
      </c>
      <c r="C165" s="67" t="s">
        <v>538</v>
      </c>
      <c r="D165" s="75" t="n">
        <v>139.6</v>
      </c>
      <c r="E165" s="76" t="s">
        <v>0</v>
      </c>
      <c r="F165" s="57" t="str">
        <f>IFERROR(VLOOKUP(C165,$C$9:H164,4,FALSE),"")</f>
        <v/>
      </c>
      <c r="G165" s="61" t="s">
        <v>352</v>
      </c>
      <c r="H165" s="61" t="s">
        <v>17</v>
      </c>
      <c r="I165" s="61" t="s">
        <v>433</v>
      </c>
      <c r="J165" s="61" t="n">
        <v>139.6</v>
      </c>
      <c r="K165" s="61" t="s">
        <v>434</v>
      </c>
      <c r="L165" s="61" t="s">
        <v>435</v>
      </c>
      <c r="M165" s="42"/>
      <c r="N165" s="46" t="e">
        <f t="shared" si="8"/>
        <v>#DIV/0!</v>
      </c>
      <c r="O165" s="46" t="str">
        <f t="shared" si="9"/>
        <v/>
      </c>
      <c r="P165" s="46">
        <f t="shared" si="10"/>
        <v>1</v>
      </c>
      <c r="Q165" s="46"/>
      <c r="R165" s="45"/>
      <c r="S165" s="45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</row>
    <row r="166" spans="1:31" ht="14.25">
      <c r="A166" s="67" t="s">
        <v>430</v>
      </c>
      <c r="B166" s="68" t="s">
        <v>536</v>
      </c>
      <c r="C166" s="67" t="s">
        <v>494</v>
      </c>
      <c r="D166" s="75" t="n">
        <v>18.0</v>
      </c>
      <c r="E166" s="76" t="s">
        <v>0</v>
      </c>
      <c r="F166" s="57" t="str">
        <f>IFERROR(VLOOKUP(C166,$C$9:H165,4,FALSE),"")</f>
        <v/>
      </c>
      <c r="G166" s="61" t="s">
        <v>350</v>
      </c>
      <c r="H166" s="61" t="s">
        <v>404</v>
      </c>
      <c r="I166" s="61" t="s">
        <v>433</v>
      </c>
      <c r="J166" s="61" t="n">
        <v>18.0</v>
      </c>
      <c r="K166" s="61" t="s">
        <v>434</v>
      </c>
      <c r="L166" s="61" t="s">
        <v>435</v>
      </c>
      <c r="M166" s="42"/>
      <c r="N166" s="46" t="e">
        <f t="shared" si="8"/>
        <v>#DIV/0!</v>
      </c>
      <c r="O166" s="46" t="str">
        <f t="shared" si="9"/>
        <v/>
      </c>
      <c r="P166" s="46">
        <f t="shared" si="10"/>
        <v>1</v>
      </c>
      <c r="Q166" s="46"/>
      <c r="R166" s="45"/>
      <c r="S166" s="45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</row>
    <row r="167" spans="1:31" ht="14.25">
      <c r="A167" s="67" t="s">
        <v>430</v>
      </c>
      <c r="B167" s="68" t="s">
        <v>536</v>
      </c>
      <c r="C167" s="67" t="s">
        <v>539</v>
      </c>
      <c r="D167" s="75" t="n">
        <v>3092.68</v>
      </c>
      <c r="E167" s="76" t="s">
        <v>0</v>
      </c>
      <c r="F167" s="57" t="str">
        <f>IFERROR(VLOOKUP(C167,$C$9:H166,4,FALSE),"")</f>
        <v/>
      </c>
      <c r="G167" s="61" t="str">
        <f>IFERROR(VLOOKUP(C167,$C$9:G166,5,FALSE),"")</f>
        <v/>
      </c>
      <c r="H167" s="61" t="str">
        <f>IFERROR(VLOOKUP(C167,$C$9:H166,6,FALSE),"")</f>
        <v/>
      </c>
      <c r="I167" s="61" t="s">
        <v>433</v>
      </c>
      <c r="J167" s="61" t="n">
        <v>3092.68</v>
      </c>
      <c r="K167" s="61" t="s">
        <v>434</v>
      </c>
      <c r="L167" s="61" t="s">
        <v>435</v>
      </c>
      <c r="M167" s="42"/>
      <c r="N167" s="46" t="e">
        <f t="shared" si="8"/>
        <v>#DIV/0!</v>
      </c>
      <c r="O167" s="46" t="str">
        <f t="shared" si="9"/>
        <v/>
      </c>
      <c r="P167" s="46">
        <f t="shared" si="10"/>
        <v>1</v>
      </c>
      <c r="Q167" s="46"/>
      <c r="R167" s="45"/>
      <c r="S167" s="45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</row>
    <row r="168" spans="1:31" ht="14.25">
      <c r="A168" s="67" t="s">
        <v>430</v>
      </c>
      <c r="B168" s="68" t="s">
        <v>540</v>
      </c>
      <c r="C168" s="67" t="s">
        <v>541</v>
      </c>
      <c r="D168" s="75" t="n">
        <v>180.14</v>
      </c>
      <c r="E168" s="76" t="s">
        <v>0</v>
      </c>
      <c r="F168" s="57" t="str">
        <f>IFERROR(VLOOKUP(C168,$C$9:H167,4,FALSE),"")</f>
        <v/>
      </c>
      <c r="G168" s="61" t="s">
        <v>354</v>
      </c>
      <c r="H168" s="61" t="s">
        <v>400</v>
      </c>
      <c r="I168" s="61" t="s">
        <v>437</v>
      </c>
      <c r="J168" s="61" t="n">
        <v>180.14</v>
      </c>
      <c r="K168" s="61" t="s">
        <v>434</v>
      </c>
      <c r="L168" s="61" t="s">
        <v>435</v>
      </c>
      <c r="M168" s="42"/>
      <c r="N168" s="46" t="e">
        <f t="shared" si="8"/>
        <v>#DIV/0!</v>
      </c>
      <c r="O168" s="46" t="str">
        <f t="shared" si="9"/>
        <v/>
      </c>
      <c r="P168" s="46">
        <f t="shared" si="10"/>
        <v>1</v>
      </c>
      <c r="Q168" s="46"/>
      <c r="R168" s="45"/>
      <c r="S168" s="45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</row>
    <row r="169" spans="1:31" ht="14.25">
      <c r="A169" s="67" t="s">
        <v>430</v>
      </c>
      <c r="B169" s="68" t="s">
        <v>540</v>
      </c>
      <c r="C169" s="67" t="s">
        <v>432</v>
      </c>
      <c r="D169" s="75" t="n">
        <v>12.0</v>
      </c>
      <c r="E169" s="76" t="s">
        <v>0</v>
      </c>
      <c r="F169" s="57" t="str">
        <f>IFERROR(VLOOKUP(C169,$C$9:H168,4,FALSE),"")</f>
        <v/>
      </c>
      <c r="G169" s="61" t="s">
        <v>350</v>
      </c>
      <c r="H169" s="61" t="s">
        <v>404</v>
      </c>
      <c r="I169" s="61" t="s">
        <v>433</v>
      </c>
      <c r="J169" s="61" t="n">
        <v>12.0</v>
      </c>
      <c r="K169" s="61" t="s">
        <v>434</v>
      </c>
      <c r="L169" s="61" t="s">
        <v>435</v>
      </c>
      <c r="M169" s="42"/>
      <c r="N169" s="46" t="e">
        <f t="shared" si="8"/>
        <v>#DIV/0!</v>
      </c>
      <c r="O169" s="46" t="str">
        <f t="shared" si="9"/>
        <v/>
      </c>
      <c r="P169" s="46">
        <f t="shared" si="10"/>
        <v>1</v>
      </c>
      <c r="Q169" s="46"/>
      <c r="R169" s="45"/>
      <c r="S169" s="45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</row>
    <row r="170" spans="1:31" ht="14.25">
      <c r="A170" s="67" t="s">
        <v>430</v>
      </c>
      <c r="B170" s="68" t="s">
        <v>540</v>
      </c>
      <c r="C170" s="67" t="s">
        <v>439</v>
      </c>
      <c r="D170" s="75" t="n">
        <v>65.0</v>
      </c>
      <c r="E170" s="76" t="s">
        <v>0</v>
      </c>
      <c r="F170" s="57" t="str">
        <f>IFERROR(VLOOKUP(C170,$C$9:H169,4,FALSE),"")</f>
        <v/>
      </c>
      <c r="G170" s="61" t="s">
        <v>350</v>
      </c>
      <c r="H170" s="61" t="s">
        <v>404</v>
      </c>
      <c r="I170" s="61" t="s">
        <v>433</v>
      </c>
      <c r="J170" s="61" t="n">
        <v>65.0</v>
      </c>
      <c r="K170" s="61" t="s">
        <v>434</v>
      </c>
      <c r="L170" s="61" t="s">
        <v>435</v>
      </c>
      <c r="M170" s="42"/>
      <c r="N170" s="46" t="e">
        <f t="shared" si="8"/>
        <v>#DIV/0!</v>
      </c>
      <c r="O170" s="46" t="str">
        <f t="shared" si="9"/>
        <v/>
      </c>
      <c r="P170" s="46">
        <f t="shared" si="10"/>
        <v>1</v>
      </c>
      <c r="Q170" s="46"/>
      <c r="R170" s="45"/>
      <c r="S170" s="45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</row>
    <row r="171" spans="1:31" ht="14.25">
      <c r="A171" s="67" t="s">
        <v>430</v>
      </c>
      <c r="B171" s="68" t="s">
        <v>540</v>
      </c>
      <c r="C171" s="67" t="s">
        <v>439</v>
      </c>
      <c r="D171" s="75" t="n">
        <v>157.98</v>
      </c>
      <c r="E171" s="76" t="s">
        <v>0</v>
      </c>
      <c r="F171" s="57" t="str">
        <f>IFERROR(VLOOKUP(C171,$C$9:H170,4,FALSE),"")</f>
        <v/>
      </c>
      <c r="G171" s="61" t="s">
        <v>350</v>
      </c>
      <c r="H171" s="61" t="s">
        <v>404</v>
      </c>
      <c r="I171" s="61" t="s">
        <v>433</v>
      </c>
      <c r="J171" s="61" t="n">
        <v>157.98</v>
      </c>
      <c r="K171" s="61" t="s">
        <v>434</v>
      </c>
      <c r="L171" s="61" t="s">
        <v>435</v>
      </c>
      <c r="M171" s="42"/>
      <c r="N171" s="46" t="e">
        <f t="shared" si="8"/>
        <v>#DIV/0!</v>
      </c>
      <c r="O171" s="46" t="str">
        <f t="shared" si="9"/>
        <v/>
      </c>
      <c r="P171" s="46">
        <f t="shared" si="10"/>
        <v>1</v>
      </c>
      <c r="Q171" s="46"/>
      <c r="R171" s="45"/>
      <c r="S171" s="45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</row>
    <row r="172" spans="1:31" ht="14.25">
      <c r="A172" s="67" t="s">
        <v>430</v>
      </c>
      <c r="B172" s="68" t="s">
        <v>540</v>
      </c>
      <c r="C172" s="67" t="s">
        <v>439</v>
      </c>
      <c r="D172" s="75" t="n">
        <v>67.0</v>
      </c>
      <c r="E172" s="76" t="s">
        <v>0</v>
      </c>
      <c r="F172" s="57" t="str">
        <f>IFERROR(VLOOKUP(C172,$C$9:H171,4,FALSE),"")</f>
        <v/>
      </c>
      <c r="G172" s="61" t="s">
        <v>350</v>
      </c>
      <c r="H172" s="61" t="s">
        <v>404</v>
      </c>
      <c r="I172" s="61" t="s">
        <v>433</v>
      </c>
      <c r="J172" s="61" t="n">
        <v>67.0</v>
      </c>
      <c r="K172" s="61" t="s">
        <v>434</v>
      </c>
      <c r="L172" s="61" t="s">
        <v>435</v>
      </c>
      <c r="M172" s="42"/>
      <c r="N172" s="46" t="e">
        <f t="shared" si="8"/>
        <v>#DIV/0!</v>
      </c>
      <c r="O172" s="46" t="str">
        <f t="shared" si="9"/>
        <v/>
      </c>
      <c r="P172" s="46">
        <f t="shared" si="10"/>
        <v>1</v>
      </c>
      <c r="Q172" s="46"/>
      <c r="R172" s="45"/>
      <c r="S172" s="45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</row>
    <row r="173" spans="1:31" ht="14.25">
      <c r="A173" s="67" t="s">
        <v>430</v>
      </c>
      <c r="B173" s="68" t="s">
        <v>540</v>
      </c>
      <c r="C173" s="67" t="s">
        <v>439</v>
      </c>
      <c r="D173" s="75" t="n">
        <v>32.0</v>
      </c>
      <c r="E173" s="76" t="s">
        <v>0</v>
      </c>
      <c r="F173" s="57" t="str">
        <f>IFERROR(VLOOKUP(C173,$C$9:H172,4,FALSE),"")</f>
        <v/>
      </c>
      <c r="G173" s="61" t="s">
        <v>350</v>
      </c>
      <c r="H173" s="61" t="s">
        <v>404</v>
      </c>
      <c r="I173" s="61" t="s">
        <v>433</v>
      </c>
      <c r="J173" s="61" t="n">
        <v>32.0</v>
      </c>
      <c r="K173" s="61" t="s">
        <v>434</v>
      </c>
      <c r="L173" s="61" t="s">
        <v>435</v>
      </c>
      <c r="M173" s="42"/>
      <c r="N173" s="46" t="e">
        <f t="shared" si="8"/>
        <v>#DIV/0!</v>
      </c>
      <c r="O173" s="46" t="str">
        <f t="shared" si="9"/>
        <v/>
      </c>
      <c r="P173" s="46">
        <f t="shared" si="10"/>
        <v>1</v>
      </c>
      <c r="Q173" s="46"/>
      <c r="R173" s="45"/>
      <c r="S173" s="45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</row>
    <row r="174" spans="1:31" ht="14.25">
      <c r="A174" s="67" t="s">
        <v>430</v>
      </c>
      <c r="B174" s="68" t="s">
        <v>542</v>
      </c>
      <c r="C174" s="67" t="s">
        <v>456</v>
      </c>
      <c r="D174" s="75" t="n">
        <v>127.0</v>
      </c>
      <c r="E174" s="76" t="s">
        <v>0</v>
      </c>
      <c r="F174" s="57" t="str">
        <f>IFERROR(VLOOKUP(C174,$C$9:H173,4,FALSE),"")</f>
        <v/>
      </c>
      <c r="G174" s="61" t="str">
        <f>IFERROR(VLOOKUP(C174,$C$9:G173,5,FALSE),"")</f>
        <v/>
      </c>
      <c r="H174" s="61" t="str">
        <f>IFERROR(VLOOKUP(C174,$C$9:H173,6,FALSE),"")</f>
        <v/>
      </c>
      <c r="I174" s="61" t="s">
        <v>433</v>
      </c>
      <c r="J174" s="61" t="n">
        <v>127.0</v>
      </c>
      <c r="K174" s="61" t="s">
        <v>434</v>
      </c>
      <c r="L174" s="61" t="s">
        <v>435</v>
      </c>
      <c r="M174" s="42"/>
      <c r="N174" s="46" t="e">
        <f t="shared" si="8"/>
        <v>#DIV/0!</v>
      </c>
      <c r="O174" s="46" t="str">
        <f t="shared" si="9"/>
        <v/>
      </c>
      <c r="P174" s="46">
        <f t="shared" si="10"/>
        <v>1</v>
      </c>
      <c r="Q174" s="46"/>
      <c r="R174" s="45"/>
      <c r="S174" s="45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</row>
    <row r="175" spans="1:31" ht="14.25">
      <c r="A175" s="67" t="s">
        <v>430</v>
      </c>
      <c r="B175" s="71" t="s">
        <v>542</v>
      </c>
      <c r="C175" s="67" t="s">
        <v>543</v>
      </c>
      <c r="D175" s="75" t="n">
        <v>164.0</v>
      </c>
      <c r="E175" s="76" t="s">
        <v>0</v>
      </c>
      <c r="F175" s="57" t="str">
        <f>IFERROR(VLOOKUP(C175,$C$9:H174,4,FALSE),"")</f>
        <v/>
      </c>
      <c r="G175" s="61" t="str">
        <f>IFERROR(VLOOKUP(C175,$C$9:G174,5,FALSE),"")</f>
        <v/>
      </c>
      <c r="H175" s="61" t="str">
        <f>IFERROR(VLOOKUP(C175,$C$9:H174,6,FALSE),"")</f>
        <v/>
      </c>
      <c r="I175" s="61" t="s">
        <v>433</v>
      </c>
      <c r="J175" s="61" t="n">
        <v>164.0</v>
      </c>
      <c r="K175" s="61" t="s">
        <v>434</v>
      </c>
      <c r="L175" s="61" t="s">
        <v>435</v>
      </c>
      <c r="M175" s="42"/>
      <c r="N175" s="46" t="e">
        <f t="shared" si="8"/>
        <v>#DIV/0!</v>
      </c>
      <c r="O175" s="46" t="str">
        <f t="shared" si="9"/>
        <v/>
      </c>
      <c r="P175" s="46">
        <f t="shared" si="10"/>
        <v>1</v>
      </c>
      <c r="Q175" s="46"/>
      <c r="R175" s="45"/>
      <c r="S175" s="45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</row>
    <row r="176" spans="1:31" ht="14.25">
      <c r="A176" s="67" t="s">
        <v>430</v>
      </c>
      <c r="B176" s="68" t="s">
        <v>542</v>
      </c>
      <c r="C176" s="67" t="s">
        <v>439</v>
      </c>
      <c r="D176" s="75" t="n">
        <v>107.55</v>
      </c>
      <c r="E176" s="76" t="s">
        <v>0</v>
      </c>
      <c r="F176" s="57" t="str">
        <f>IFERROR(VLOOKUP(C176,$C$9:H175,4,FALSE),"")</f>
        <v/>
      </c>
      <c r="G176" s="61" t="s">
        <v>350</v>
      </c>
      <c r="H176" s="61" t="s">
        <v>404</v>
      </c>
      <c r="I176" s="61" t="s">
        <v>433</v>
      </c>
      <c r="J176" s="61" t="n">
        <v>107.55</v>
      </c>
      <c r="K176" s="61" t="s">
        <v>434</v>
      </c>
      <c r="L176" s="61" t="s">
        <v>435</v>
      </c>
      <c r="M176" s="42"/>
      <c r="N176" s="46" t="e">
        <f t="shared" si="8"/>
        <v>#DIV/0!</v>
      </c>
      <c r="O176" s="46" t="str">
        <f t="shared" si="9"/>
        <v/>
      </c>
      <c r="P176" s="46">
        <f t="shared" si="10"/>
        <v>1</v>
      </c>
      <c r="Q176" s="46"/>
      <c r="R176" s="45"/>
      <c r="S176" s="45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</row>
    <row r="177" spans="1:31" ht="14.25">
      <c r="A177" s="67" t="s">
        <v>443</v>
      </c>
      <c r="B177" s="68" t="s">
        <v>542</v>
      </c>
      <c r="C177" s="67" t="s">
        <v>444</v>
      </c>
      <c r="D177" s="75" t="n">
        <v>246.96</v>
      </c>
      <c r="E177" s="76" t="s">
        <v>0</v>
      </c>
      <c r="F177" s="57" t="str">
        <f>IFERROR(VLOOKUP(C177,$C$9:H176,4,FALSE),"")</f>
        <v/>
      </c>
      <c r="G177" s="61" t="str">
        <f>IFERROR(VLOOKUP(C177,$C$9:G176,5,FALSE),"")</f>
        <v/>
      </c>
      <c r="H177" s="61" t="str">
        <f>IFERROR(VLOOKUP(C177,$C$9:H176,6,FALSE),"")</f>
        <v/>
      </c>
      <c r="I177" s="61"/>
      <c r="J177" s="61" t="n">
        <v>0.0</v>
      </c>
      <c r="K177" s="61"/>
      <c r="L177" s="61" t="s">
        <v>445</v>
      </c>
      <c r="M177" s="42"/>
      <c r="N177" s="46" t="e">
        <f t="shared" si="8"/>
        <v>#DIV/0!</v>
      </c>
      <c r="O177" s="46" t="str">
        <f t="shared" si="9"/>
        <v/>
      </c>
      <c r="P177" s="46">
        <f t="shared" si="10"/>
        <v>1</v>
      </c>
      <c r="Q177" s="46"/>
      <c r="R177" s="45"/>
      <c r="S177" s="45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</row>
    <row r="178" spans="1:31" ht="14.25">
      <c r="A178" s="67" t="s">
        <v>443</v>
      </c>
      <c r="B178" s="68" t="s">
        <v>542</v>
      </c>
      <c r="C178" s="67" t="s">
        <v>446</v>
      </c>
      <c r="D178" s="75" t="n">
        <v>365.83</v>
      </c>
      <c r="E178" s="76" t="s">
        <v>0</v>
      </c>
      <c r="F178" s="57" t="str">
        <f>IFERROR(VLOOKUP(C178,$C$9:H177,4,FALSE),"")</f>
        <v/>
      </c>
      <c r="G178" s="61" t="str">
        <f>IFERROR(VLOOKUP(C178,$C$9:G177,5,FALSE),"")</f>
        <v/>
      </c>
      <c r="H178" s="61" t="str">
        <f>IFERROR(VLOOKUP(C178,$C$9:H177,6,FALSE),"")</f>
        <v/>
      </c>
      <c r="I178" s="61"/>
      <c r="J178" s="61" t="n">
        <v>0.0</v>
      </c>
      <c r="K178" s="61"/>
      <c r="L178" s="61" t="s">
        <v>445</v>
      </c>
      <c r="M178" s="42"/>
      <c r="N178" s="46" t="e">
        <f t="shared" si="8"/>
        <v>#DIV/0!</v>
      </c>
      <c r="O178" s="46" t="str">
        <f t="shared" si="9"/>
        <v/>
      </c>
      <c r="P178" s="46">
        <f t="shared" si="10"/>
        <v>1</v>
      </c>
      <c r="Q178" s="46"/>
      <c r="R178" s="45"/>
      <c r="S178" s="45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</row>
    <row r="179" spans="1:31" ht="14.25">
      <c r="A179" s="67" t="s">
        <v>443</v>
      </c>
      <c r="B179" s="68" t="s">
        <v>542</v>
      </c>
      <c r="C179" s="67" t="s">
        <v>544</v>
      </c>
      <c r="D179" s="75" t="n">
        <v>160.76</v>
      </c>
      <c r="E179" s="76" t="s">
        <v>0</v>
      </c>
      <c r="F179" s="57" t="str">
        <f>IFERROR(VLOOKUP(C179,$C$9:H178,4,FALSE),"")</f>
        <v/>
      </c>
      <c r="G179" s="61" t="str">
        <f>IFERROR(VLOOKUP(C179,$C$9:G178,5,FALSE),"")</f>
        <v/>
      </c>
      <c r="H179" s="61" t="str">
        <f>IFERROR(VLOOKUP(C179,$C$9:H178,6,FALSE),"")</f>
        <v/>
      </c>
      <c r="I179" s="61" t="s">
        <v>545</v>
      </c>
      <c r="J179" s="61" t="n">
        <v>0.0</v>
      </c>
      <c r="K179" s="61"/>
      <c r="L179" s="61" t="s">
        <v>445</v>
      </c>
      <c r="M179" s="42"/>
      <c r="N179" s="46" t="e">
        <f t="shared" si="8"/>
        <v>#DIV/0!</v>
      </c>
      <c r="O179" s="46" t="str">
        <f t="shared" si="9"/>
        <v/>
      </c>
      <c r="P179" s="46">
        <f t="shared" si="10"/>
        <v>1</v>
      </c>
      <c r="Q179" s="46"/>
      <c r="R179" s="45"/>
      <c r="S179" s="45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</row>
    <row r="180" spans="1:31" ht="14.25">
      <c r="A180" s="67" t="s">
        <v>443</v>
      </c>
      <c r="B180" s="68" t="s">
        <v>542</v>
      </c>
      <c r="C180" s="67" t="s">
        <v>546</v>
      </c>
      <c r="D180" s="75" t="n">
        <v>3820.0</v>
      </c>
      <c r="E180" s="76" t="s">
        <v>1</v>
      </c>
      <c r="F180" s="57" t="str">
        <f>IFERROR(VLOOKUP(C180,$C$9:H179,4,FALSE),"")</f>
        <v/>
      </c>
      <c r="G180" s="61" t="str">
        <f>IFERROR(VLOOKUP(C180,$C$9:G179,5,FALSE),"")</f>
        <v/>
      </c>
      <c r="H180" s="61" t="str">
        <f>IFERROR(VLOOKUP(C180,$C$9:H179,6,FALSE),"")</f>
        <v/>
      </c>
      <c r="I180" s="61" t="s">
        <v>490</v>
      </c>
      <c r="J180" s="61" t="n">
        <v>0.0</v>
      </c>
      <c r="K180" s="61"/>
      <c r="L180" s="61" t="s">
        <v>445</v>
      </c>
      <c r="M180" s="42"/>
      <c r="N180" s="46" t="e">
        <f t="shared" si="8"/>
        <v>#DIV/0!</v>
      </c>
      <c r="O180" s="46" t="str">
        <f t="shared" si="9"/>
        <v/>
      </c>
      <c r="P180" s="46">
        <f t="shared" si="10"/>
        <v>1</v>
      </c>
      <c r="Q180" s="46"/>
      <c r="R180" s="45"/>
      <c r="S180" s="45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</row>
    <row r="181" spans="1:31" ht="14.25">
      <c r="A181" s="67" t="s">
        <v>443</v>
      </c>
      <c r="B181" s="68" t="s">
        <v>542</v>
      </c>
      <c r="C181" s="67" t="s">
        <v>546</v>
      </c>
      <c r="D181" s="75" t="n">
        <v>5802.0</v>
      </c>
      <c r="E181" s="76" t="s">
        <v>1</v>
      </c>
      <c r="F181" s="57" t="str">
        <f>IFERROR(VLOOKUP(C181,$C$9:H180,4,FALSE),"")</f>
        <v/>
      </c>
      <c r="G181" s="61" t="str">
        <f>IFERROR(VLOOKUP(C181,$C$9:G180,5,FALSE),"")</f>
        <v/>
      </c>
      <c r="H181" s="61" t="str">
        <f>IFERROR(VLOOKUP(C181,$C$9:H180,6,FALSE),"")</f>
        <v/>
      </c>
      <c r="I181" s="61" t="s">
        <v>490</v>
      </c>
      <c r="J181" s="61" t="n">
        <v>0.0</v>
      </c>
      <c r="K181" s="61"/>
      <c r="L181" s="61" t="s">
        <v>445</v>
      </c>
      <c r="M181" s="42"/>
      <c r="N181" s="46" t="e">
        <f t="shared" si="8"/>
        <v>#DIV/0!</v>
      </c>
      <c r="O181" s="46" t="str">
        <f t="shared" si="9"/>
        <v/>
      </c>
      <c r="P181" s="46">
        <f t="shared" si="10"/>
        <v>1</v>
      </c>
      <c r="Q181" s="46"/>
      <c r="R181" s="45"/>
      <c r="S181" s="45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</row>
    <row r="182" spans="1:31" ht="14.25">
      <c r="A182" s="67" t="s">
        <v>443</v>
      </c>
      <c r="B182" s="78" t="s">
        <v>542</v>
      </c>
      <c r="C182" s="77" t="s">
        <v>465</v>
      </c>
      <c r="D182" s="75" t="n">
        <v>350.0</v>
      </c>
      <c r="E182" s="76" t="s">
        <v>1</v>
      </c>
      <c r="F182" s="57" t="str">
        <f>IFERROR(VLOOKUP(C182,$C$9:H181,4,FALSE),"")</f>
        <v/>
      </c>
      <c r="G182" s="61" t="str">
        <f>IFERROR(VLOOKUP(C182,$C$9:G181,5,FALSE),"")</f>
        <v/>
      </c>
      <c r="H182" s="61" t="str">
        <f>IFERROR(VLOOKUP(C182,$C$9:H181,6,FALSE),"")</f>
        <v/>
      </c>
      <c r="I182" s="61" t="s">
        <v>466</v>
      </c>
      <c r="J182" s="61" t="n">
        <v>0.0</v>
      </c>
      <c r="K182" s="61"/>
      <c r="L182" s="61" t="s">
        <v>445</v>
      </c>
      <c r="M182" s="42"/>
      <c r="N182" s="46" t="e">
        <f t="shared" si="8"/>
        <v>#DIV/0!</v>
      </c>
      <c r="O182" s="46" t="str">
        <f t="shared" si="9"/>
        <v/>
      </c>
      <c r="P182" s="46">
        <f t="shared" si="10"/>
        <v>1</v>
      </c>
      <c r="Q182" s="46"/>
      <c r="R182" s="45"/>
      <c r="S182" s="45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</row>
    <row r="183" spans="1:31" ht="14.25">
      <c r="A183" s="67" t="s">
        <v>443</v>
      </c>
      <c r="B183" s="68" t="s">
        <v>542</v>
      </c>
      <c r="C183" s="67" t="s">
        <v>547</v>
      </c>
      <c r="D183" s="75" t="n">
        <v>300.0</v>
      </c>
      <c r="E183" s="76" t="s">
        <v>1</v>
      </c>
      <c r="F183" s="57" t="str">
        <f>IFERROR(VLOOKUP(C183,$C$9:H182,4,FALSE),"")</f>
        <v/>
      </c>
      <c r="G183" s="61" t="str">
        <f>IFERROR(VLOOKUP(C183,$C$9:G182,5,FALSE),"")</f>
        <v/>
      </c>
      <c r="H183" s="61" t="str">
        <f>IFERROR(VLOOKUP(C183,$C$9:H182,6,FALSE),"")</f>
        <v/>
      </c>
      <c r="I183" s="61" t="s">
        <v>548</v>
      </c>
      <c r="J183" s="61" t="n">
        <v>0.0</v>
      </c>
      <c r="K183" s="61"/>
      <c r="L183" s="61" t="s">
        <v>445</v>
      </c>
      <c r="M183" s="42"/>
      <c r="N183" s="46" t="e">
        <f t="shared" si="8"/>
        <v>#DIV/0!</v>
      </c>
      <c r="O183" s="46" t="str">
        <f t="shared" si="9"/>
        <v/>
      </c>
      <c r="P183" s="46">
        <f t="shared" si="10"/>
        <v>1</v>
      </c>
      <c r="Q183" s="46"/>
      <c r="R183" s="45"/>
      <c r="S183" s="45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</row>
    <row r="184" spans="1:31" ht="14.25">
      <c r="A184" s="67" t="s">
        <v>443</v>
      </c>
      <c r="B184" s="68" t="s">
        <v>542</v>
      </c>
      <c r="C184" s="67" t="s">
        <v>549</v>
      </c>
      <c r="D184" s="75" t="n">
        <v>300.0</v>
      </c>
      <c r="E184" s="76" t="s">
        <v>1</v>
      </c>
      <c r="F184" s="57" t="str">
        <f>IFERROR(VLOOKUP(C184,$C$9:H183,4,FALSE),"")</f>
        <v/>
      </c>
      <c r="G184" s="61" t="str">
        <f>IFERROR(VLOOKUP(C184,$C$9:G183,5,FALSE),"")</f>
        <v/>
      </c>
      <c r="H184" s="61" t="str">
        <f>IFERROR(VLOOKUP(C184,$C$9:H183,6,FALSE),"")</f>
        <v/>
      </c>
      <c r="I184" s="61" t="s">
        <v>550</v>
      </c>
      <c r="J184" s="61" t="n">
        <v>0.0</v>
      </c>
      <c r="K184" s="61"/>
      <c r="L184" s="61" t="s">
        <v>445</v>
      </c>
      <c r="M184" s="42"/>
      <c r="N184" s="46" t="e">
        <f t="shared" si="8"/>
        <v>#DIV/0!</v>
      </c>
      <c r="O184" s="46" t="str">
        <f t="shared" si="9"/>
        <v/>
      </c>
      <c r="P184" s="46">
        <f t="shared" si="10"/>
        <v>1</v>
      </c>
      <c r="Q184" s="46"/>
      <c r="R184" s="45"/>
      <c r="S184" s="45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</row>
    <row r="185" spans="1:31" ht="14.25">
      <c r="A185" s="67" t="s">
        <v>430</v>
      </c>
      <c r="B185" s="68" t="s">
        <v>551</v>
      </c>
      <c r="C185" s="67" t="s">
        <v>552</v>
      </c>
      <c r="D185" s="75" t="n">
        <v>19.0</v>
      </c>
      <c r="E185" s="76" t="s">
        <v>0</v>
      </c>
      <c r="F185" s="57" t="str">
        <f>IFERROR(VLOOKUP(C185,$C$9:H184,4,FALSE),"")</f>
        <v/>
      </c>
      <c r="G185" s="61" t="s">
        <v>350</v>
      </c>
      <c r="H185" s="61" t="s">
        <v>404</v>
      </c>
      <c r="I185" s="61" t="s">
        <v>433</v>
      </c>
      <c r="J185" s="61" t="n">
        <v>19.0</v>
      </c>
      <c r="K185" s="61" t="s">
        <v>434</v>
      </c>
      <c r="L185" s="61" t="s">
        <v>435</v>
      </c>
      <c r="M185" s="42"/>
      <c r="N185" s="46" t="e">
        <f t="shared" si="8"/>
        <v>#DIV/0!</v>
      </c>
      <c r="O185" s="46" t="str">
        <f t="shared" si="9"/>
        <v/>
      </c>
      <c r="P185" s="46">
        <f t="shared" si="10"/>
        <v>1</v>
      </c>
      <c r="Q185" s="46"/>
      <c r="R185" s="45"/>
      <c r="S185" s="45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</row>
    <row r="186" spans="1:31" ht="14.25">
      <c r="A186" s="67" t="s">
        <v>430</v>
      </c>
      <c r="B186" s="68" t="s">
        <v>551</v>
      </c>
      <c r="C186" s="67" t="s">
        <v>439</v>
      </c>
      <c r="D186" s="75" t="n">
        <v>98.1</v>
      </c>
      <c r="E186" s="76" t="s">
        <v>0</v>
      </c>
      <c r="F186" s="57" t="str">
        <f>IFERROR(VLOOKUP(C186,$C$9:H185,4,FALSE),"")</f>
        <v/>
      </c>
      <c r="G186" s="61" t="s">
        <v>350</v>
      </c>
      <c r="H186" s="61" t="s">
        <v>404</v>
      </c>
      <c r="I186" s="61" t="s">
        <v>433</v>
      </c>
      <c r="J186" s="61" t="n">
        <v>98.1</v>
      </c>
      <c r="K186" s="61" t="s">
        <v>434</v>
      </c>
      <c r="L186" s="61" t="s">
        <v>435</v>
      </c>
      <c r="M186" s="42"/>
      <c r="N186" s="46" t="e">
        <f t="shared" si="8"/>
        <v>#DIV/0!</v>
      </c>
      <c r="O186" s="46" t="str">
        <f t="shared" si="9"/>
        <v/>
      </c>
      <c r="P186" s="46">
        <f t="shared" si="10"/>
        <v>1</v>
      </c>
      <c r="Q186" s="46"/>
      <c r="R186" s="45"/>
      <c r="S186" s="45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</row>
    <row r="187" spans="1:31" ht="14.25">
      <c r="A187" s="67" t="s">
        <v>430</v>
      </c>
      <c r="B187" s="68" t="s">
        <v>551</v>
      </c>
      <c r="C187" s="67" t="s">
        <v>440</v>
      </c>
      <c r="D187" s="75" t="n">
        <v>37.5</v>
      </c>
      <c r="E187" s="76" t="s">
        <v>0</v>
      </c>
      <c r="F187" s="57" t="str">
        <f>IFERROR(VLOOKUP(C187,$C$9:H186,4,FALSE),"")</f>
        <v/>
      </c>
      <c r="G187" s="61" t="str">
        <f>IFERROR(VLOOKUP(C187,$C$9:G186,5,FALSE),"")</f>
        <v/>
      </c>
      <c r="H187" s="61" t="str">
        <f>IFERROR(VLOOKUP(C187,$C$9:H186,6,FALSE),"")</f>
        <v/>
      </c>
      <c r="I187" s="61" t="s">
        <v>433</v>
      </c>
      <c r="J187" s="61" t="n">
        <v>37.5</v>
      </c>
      <c r="K187" s="61" t="s">
        <v>434</v>
      </c>
      <c r="L187" s="61" t="s">
        <v>435</v>
      </c>
      <c r="M187" s="42"/>
      <c r="N187" s="46" t="e">
        <f t="shared" si="8"/>
        <v>#DIV/0!</v>
      </c>
      <c r="O187" s="46" t="str">
        <f t="shared" si="9"/>
        <v/>
      </c>
      <c r="P187" s="46">
        <f t="shared" si="10"/>
        <v>1</v>
      </c>
      <c r="Q187" s="46"/>
      <c r="R187" s="45"/>
      <c r="S187" s="45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</row>
    <row r="188" spans="1:31" ht="14.25">
      <c r="A188" s="67" t="s">
        <v>430</v>
      </c>
      <c r="B188" s="71" t="s">
        <v>551</v>
      </c>
      <c r="C188" s="67" t="s">
        <v>553</v>
      </c>
      <c r="D188" s="75" t="n">
        <v>100.0</v>
      </c>
      <c r="E188" s="76" t="s">
        <v>0</v>
      </c>
      <c r="F188" s="57" t="str">
        <f>IFERROR(VLOOKUP(C188,$C$9:H187,4,FALSE),"")</f>
        <v/>
      </c>
      <c r="G188" s="61" t="s">
        <v>347</v>
      </c>
      <c r="H188" s="61" t="s">
        <v>299</v>
      </c>
      <c r="I188" s="61" t="s">
        <v>433</v>
      </c>
      <c r="J188" s="61" t="n">
        <v>100.0</v>
      </c>
      <c r="K188" s="61" t="s">
        <v>434</v>
      </c>
      <c r="L188" s="61" t="s">
        <v>435</v>
      </c>
      <c r="M188" s="42"/>
      <c r="N188" s="46" t="e">
        <f t="shared" si="8"/>
        <v>#DIV/0!</v>
      </c>
      <c r="O188" s="46" t="str">
        <f t="shared" si="9"/>
        <v/>
      </c>
      <c r="P188" s="46">
        <f t="shared" si="10"/>
        <v>1</v>
      </c>
      <c r="Q188" s="46"/>
      <c r="R188" s="45"/>
      <c r="S188" s="45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</row>
    <row r="189" spans="1:31" ht="14.25">
      <c r="A189" s="67" t="s">
        <v>430</v>
      </c>
      <c r="B189" s="71" t="s">
        <v>551</v>
      </c>
      <c r="C189" s="67" t="s">
        <v>554</v>
      </c>
      <c r="D189" s="75" t="n">
        <v>270.0</v>
      </c>
      <c r="E189" s="76" t="s">
        <v>0</v>
      </c>
      <c r="F189" s="57" t="str">
        <f>IFERROR(VLOOKUP(C189,$C$9:H188,4,FALSE),"")</f>
        <v/>
      </c>
      <c r="G189" s="61" t="str">
        <f>IFERROR(VLOOKUP(C189,$C$9:G188,5,FALSE),"")</f>
        <v/>
      </c>
      <c r="H189" s="61" t="str">
        <f>IFERROR(VLOOKUP(C189,$C$9:H188,6,FALSE),"")</f>
        <v/>
      </c>
      <c r="I189" s="61" t="s">
        <v>433</v>
      </c>
      <c r="J189" s="61" t="n">
        <v>270.0</v>
      </c>
      <c r="K189" s="61" t="s">
        <v>434</v>
      </c>
      <c r="L189" s="61" t="s">
        <v>435</v>
      </c>
      <c r="M189" s="42"/>
      <c r="N189" s="46" t="e">
        <f t="shared" si="8"/>
        <v>#DIV/0!</v>
      </c>
      <c r="O189" s="46" t="str">
        <f t="shared" si="9"/>
        <v/>
      </c>
      <c r="P189" s="46">
        <f t="shared" si="10"/>
        <v>1</v>
      </c>
      <c r="Q189" s="46"/>
      <c r="R189" s="45"/>
      <c r="S189" s="45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</row>
    <row r="190" spans="1:31" ht="14.25">
      <c r="A190" s="67" t="s">
        <v>430</v>
      </c>
      <c r="B190" s="68" t="s">
        <v>551</v>
      </c>
      <c r="C190" s="67" t="s">
        <v>555</v>
      </c>
      <c r="D190" s="75" t="n">
        <v>89.9</v>
      </c>
      <c r="E190" s="76" t="s">
        <v>0</v>
      </c>
      <c r="F190" s="57" t="str">
        <f>IFERROR(VLOOKUP(C190,$C$9:H189,4,FALSE),"")</f>
        <v/>
      </c>
      <c r="G190" s="61" t="str">
        <f>IFERROR(VLOOKUP(C190,$C$9:G189,5,FALSE),"")</f>
        <v/>
      </c>
      <c r="H190" s="61" t="str">
        <f>IFERROR(VLOOKUP(C190,$C$9:H189,6,FALSE),"")</f>
        <v/>
      </c>
      <c r="I190" s="61" t="s">
        <v>433</v>
      </c>
      <c r="J190" s="61" t="n">
        <v>89.9</v>
      </c>
      <c r="K190" s="61" t="s">
        <v>434</v>
      </c>
      <c r="L190" s="61" t="s">
        <v>435</v>
      </c>
      <c r="M190" s="42"/>
      <c r="N190" s="46" t="e">
        <f t="shared" si="8"/>
        <v>#DIV/0!</v>
      </c>
      <c r="O190" s="46" t="str">
        <f t="shared" si="9"/>
        <v/>
      </c>
      <c r="P190" s="46">
        <f t="shared" si="10"/>
        <v>1</v>
      </c>
      <c r="Q190" s="46"/>
      <c r="R190" s="45"/>
      <c r="S190" s="45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</row>
    <row r="191" spans="1:31" ht="14.25">
      <c r="A191" s="67" t="s">
        <v>462</v>
      </c>
      <c r="B191" s="68" t="s">
        <v>551</v>
      </c>
      <c r="C191" s="67" t="s">
        <v>556</v>
      </c>
      <c r="D191" s="75" t="n">
        <v>45.9</v>
      </c>
      <c r="E191" s="76" t="s">
        <v>0</v>
      </c>
      <c r="F191" s="57" t="str">
        <f>IFERROR(VLOOKUP(C191,$C$9:H190,4,FALSE),"")</f>
        <v/>
      </c>
      <c r="G191" s="61" t="s">
        <v>361</v>
      </c>
      <c r="H191" s="61" t="s">
        <v>331</v>
      </c>
      <c r="I191" s="61" t="s">
        <v>464</v>
      </c>
      <c r="J191" s="61" t="n">
        <v>45.9</v>
      </c>
      <c r="K191" s="61" t="s">
        <v>434</v>
      </c>
      <c r="L191" s="61" t="s">
        <v>435</v>
      </c>
      <c r="M191" s="42"/>
      <c r="N191" s="46" t="e">
        <f t="shared" si="8"/>
        <v>#DIV/0!</v>
      </c>
      <c r="O191" s="46" t="str">
        <f t="shared" si="9"/>
        <v/>
      </c>
      <c r="P191" s="46">
        <f t="shared" si="10"/>
        <v>1</v>
      </c>
      <c r="Q191" s="46"/>
      <c r="R191" s="45"/>
      <c r="S191" s="45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</row>
    <row r="192" spans="1:31" ht="14.25">
      <c r="A192" s="67" t="s">
        <v>430</v>
      </c>
      <c r="B192" s="68" t="s">
        <v>557</v>
      </c>
      <c r="C192" s="67" t="s">
        <v>558</v>
      </c>
      <c r="D192" s="75" t="n">
        <v>170.0</v>
      </c>
      <c r="E192" s="76" t="s">
        <v>0</v>
      </c>
      <c r="F192" s="57" t="str">
        <f>IFERROR(VLOOKUP(C192,$C$9:H191,4,FALSE),"")</f>
        <v/>
      </c>
      <c r="G192" s="61" t="str">
        <f>IFERROR(VLOOKUP(C192,$C$9:G191,5,FALSE),"")</f>
        <v/>
      </c>
      <c r="H192" s="61" t="str">
        <f>IFERROR(VLOOKUP(C192,$C$9:H191,6,FALSE),"")</f>
        <v/>
      </c>
      <c r="I192" s="61" t="s">
        <v>433</v>
      </c>
      <c r="J192" s="61" t="n">
        <v>170.0</v>
      </c>
      <c r="K192" s="61" t="s">
        <v>434</v>
      </c>
      <c r="L192" s="61" t="s">
        <v>435</v>
      </c>
      <c r="M192" s="42"/>
      <c r="N192" s="46" t="e">
        <f t="shared" si="8"/>
        <v>#DIV/0!</v>
      </c>
      <c r="O192" s="46" t="str">
        <f t="shared" si="9"/>
        <v/>
      </c>
      <c r="P192" s="46">
        <f t="shared" si="10"/>
        <v>1</v>
      </c>
      <c r="Q192" s="46"/>
      <c r="R192" s="45"/>
      <c r="S192" s="45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</row>
    <row r="193" spans="1:31" ht="14.25">
      <c r="A193" s="67" t="s">
        <v>430</v>
      </c>
      <c r="B193" s="68" t="s">
        <v>557</v>
      </c>
      <c r="C193" s="67" t="s">
        <v>439</v>
      </c>
      <c r="D193" s="75" t="n">
        <v>67.0</v>
      </c>
      <c r="E193" s="76" t="s">
        <v>0</v>
      </c>
      <c r="F193" s="57" t="str">
        <f>IFERROR(VLOOKUP(C193,$C$9:H192,4,FALSE),"")</f>
        <v/>
      </c>
      <c r="G193" s="61" t="s">
        <v>350</v>
      </c>
      <c r="H193" s="61" t="s">
        <v>404</v>
      </c>
      <c r="I193" s="61" t="s">
        <v>433</v>
      </c>
      <c r="J193" s="61" t="n">
        <v>67.0</v>
      </c>
      <c r="K193" s="61" t="s">
        <v>434</v>
      </c>
      <c r="L193" s="61" t="s">
        <v>435</v>
      </c>
      <c r="M193" s="42"/>
      <c r="N193" s="46" t="e">
        <f t="shared" si="8"/>
        <v>#DIV/0!</v>
      </c>
      <c r="O193" s="46" t="str">
        <f t="shared" si="9"/>
        <v/>
      </c>
      <c r="P193" s="46">
        <f t="shared" si="10"/>
        <v>1</v>
      </c>
      <c r="Q193" s="46"/>
      <c r="R193" s="45"/>
      <c r="S193" s="45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</row>
    <row r="194" spans="1:31" ht="14.25">
      <c r="A194" s="67" t="s">
        <v>443</v>
      </c>
      <c r="B194" s="68" t="s">
        <v>557</v>
      </c>
      <c r="C194" s="67" t="s">
        <v>465</v>
      </c>
      <c r="D194" s="75" t="n">
        <v>180.0</v>
      </c>
      <c r="E194" s="76" t="s">
        <v>1</v>
      </c>
      <c r="F194" s="57" t="str">
        <f>IFERROR(VLOOKUP(C194,$C$9:H193,4,FALSE),"")</f>
        <v/>
      </c>
      <c r="G194" s="61" t="str">
        <f>IFERROR(VLOOKUP(C194,$C$9:G193,5,FALSE),"")</f>
        <v/>
      </c>
      <c r="H194" s="61" t="str">
        <f>IFERROR(VLOOKUP(C194,$C$9:H193,6,FALSE),"")</f>
        <v/>
      </c>
      <c r="I194" s="61" t="s">
        <v>466</v>
      </c>
      <c r="J194" s="61" t="n">
        <v>0.0</v>
      </c>
      <c r="K194" s="61"/>
      <c r="L194" s="61" t="s">
        <v>445</v>
      </c>
      <c r="M194" s="42"/>
      <c r="N194" s="46" t="e">
        <f t="shared" si="8"/>
        <v>#DIV/0!</v>
      </c>
      <c r="O194" s="46" t="str">
        <f t="shared" si="9"/>
        <v/>
      </c>
      <c r="P194" s="46">
        <f t="shared" si="10"/>
        <v>1</v>
      </c>
      <c r="Q194" s="46"/>
      <c r="R194" s="45"/>
      <c r="S194" s="45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</row>
    <row r="195" spans="1:31" ht="14.25">
      <c r="A195" s="67" t="s">
        <v>443</v>
      </c>
      <c r="B195" s="78" t="s">
        <v>557</v>
      </c>
      <c r="C195" s="77" t="s">
        <v>465</v>
      </c>
      <c r="D195" s="75" t="n">
        <v>1000.0</v>
      </c>
      <c r="E195" s="76" t="s">
        <v>1</v>
      </c>
      <c r="F195" s="57" t="str">
        <f>IFERROR(VLOOKUP(C195,$C$9:H194,4,FALSE),"")</f>
        <v/>
      </c>
      <c r="G195" s="61" t="str">
        <f>IFERROR(VLOOKUP(C195,$C$9:G194,5,FALSE),"")</f>
        <v/>
      </c>
      <c r="H195" s="61" t="str">
        <f>IFERROR(VLOOKUP(C195,$C$9:H194,6,FALSE),"")</f>
        <v/>
      </c>
      <c r="I195" s="61" t="s">
        <v>466</v>
      </c>
      <c r="J195" s="61" t="n">
        <v>0.0</v>
      </c>
      <c r="K195" s="61"/>
      <c r="L195" s="61" t="s">
        <v>445</v>
      </c>
      <c r="M195" s="42"/>
      <c r="N195" s="46" t="e">
        <f t="shared" si="8"/>
        <v>#DIV/0!</v>
      </c>
      <c r="O195" s="46" t="str">
        <f t="shared" si="9"/>
        <v/>
      </c>
      <c r="P195" s="46">
        <f t="shared" si="10"/>
        <v>1</v>
      </c>
      <c r="Q195" s="46"/>
      <c r="R195" s="45"/>
      <c r="S195" s="45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</row>
    <row r="196" spans="1:31" ht="14.25">
      <c r="A196" s="67" t="s">
        <v>430</v>
      </c>
      <c r="B196" s="68" t="s">
        <v>559</v>
      </c>
      <c r="C196" s="67" t="s">
        <v>560</v>
      </c>
      <c r="D196" s="75" t="n">
        <v>10.0</v>
      </c>
      <c r="E196" s="76" t="s">
        <v>0</v>
      </c>
      <c r="F196" s="57" t="str">
        <f>IFERROR(VLOOKUP(C196,$C$9:H195,4,FALSE),"")</f>
        <v/>
      </c>
      <c r="G196" s="61" t="str">
        <f>IFERROR(VLOOKUP(C196,$C$9:G195,5,FALSE),"")</f>
        <v/>
      </c>
      <c r="H196" s="61" t="str">
        <f>IFERROR(VLOOKUP(C196,$C$9:H195,6,FALSE),"")</f>
        <v/>
      </c>
      <c r="I196" s="61" t="s">
        <v>433</v>
      </c>
      <c r="J196" s="61" t="n">
        <v>10.0</v>
      </c>
      <c r="K196" s="61" t="s">
        <v>434</v>
      </c>
      <c r="L196" s="61" t="s">
        <v>435</v>
      </c>
      <c r="M196" s="42"/>
      <c r="N196" s="46" t="e">
        <f t="shared" si="8"/>
        <v>#DIV/0!</v>
      </c>
      <c r="O196" s="46" t="str">
        <f t="shared" si="9"/>
        <v/>
      </c>
      <c r="P196" s="46">
        <f t="shared" si="10"/>
        <v>1</v>
      </c>
      <c r="Q196" s="46"/>
      <c r="R196" s="45"/>
      <c r="S196" s="45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</row>
    <row r="197" spans="1:31" ht="14.25">
      <c r="A197" s="67" t="s">
        <v>430</v>
      </c>
      <c r="B197" s="78" t="s">
        <v>559</v>
      </c>
      <c r="C197" s="77" t="s">
        <v>561</v>
      </c>
      <c r="D197" s="75" t="n">
        <v>98.0</v>
      </c>
      <c r="E197" s="76" t="s">
        <v>0</v>
      </c>
      <c r="F197" s="57" t="str">
        <f>IFERROR(VLOOKUP(C197,$C$9:H196,4,FALSE),"")</f>
        <v/>
      </c>
      <c r="G197" s="61" t="str">
        <f>IFERROR(VLOOKUP(C197,$C$9:G196,5,FALSE),"")</f>
        <v/>
      </c>
      <c r="H197" s="61" t="str">
        <f>IFERROR(VLOOKUP(C197,$C$9:H196,6,FALSE),"")</f>
        <v/>
      </c>
      <c r="I197" s="61" t="s">
        <v>433</v>
      </c>
      <c r="J197" s="61" t="n">
        <v>98.0</v>
      </c>
      <c r="K197" s="61" t="s">
        <v>434</v>
      </c>
      <c r="L197" s="61" t="s">
        <v>435</v>
      </c>
      <c r="M197" s="42"/>
      <c r="N197" s="46" t="e">
        <f t="shared" si="8"/>
        <v>#DIV/0!</v>
      </c>
      <c r="O197" s="46" t="str">
        <f t="shared" si="9"/>
        <v/>
      </c>
      <c r="P197" s="46">
        <f t="shared" si="10"/>
        <v>1</v>
      </c>
      <c r="Q197" s="46"/>
      <c r="R197" s="45"/>
      <c r="S197" s="45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</row>
    <row r="198" spans="1:31" ht="14.25">
      <c r="A198" s="67" t="s">
        <v>430</v>
      </c>
      <c r="B198" s="78" t="s">
        <v>559</v>
      </c>
      <c r="C198" s="77" t="s">
        <v>511</v>
      </c>
      <c r="D198" s="75" t="n">
        <v>136.0</v>
      </c>
      <c r="E198" s="76" t="s">
        <v>0</v>
      </c>
      <c r="F198" s="57" t="str">
        <f>IFERROR(VLOOKUP(C198,$C$9:H197,4,FALSE),"")</f>
        <v/>
      </c>
      <c r="G198" s="61" t="str">
        <f>IFERROR(VLOOKUP(C198,$C$9:G197,5,FALSE),"")</f>
        <v/>
      </c>
      <c r="H198" s="61" t="str">
        <f>IFERROR(VLOOKUP(C198,$C$9:H197,6,FALSE),"")</f>
        <v/>
      </c>
      <c r="I198" s="61" t="s">
        <v>433</v>
      </c>
      <c r="J198" s="61" t="n">
        <v>136.0</v>
      </c>
      <c r="K198" s="61" t="s">
        <v>434</v>
      </c>
      <c r="L198" s="61" t="s">
        <v>435</v>
      </c>
      <c r="M198" s="42"/>
      <c r="N198" s="46" t="e">
        <f t="shared" si="8"/>
        <v>#DIV/0!</v>
      </c>
      <c r="O198" s="46" t="str">
        <f t="shared" si="9"/>
        <v/>
      </c>
      <c r="P198" s="46">
        <f t="shared" si="10"/>
        <v>1</v>
      </c>
      <c r="Q198" s="46"/>
      <c r="R198" s="45"/>
      <c r="S198" s="45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</row>
    <row r="199" spans="1:31" ht="14.25">
      <c r="A199" s="67" t="s">
        <v>430</v>
      </c>
      <c r="B199" s="68" t="s">
        <v>559</v>
      </c>
      <c r="C199" s="67" t="s">
        <v>562</v>
      </c>
      <c r="D199" s="75" t="n">
        <v>14.0</v>
      </c>
      <c r="E199" s="76" t="s">
        <v>0</v>
      </c>
      <c r="F199" s="57" t="str">
        <f>IFERROR(VLOOKUP(C199,$C$9:H198,4,FALSE),"")</f>
        <v/>
      </c>
      <c r="G199" s="61" t="str">
        <f>IFERROR(VLOOKUP(C199,$C$9:G198,5,FALSE),"")</f>
        <v/>
      </c>
      <c r="H199" s="61" t="str">
        <f>IFERROR(VLOOKUP(C199,$C$9:H198,6,FALSE),"")</f>
        <v/>
      </c>
      <c r="I199" s="61" t="s">
        <v>433</v>
      </c>
      <c r="J199" s="61" t="n">
        <v>14.0</v>
      </c>
      <c r="K199" s="61" t="s">
        <v>434</v>
      </c>
      <c r="L199" s="61" t="s">
        <v>435</v>
      </c>
      <c r="M199" s="42"/>
      <c r="N199" s="46" t="e">
        <f t="shared" si="8"/>
        <v>#DIV/0!</v>
      </c>
      <c r="O199" s="46" t="str">
        <f t="shared" si="9"/>
        <v/>
      </c>
      <c r="P199" s="46">
        <f t="shared" si="10"/>
        <v>1</v>
      </c>
      <c r="Q199" s="46"/>
      <c r="R199" s="45"/>
      <c r="S199" s="45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</row>
    <row r="200" spans="1:31" ht="14.25">
      <c r="A200" s="67" t="s">
        <v>430</v>
      </c>
      <c r="B200" s="68" t="s">
        <v>559</v>
      </c>
      <c r="C200" s="67" t="s">
        <v>562</v>
      </c>
      <c r="D200" s="75" t="n">
        <v>7.0</v>
      </c>
      <c r="E200" s="76" t="s">
        <v>0</v>
      </c>
      <c r="F200" s="57" t="str">
        <f>IFERROR(VLOOKUP(C200,$C$9:H199,4,FALSE),"")</f>
        <v/>
      </c>
      <c r="G200" s="61" t="str">
        <f>IFERROR(VLOOKUP(C200,$C$9:G199,5,FALSE),"")</f>
        <v/>
      </c>
      <c r="H200" s="61" t="str">
        <f>IFERROR(VLOOKUP(C200,$C$9:H199,6,FALSE),"")</f>
        <v/>
      </c>
      <c r="I200" s="61" t="s">
        <v>433</v>
      </c>
      <c r="J200" s="61" t="n">
        <v>7.0</v>
      </c>
      <c r="K200" s="61" t="s">
        <v>434</v>
      </c>
      <c r="L200" s="61" t="s">
        <v>435</v>
      </c>
      <c r="M200" s="42"/>
      <c r="N200" s="46" t="e">
        <f t="shared" si="8"/>
        <v>#DIV/0!</v>
      </c>
      <c r="O200" s="46" t="str">
        <f t="shared" si="9"/>
        <v/>
      </c>
      <c r="P200" s="46">
        <f t="shared" si="10"/>
        <v>1</v>
      </c>
      <c r="Q200" s="46"/>
      <c r="R200" s="45"/>
      <c r="S200" s="45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</row>
    <row r="201" spans="1:31" ht="14.25">
      <c r="A201" s="67" t="s">
        <v>430</v>
      </c>
      <c r="B201" s="68" t="s">
        <v>559</v>
      </c>
      <c r="C201" s="67" t="s">
        <v>531</v>
      </c>
      <c r="D201" s="75" t="n">
        <v>98.0</v>
      </c>
      <c r="E201" s="76" t="s">
        <v>0</v>
      </c>
      <c r="F201" s="57" t="str">
        <f>IFERROR(VLOOKUP(C201,$C$9:H200,4,FALSE),"")</f>
        <v/>
      </c>
      <c r="G201" s="61" t="str">
        <f>IFERROR(VLOOKUP(C201,$C$9:G200,5,FALSE),"")</f>
        <v/>
      </c>
      <c r="H201" s="61" t="str">
        <f>IFERROR(VLOOKUP(C201,$C$9:H200,6,FALSE),"")</f>
        <v/>
      </c>
      <c r="I201" s="61" t="s">
        <v>433</v>
      </c>
      <c r="J201" s="61" t="n">
        <v>98.0</v>
      </c>
      <c r="K201" s="61" t="s">
        <v>434</v>
      </c>
      <c r="L201" s="61" t="s">
        <v>435</v>
      </c>
      <c r="M201" s="42"/>
      <c r="N201" s="46" t="e">
        <f t="shared" si="8"/>
        <v>#DIV/0!</v>
      </c>
      <c r="O201" s="46" t="str">
        <f t="shared" si="9"/>
        <v/>
      </c>
      <c r="P201" s="46">
        <f t="shared" si="10"/>
        <v>1</v>
      </c>
      <c r="Q201" s="46"/>
      <c r="R201" s="45"/>
      <c r="S201" s="45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</row>
    <row r="202" spans="1:31" ht="14.25">
      <c r="A202" s="67" t="s">
        <v>430</v>
      </c>
      <c r="B202" s="68" t="s">
        <v>559</v>
      </c>
      <c r="C202" s="67" t="s">
        <v>563</v>
      </c>
      <c r="D202" s="75" t="n">
        <v>198.98</v>
      </c>
      <c r="E202" s="76" t="s">
        <v>0</v>
      </c>
      <c r="F202" s="57" t="str">
        <f>IFERROR(VLOOKUP(C202,$C$9:H201,4,FALSE),"")</f>
        <v/>
      </c>
      <c r="G202" s="61" t="str">
        <f>IFERROR(VLOOKUP(C202,$C$9:G201,5,FALSE),"")</f>
        <v/>
      </c>
      <c r="H202" s="61" t="str">
        <f>IFERROR(VLOOKUP(C202,$C$9:H201,6,FALSE),"")</f>
        <v/>
      </c>
      <c r="I202" s="61" t="s">
        <v>433</v>
      </c>
      <c r="J202" s="61" t="n">
        <v>198.98</v>
      </c>
      <c r="K202" s="61" t="s">
        <v>434</v>
      </c>
      <c r="L202" s="61" t="s">
        <v>435</v>
      </c>
      <c r="M202" s="42"/>
      <c r="N202" s="46" t="e">
        <f t="shared" ref="N202:N265" si="11">IF(OR(F202=$P$1,F202="",F202=0),D202/$B$2,IF(OR(F202=$P$2,F202=$P$3,F202=$P$4),D202/(O202*P202),D202/O202))</f>
        <v>#DIV/0!</v>
      </c>
      <c r="O202" s="46" t="str">
        <f t="shared" ref="O202:O265" si="12">IFERROR(VLOOKUP(F202,$P$1:$Q$4,2,0),F202)</f>
        <v/>
      </c>
      <c r="P202" s="46">
        <f t="shared" si="10"/>
        <v>1</v>
      </c>
      <c r="Q202" s="46"/>
      <c r="R202" s="45"/>
      <c r="S202" s="45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</row>
    <row r="203" spans="1:31" ht="14.25">
      <c r="A203" s="67" t="s">
        <v>430</v>
      </c>
      <c r="B203" s="68" t="s">
        <v>559</v>
      </c>
      <c r="C203" s="67" t="s">
        <v>439</v>
      </c>
      <c r="D203" s="75" t="n">
        <v>80.85</v>
      </c>
      <c r="E203" s="76" t="s">
        <v>0</v>
      </c>
      <c r="F203" s="57" t="str">
        <f>IFERROR(VLOOKUP(C203,$C$9:H202,4,FALSE),"")</f>
        <v/>
      </c>
      <c r="G203" s="61" t="s">
        <v>350</v>
      </c>
      <c r="H203" s="61" t="s">
        <v>404</v>
      </c>
      <c r="I203" s="61" t="s">
        <v>433</v>
      </c>
      <c r="J203" s="61" t="n">
        <v>80.85</v>
      </c>
      <c r="K203" s="61" t="s">
        <v>434</v>
      </c>
      <c r="L203" s="61" t="s">
        <v>435</v>
      </c>
      <c r="M203" s="42"/>
      <c r="N203" s="46" t="e">
        <f t="shared" si="11"/>
        <v>#DIV/0!</v>
      </c>
      <c r="O203" s="46" t="str">
        <f t="shared" si="12"/>
        <v/>
      </c>
      <c r="P203" s="46">
        <f t="shared" ref="P203:P266" si="13">IF(C203="",1,COUNTIFS($C$9:$C$1499,C203,$H$9:$H$1499,H203))</f>
        <v>1</v>
      </c>
      <c r="Q203" s="46"/>
      <c r="R203" s="45"/>
      <c r="S203" s="45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</row>
    <row r="204" spans="1:31" ht="14.25">
      <c r="A204" s="67" t="s">
        <v>430</v>
      </c>
      <c r="B204" s="68" t="s">
        <v>559</v>
      </c>
      <c r="C204" s="67" t="s">
        <v>564</v>
      </c>
      <c r="D204" s="75" t="n">
        <v>95.0</v>
      </c>
      <c r="E204" s="76" t="s">
        <v>0</v>
      </c>
      <c r="F204" s="57" t="str">
        <f>IFERROR(VLOOKUP(C204,$C$9:H203,4,FALSE),"")</f>
        <v/>
      </c>
      <c r="G204" s="61" t="str">
        <f>IFERROR(VLOOKUP(C204,$C$9:G203,5,FALSE),"")</f>
        <v/>
      </c>
      <c r="H204" s="61" t="str">
        <f>IFERROR(VLOOKUP(C204,$C$9:H203,6,FALSE),"")</f>
        <v/>
      </c>
      <c r="I204" s="61" t="s">
        <v>433</v>
      </c>
      <c r="J204" s="61" t="n">
        <v>100.0</v>
      </c>
      <c r="K204" s="61" t="s">
        <v>434</v>
      </c>
      <c r="L204" s="61" t="s">
        <v>435</v>
      </c>
      <c r="M204" s="42"/>
      <c r="N204" s="46" t="e">
        <f t="shared" si="11"/>
        <v>#DIV/0!</v>
      </c>
      <c r="O204" s="46" t="str">
        <f t="shared" si="12"/>
        <v/>
      </c>
      <c r="P204" s="46">
        <f t="shared" si="13"/>
        <v>1</v>
      </c>
      <c r="Q204" s="46"/>
      <c r="R204" s="45"/>
      <c r="S204" s="45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</row>
    <row r="205" spans="1:31" ht="14.25">
      <c r="A205" s="67" t="s">
        <v>565</v>
      </c>
      <c r="B205" s="68" t="s">
        <v>566</v>
      </c>
      <c r="C205" s="67" t="s">
        <v>475</v>
      </c>
      <c r="D205" s="75" t="n">
        <v>14.0</v>
      </c>
      <c r="E205" s="76" t="s">
        <v>0</v>
      </c>
      <c r="F205" s="57" t="str">
        <f>IFERROR(VLOOKUP(C205,$C$9:H204,4,FALSE),"")</f>
        <v/>
      </c>
      <c r="G205" s="61" t="str">
        <f>IFERROR(VLOOKUP(C205,$C$9:G204,5,FALSE),"")</f>
        <v/>
      </c>
      <c r="H205" s="61" t="str">
        <f>IFERROR(VLOOKUP(C205,$C$9:H204,6,FALSE),"")</f>
        <v/>
      </c>
      <c r="I205" s="61" t="s">
        <v>433</v>
      </c>
      <c r="J205" s="61" t="n">
        <v>14.0</v>
      </c>
      <c r="K205" s="61" t="s">
        <v>434</v>
      </c>
      <c r="L205" s="61" t="s">
        <v>435</v>
      </c>
      <c r="M205" s="42"/>
      <c r="N205" s="46" t="e">
        <f t="shared" si="11"/>
        <v>#DIV/0!</v>
      </c>
      <c r="O205" s="46" t="str">
        <f t="shared" si="12"/>
        <v/>
      </c>
      <c r="P205" s="46">
        <f t="shared" si="13"/>
        <v>1</v>
      </c>
      <c r="Q205" s="46"/>
      <c r="R205" s="45"/>
      <c r="S205" s="45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</row>
    <row r="206" spans="1:31" ht="14.25">
      <c r="A206" s="67" t="s">
        <v>565</v>
      </c>
      <c r="B206" s="68" t="s">
        <v>566</v>
      </c>
      <c r="C206" s="67" t="s">
        <v>436</v>
      </c>
      <c r="D206" s="75" t="n">
        <v>80.0</v>
      </c>
      <c r="E206" s="76" t="s">
        <v>0</v>
      </c>
      <c r="F206" s="57" t="str">
        <f>IFERROR(VLOOKUP(C206,$C$9:H205,4,FALSE),"")</f>
        <v/>
      </c>
      <c r="G206" s="61" t="str">
        <f>IFERROR(VLOOKUP(C206,$C$9:G205,5,FALSE),"")</f>
        <v/>
      </c>
      <c r="H206" s="61" t="str">
        <f>IFERROR(VLOOKUP(C206,$C$9:H205,6,FALSE),"")</f>
        <v/>
      </c>
      <c r="I206" s="61" t="s">
        <v>437</v>
      </c>
      <c r="J206" s="61" t="n">
        <v>80.0</v>
      </c>
      <c r="K206" s="61" t="s">
        <v>434</v>
      </c>
      <c r="L206" s="61" t="s">
        <v>435</v>
      </c>
      <c r="M206" s="42"/>
      <c r="N206" s="46" t="e">
        <f t="shared" si="11"/>
        <v>#DIV/0!</v>
      </c>
      <c r="O206" s="46" t="str">
        <f t="shared" si="12"/>
        <v/>
      </c>
      <c r="P206" s="46">
        <f t="shared" si="13"/>
        <v>1</v>
      </c>
      <c r="Q206" s="46"/>
      <c r="R206" s="45"/>
      <c r="S206" s="45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</row>
    <row r="207" spans="1:31" ht="14.25">
      <c r="A207" s="67" t="s">
        <v>565</v>
      </c>
      <c r="B207" s="68" t="s">
        <v>566</v>
      </c>
      <c r="C207" s="67" t="s">
        <v>439</v>
      </c>
      <c r="D207" s="75" t="n">
        <v>63.0</v>
      </c>
      <c r="E207" s="76" t="s">
        <v>0</v>
      </c>
      <c r="F207" s="57" t="str">
        <f>IFERROR(VLOOKUP(C207,$C$9:H206,4,FALSE),"")</f>
        <v/>
      </c>
      <c r="G207" s="61" t="s">
        <v>350</v>
      </c>
      <c r="H207" s="61" t="s">
        <v>404</v>
      </c>
      <c r="I207" s="61" t="s">
        <v>433</v>
      </c>
      <c r="J207" s="61" t="n">
        <v>63.0</v>
      </c>
      <c r="K207" s="61" t="s">
        <v>434</v>
      </c>
      <c r="L207" s="61" t="s">
        <v>435</v>
      </c>
      <c r="M207" s="42"/>
      <c r="N207" s="46" t="e">
        <f t="shared" si="11"/>
        <v>#DIV/0!</v>
      </c>
      <c r="O207" s="46" t="str">
        <f t="shared" si="12"/>
        <v/>
      </c>
      <c r="P207" s="46">
        <f t="shared" si="13"/>
        <v>1</v>
      </c>
      <c r="Q207" s="46"/>
      <c r="R207" s="45"/>
      <c r="S207" s="45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</row>
    <row r="208" spans="1:31" ht="14.25">
      <c r="A208" s="67" t="s">
        <v>565</v>
      </c>
      <c r="B208" s="68" t="s">
        <v>566</v>
      </c>
      <c r="C208" s="67" t="s">
        <v>439</v>
      </c>
      <c r="D208" s="75" t="n">
        <v>79.96</v>
      </c>
      <c r="E208" s="76" t="s">
        <v>0</v>
      </c>
      <c r="F208" s="57" t="str">
        <f>IFERROR(VLOOKUP(C208,$C$9:H207,4,FALSE),"")</f>
        <v/>
      </c>
      <c r="G208" s="61" t="s">
        <v>350</v>
      </c>
      <c r="H208" s="61" t="s">
        <v>404</v>
      </c>
      <c r="I208" s="61" t="s">
        <v>433</v>
      </c>
      <c r="J208" s="61" t="n">
        <v>79.96</v>
      </c>
      <c r="K208" s="61" t="s">
        <v>434</v>
      </c>
      <c r="L208" s="61" t="s">
        <v>435</v>
      </c>
      <c r="M208" s="42"/>
      <c r="N208" s="46" t="e">
        <f t="shared" si="11"/>
        <v>#DIV/0!</v>
      </c>
      <c r="O208" s="46" t="str">
        <f t="shared" si="12"/>
        <v/>
      </c>
      <c r="P208" s="46">
        <f t="shared" si="13"/>
        <v>1</v>
      </c>
      <c r="Q208" s="46"/>
      <c r="R208" s="45"/>
      <c r="S208" s="45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</row>
    <row r="209" spans="1:31" ht="14.25">
      <c r="A209" s="67" t="s">
        <v>565</v>
      </c>
      <c r="B209" s="68" t="s">
        <v>566</v>
      </c>
      <c r="C209" s="67" t="s">
        <v>439</v>
      </c>
      <c r="D209" s="75" t="n">
        <v>49.0</v>
      </c>
      <c r="E209" s="76" t="s">
        <v>0</v>
      </c>
      <c r="F209" s="57" t="str">
        <f>IFERROR(VLOOKUP(C209,$C$9:H208,4,FALSE),"")</f>
        <v/>
      </c>
      <c r="G209" s="61" t="s">
        <v>350</v>
      </c>
      <c r="H209" s="61" t="s">
        <v>404</v>
      </c>
      <c r="I209" s="61" t="s">
        <v>433</v>
      </c>
      <c r="J209" s="61" t="n">
        <v>49.0</v>
      </c>
      <c r="K209" s="61" t="s">
        <v>434</v>
      </c>
      <c r="L209" s="61" t="s">
        <v>435</v>
      </c>
      <c r="M209" s="42"/>
      <c r="N209" s="46" t="e">
        <f t="shared" si="11"/>
        <v>#DIV/0!</v>
      </c>
      <c r="O209" s="46" t="str">
        <f t="shared" si="12"/>
        <v/>
      </c>
      <c r="P209" s="46">
        <f t="shared" si="13"/>
        <v>1</v>
      </c>
      <c r="Q209" s="46"/>
      <c r="R209" s="45"/>
      <c r="S209" s="45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</row>
    <row r="210" spans="1:31" ht="14.25">
      <c r="A210" s="67" t="s">
        <v>567</v>
      </c>
      <c r="B210" s="68" t="s">
        <v>566</v>
      </c>
      <c r="C210" s="67" t="s">
        <v>444</v>
      </c>
      <c r="D210" s="75" t="n">
        <v>97.97</v>
      </c>
      <c r="E210" s="76" t="s">
        <v>0</v>
      </c>
      <c r="F210" s="57" t="str">
        <f>IFERROR(VLOOKUP(C210,$C$9:H209,4,FALSE),"")</f>
        <v/>
      </c>
      <c r="G210" s="61" t="str">
        <f>IFERROR(VLOOKUP(C210,$C$9:G209,5,FALSE),"")</f>
        <v/>
      </c>
      <c r="H210" s="61" t="str">
        <f>IFERROR(VLOOKUP(C210,$C$9:H209,6,FALSE),"")</f>
        <v/>
      </c>
      <c r="I210" s="61"/>
      <c r="J210" s="61" t="n">
        <v>0.0</v>
      </c>
      <c r="K210" s="61"/>
      <c r="L210" s="61" t="s">
        <v>445</v>
      </c>
      <c r="M210" s="42"/>
      <c r="N210" s="46" t="e">
        <f t="shared" si="11"/>
        <v>#DIV/0!</v>
      </c>
      <c r="O210" s="46" t="str">
        <f t="shared" si="12"/>
        <v/>
      </c>
      <c r="P210" s="46">
        <f t="shared" si="13"/>
        <v>1</v>
      </c>
      <c r="Q210" s="46"/>
      <c r="R210" s="45"/>
      <c r="S210" s="45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</row>
    <row r="211" spans="1:31" ht="14.25">
      <c r="A211" s="67" t="s">
        <v>567</v>
      </c>
      <c r="B211" s="68" t="s">
        <v>566</v>
      </c>
      <c r="C211" s="67" t="s">
        <v>446</v>
      </c>
      <c r="D211" s="75" t="n">
        <v>444.7</v>
      </c>
      <c r="E211" s="76" t="s">
        <v>0</v>
      </c>
      <c r="F211" s="57" t="str">
        <f>IFERROR(VLOOKUP(C211,$C$9:H210,4,FALSE),"")</f>
        <v/>
      </c>
      <c r="G211" s="61" t="str">
        <f>IFERROR(VLOOKUP(C211,$C$9:G210,5,FALSE),"")</f>
        <v/>
      </c>
      <c r="H211" s="61" t="str">
        <f>IFERROR(VLOOKUP(C211,$C$9:H210,6,FALSE),"")</f>
        <v/>
      </c>
      <c r="I211" s="61"/>
      <c r="J211" s="61" t="n">
        <v>0.0</v>
      </c>
      <c r="K211" s="61"/>
      <c r="L211" s="61" t="s">
        <v>445</v>
      </c>
      <c r="M211" s="42"/>
      <c r="N211" s="46" t="e">
        <f t="shared" si="11"/>
        <v>#DIV/0!</v>
      </c>
      <c r="O211" s="46" t="str">
        <f t="shared" si="12"/>
        <v/>
      </c>
      <c r="P211" s="46">
        <f t="shared" si="13"/>
        <v>1</v>
      </c>
      <c r="Q211" s="46"/>
      <c r="R211" s="45"/>
      <c r="S211" s="45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</row>
    <row r="212" spans="1:31" ht="14.25">
      <c r="A212" s="67" t="s">
        <v>567</v>
      </c>
      <c r="B212" s="68" t="s">
        <v>566</v>
      </c>
      <c r="C212" s="67" t="s">
        <v>452</v>
      </c>
      <c r="D212" s="75" t="n">
        <v>45.9</v>
      </c>
      <c r="E212" s="76" t="s">
        <v>0</v>
      </c>
      <c r="F212" s="57" t="str">
        <f>IFERROR(VLOOKUP(C212,$C$9:H211,4,FALSE),"")</f>
        <v/>
      </c>
      <c r="G212" s="61" t="s">
        <v>414</v>
      </c>
      <c r="H212" s="61" t="s">
        <v>414</v>
      </c>
      <c r="I212" s="61"/>
      <c r="J212" s="61" t="n">
        <v>0.0</v>
      </c>
      <c r="K212" s="61"/>
      <c r="L212" s="61" t="s">
        <v>445</v>
      </c>
      <c r="M212" s="42"/>
      <c r="N212" s="46" t="e">
        <f t="shared" si="11"/>
        <v>#DIV/0!</v>
      </c>
      <c r="O212" s="46" t="str">
        <f t="shared" si="12"/>
        <v/>
      </c>
      <c r="P212" s="46">
        <f t="shared" si="13"/>
        <v>1</v>
      </c>
      <c r="Q212" s="46"/>
      <c r="R212" s="45"/>
      <c r="S212" s="45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</row>
    <row r="213" spans="1:31" ht="14.25">
      <c r="A213" s="67" t="s">
        <v>567</v>
      </c>
      <c r="B213" s="68" t="s">
        <v>566</v>
      </c>
      <c r="C213" s="67" t="s">
        <v>568</v>
      </c>
      <c r="D213" s="75" t="n">
        <v>45.0</v>
      </c>
      <c r="E213" s="76" t="s">
        <v>1</v>
      </c>
      <c r="F213" s="57" t="str">
        <f>IFERROR(VLOOKUP(C213,$C$9:H212,4,FALSE),"")</f>
        <v/>
      </c>
      <c r="G213" s="61" t="str">
        <f>IFERROR(VLOOKUP(C213,$C$9:G212,5,FALSE),"")</f>
        <v/>
      </c>
      <c r="H213" s="61" t="str">
        <f>IFERROR(VLOOKUP(C213,$C$9:H212,6,FALSE),"")</f>
        <v/>
      </c>
      <c r="I213" s="61" t="s">
        <v>569</v>
      </c>
      <c r="J213" s="61" t="n">
        <v>0.0</v>
      </c>
      <c r="K213" s="61"/>
      <c r="L213" s="61" t="s">
        <v>445</v>
      </c>
      <c r="M213" s="42"/>
      <c r="N213" s="46" t="e">
        <f t="shared" si="11"/>
        <v>#DIV/0!</v>
      </c>
      <c r="O213" s="46" t="str">
        <f t="shared" si="12"/>
        <v/>
      </c>
      <c r="P213" s="46">
        <f t="shared" si="13"/>
        <v>1</v>
      </c>
      <c r="Q213" s="46"/>
      <c r="R213" s="45"/>
      <c r="S213" s="45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</row>
    <row r="214" spans="1:31" ht="14.25">
      <c r="A214" s="67" t="s">
        <v>567</v>
      </c>
      <c r="B214" s="68" t="s">
        <v>566</v>
      </c>
      <c r="C214" s="67" t="s">
        <v>547</v>
      </c>
      <c r="D214" s="75" t="n">
        <v>1000.0</v>
      </c>
      <c r="E214" s="76" t="s">
        <v>1</v>
      </c>
      <c r="F214" s="57" t="str">
        <f>IFERROR(VLOOKUP(C214,$C$9:H213,4,FALSE),"")</f>
        <v/>
      </c>
      <c r="G214" s="61" t="str">
        <f>IFERROR(VLOOKUP(C214,$C$9:G213,5,FALSE),"")</f>
        <v/>
      </c>
      <c r="H214" s="61" t="str">
        <f>IFERROR(VLOOKUP(C214,$C$9:H213,6,FALSE),"")</f>
        <v/>
      </c>
      <c r="I214" s="61" t="s">
        <v>570</v>
      </c>
      <c r="J214" s="61" t="n">
        <v>0.0</v>
      </c>
      <c r="K214" s="61"/>
      <c r="L214" s="61" t="s">
        <v>445</v>
      </c>
      <c r="M214" s="42"/>
      <c r="N214" s="46" t="e">
        <f t="shared" si="11"/>
        <v>#DIV/0!</v>
      </c>
      <c r="O214" s="46" t="str">
        <f t="shared" si="12"/>
        <v/>
      </c>
      <c r="P214" s="46">
        <f t="shared" si="13"/>
        <v>1</v>
      </c>
      <c r="Q214" s="46"/>
      <c r="R214" s="45"/>
      <c r="S214" s="45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</row>
    <row r="215" spans="1:31" ht="14.25">
      <c r="A215" s="67" t="s">
        <v>565</v>
      </c>
      <c r="B215" s="68" t="s">
        <v>571</v>
      </c>
      <c r="C215" s="67" t="s">
        <v>494</v>
      </c>
      <c r="D215" s="75" t="n">
        <v>18.0</v>
      </c>
      <c r="E215" s="76" t="s">
        <v>0</v>
      </c>
      <c r="F215" s="57" t="str">
        <f>IFERROR(VLOOKUP(C215,$C$9:H214,4,FALSE),"")</f>
        <v/>
      </c>
      <c r="G215" s="61" t="s">
        <v>350</v>
      </c>
      <c r="H215" s="61" t="s">
        <v>404</v>
      </c>
      <c r="I215" s="61" t="s">
        <v>433</v>
      </c>
      <c r="J215" s="61" t="n">
        <v>18.0</v>
      </c>
      <c r="K215" s="61" t="s">
        <v>434</v>
      </c>
      <c r="L215" s="61" t="s">
        <v>435</v>
      </c>
      <c r="M215" s="42"/>
      <c r="N215" s="46" t="e">
        <f t="shared" si="11"/>
        <v>#DIV/0!</v>
      </c>
      <c r="O215" s="46" t="str">
        <f t="shared" si="12"/>
        <v/>
      </c>
      <c r="P215" s="46">
        <f t="shared" si="13"/>
        <v>1</v>
      </c>
      <c r="Q215" s="46"/>
      <c r="R215" s="45"/>
      <c r="S215" s="45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</row>
    <row r="216" spans="1:31" ht="14.25">
      <c r="A216" s="67" t="s">
        <v>565</v>
      </c>
      <c r="B216" s="68" t="s">
        <v>571</v>
      </c>
      <c r="C216" s="67" t="s">
        <v>572</v>
      </c>
      <c r="D216" s="75" t="n">
        <v>25.0</v>
      </c>
      <c r="E216" s="76" t="s">
        <v>0</v>
      </c>
      <c r="F216" s="57" t="str">
        <f>IFERROR(VLOOKUP(C216,$C$9:H215,4,FALSE),"")</f>
        <v/>
      </c>
      <c r="G216" s="61" t="s">
        <v>350</v>
      </c>
      <c r="H216" s="61" t="s">
        <v>404</v>
      </c>
      <c r="I216" s="61" t="s">
        <v>433</v>
      </c>
      <c r="J216" s="61" t="n">
        <v>25.0</v>
      </c>
      <c r="K216" s="61" t="s">
        <v>434</v>
      </c>
      <c r="L216" s="61" t="s">
        <v>435</v>
      </c>
      <c r="M216" s="42"/>
      <c r="N216" s="46" t="e">
        <f t="shared" si="11"/>
        <v>#DIV/0!</v>
      </c>
      <c r="O216" s="46" t="str">
        <f t="shared" si="12"/>
        <v/>
      </c>
      <c r="P216" s="46">
        <f t="shared" si="13"/>
        <v>1</v>
      </c>
      <c r="Q216" s="46"/>
      <c r="R216" s="45"/>
      <c r="S216" s="45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</row>
    <row r="217" spans="1:31" ht="14.25">
      <c r="A217" s="67" t="s">
        <v>565</v>
      </c>
      <c r="B217" s="68" t="s">
        <v>571</v>
      </c>
      <c r="C217" s="67" t="s">
        <v>573</v>
      </c>
      <c r="D217" s="75" t="n">
        <v>30.0</v>
      </c>
      <c r="E217" s="76" t="s">
        <v>0</v>
      </c>
      <c r="F217" s="57" t="str">
        <f>IFERROR(VLOOKUP(C217,$C$9:H216,4,FALSE),"")</f>
        <v/>
      </c>
      <c r="G217" s="61" t="str">
        <f>IFERROR(VLOOKUP(C217,$C$9:G216,5,FALSE),"")</f>
        <v/>
      </c>
      <c r="H217" s="61" t="str">
        <f>IFERROR(VLOOKUP(C217,$C$9:H216,6,FALSE),"")</f>
        <v/>
      </c>
      <c r="I217" s="61" t="s">
        <v>433</v>
      </c>
      <c r="J217" s="61" t="n">
        <v>30.0</v>
      </c>
      <c r="K217" s="61" t="s">
        <v>434</v>
      </c>
      <c r="L217" s="61" t="s">
        <v>435</v>
      </c>
      <c r="M217" s="42"/>
      <c r="N217" s="46" t="e">
        <f t="shared" si="11"/>
        <v>#DIV/0!</v>
      </c>
      <c r="O217" s="46" t="str">
        <f t="shared" si="12"/>
        <v/>
      </c>
      <c r="P217" s="46">
        <f t="shared" si="13"/>
        <v>1</v>
      </c>
      <c r="Q217" s="46"/>
      <c r="R217" s="45"/>
      <c r="S217" s="45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</row>
    <row r="218" spans="1:31" ht="14.25">
      <c r="A218" s="67" t="s">
        <v>565</v>
      </c>
      <c r="B218" s="68" t="s">
        <v>571</v>
      </c>
      <c r="C218" s="67" t="s">
        <v>432</v>
      </c>
      <c r="D218" s="75" t="n">
        <v>22.0</v>
      </c>
      <c r="E218" s="76" t="s">
        <v>0</v>
      </c>
      <c r="F218" s="57" t="str">
        <f>IFERROR(VLOOKUP(C218,$C$9:H217,4,FALSE),"")</f>
        <v/>
      </c>
      <c r="G218" s="61" t="s">
        <v>350</v>
      </c>
      <c r="H218" s="61" t="s">
        <v>404</v>
      </c>
      <c r="I218" s="61" t="s">
        <v>433</v>
      </c>
      <c r="J218" s="61" t="n">
        <v>22.0</v>
      </c>
      <c r="K218" s="61" t="s">
        <v>434</v>
      </c>
      <c r="L218" s="61" t="s">
        <v>435</v>
      </c>
      <c r="M218" s="42"/>
      <c r="N218" s="46" t="e">
        <f t="shared" si="11"/>
        <v>#DIV/0!</v>
      </c>
      <c r="O218" s="46" t="str">
        <f t="shared" si="12"/>
        <v/>
      </c>
      <c r="P218" s="46">
        <f t="shared" si="13"/>
        <v>1</v>
      </c>
      <c r="Q218" s="46"/>
      <c r="R218" s="45"/>
      <c r="S218" s="45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</row>
    <row r="219" spans="1:31" ht="14.25">
      <c r="A219" s="67" t="s">
        <v>565</v>
      </c>
      <c r="B219" s="68" t="s">
        <v>571</v>
      </c>
      <c r="C219" s="67" t="s">
        <v>574</v>
      </c>
      <c r="D219" s="75" t="n">
        <v>21.19</v>
      </c>
      <c r="E219" s="76" t="s">
        <v>0</v>
      </c>
      <c r="F219" s="57" t="str">
        <f>IFERROR(VLOOKUP(C219,$C$9:H218,4,FALSE),"")</f>
        <v/>
      </c>
      <c r="G219" s="61" t="str">
        <f>IFERROR(VLOOKUP(C219,$C$9:G218,5,FALSE),"")</f>
        <v/>
      </c>
      <c r="H219" s="61" t="str">
        <f>IFERROR(VLOOKUP(C219,$C$9:H218,6,FALSE),"")</f>
        <v/>
      </c>
      <c r="I219" s="61" t="s">
        <v>433</v>
      </c>
      <c r="J219" s="61" t="n">
        <v>21.19</v>
      </c>
      <c r="K219" s="61" t="s">
        <v>434</v>
      </c>
      <c r="L219" s="61" t="s">
        <v>435</v>
      </c>
      <c r="M219" s="42"/>
      <c r="N219" s="46" t="e">
        <f t="shared" si="11"/>
        <v>#DIV/0!</v>
      </c>
      <c r="O219" s="46" t="str">
        <f t="shared" si="12"/>
        <v/>
      </c>
      <c r="P219" s="46">
        <f t="shared" si="13"/>
        <v>1</v>
      </c>
      <c r="Q219" s="46"/>
      <c r="R219" s="45"/>
      <c r="S219" s="45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</row>
    <row r="220" spans="1:31" ht="14.25">
      <c r="A220" s="67" t="s">
        <v>565</v>
      </c>
      <c r="B220" s="68" t="s">
        <v>571</v>
      </c>
      <c r="C220" s="67" t="s">
        <v>441</v>
      </c>
      <c r="D220" s="75" t="n">
        <v>15.0</v>
      </c>
      <c r="E220" s="76" t="s">
        <v>0</v>
      </c>
      <c r="F220" s="57" t="str">
        <f>IFERROR(VLOOKUP(C220,$C$9:H219,4,FALSE),"")</f>
        <v/>
      </c>
      <c r="G220" s="61" t="str">
        <f>IFERROR(VLOOKUP(C220,$C$9:G219,5,FALSE),"")</f>
        <v/>
      </c>
      <c r="H220" s="61" t="str">
        <f>IFERROR(VLOOKUP(C220,$C$9:H219,6,FALSE),"")</f>
        <v/>
      </c>
      <c r="I220" s="61" t="s">
        <v>433</v>
      </c>
      <c r="J220" s="61" t="n">
        <v>15.0</v>
      </c>
      <c r="K220" s="61" t="s">
        <v>434</v>
      </c>
      <c r="L220" s="61" t="s">
        <v>435</v>
      </c>
      <c r="M220" s="42"/>
      <c r="N220" s="46" t="e">
        <f t="shared" si="11"/>
        <v>#DIV/0!</v>
      </c>
      <c r="O220" s="46" t="str">
        <f t="shared" si="12"/>
        <v/>
      </c>
      <c r="P220" s="46">
        <f t="shared" si="13"/>
        <v>1</v>
      </c>
      <c r="Q220" s="46"/>
      <c r="R220" s="45"/>
      <c r="S220" s="45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</row>
    <row r="221" spans="1:31" ht="14.25">
      <c r="A221" s="67" t="s">
        <v>565</v>
      </c>
      <c r="B221" s="68" t="s">
        <v>571</v>
      </c>
      <c r="C221" s="67" t="s">
        <v>441</v>
      </c>
      <c r="D221" s="75" t="n">
        <v>11.0</v>
      </c>
      <c r="E221" s="76" t="s">
        <v>0</v>
      </c>
      <c r="F221" s="57" t="str">
        <f>IFERROR(VLOOKUP(C221,$C$9:H220,4,FALSE),"")</f>
        <v/>
      </c>
      <c r="G221" s="61" t="str">
        <f>IFERROR(VLOOKUP(C221,$C$9:G220,5,FALSE),"")</f>
        <v/>
      </c>
      <c r="H221" s="61" t="str">
        <f>IFERROR(VLOOKUP(C221,$C$9:H220,6,FALSE),"")</f>
        <v/>
      </c>
      <c r="I221" s="61" t="s">
        <v>433</v>
      </c>
      <c r="J221" s="61" t="n">
        <v>11.0</v>
      </c>
      <c r="K221" s="61" t="s">
        <v>434</v>
      </c>
      <c r="L221" s="61" t="s">
        <v>435</v>
      </c>
      <c r="M221" s="42"/>
      <c r="N221" s="46" t="e">
        <f t="shared" si="11"/>
        <v>#DIV/0!</v>
      </c>
      <c r="O221" s="46" t="str">
        <f t="shared" si="12"/>
        <v/>
      </c>
      <c r="P221" s="46">
        <f t="shared" si="13"/>
        <v>1</v>
      </c>
      <c r="Q221" s="46"/>
      <c r="R221" s="45"/>
      <c r="S221" s="45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</row>
    <row r="222" spans="1:31" ht="14.25">
      <c r="A222" s="67" t="s">
        <v>565</v>
      </c>
      <c r="B222" s="68" t="s">
        <v>571</v>
      </c>
      <c r="C222" s="67" t="s">
        <v>513</v>
      </c>
      <c r="D222" s="75" t="n">
        <v>20.0</v>
      </c>
      <c r="E222" s="76" t="s">
        <v>0</v>
      </c>
      <c r="F222" s="57" t="str">
        <f>IFERROR(VLOOKUP(C222,$C$9:H221,4,FALSE),"")</f>
        <v/>
      </c>
      <c r="G222" s="61" t="str">
        <f>IFERROR(VLOOKUP(C222,$C$9:G221,5,FALSE),"")</f>
        <v/>
      </c>
      <c r="H222" s="61" t="str">
        <f>IFERROR(VLOOKUP(C222,$C$9:H221,6,FALSE),"")</f>
        <v/>
      </c>
      <c r="I222" s="61" t="s">
        <v>575</v>
      </c>
      <c r="J222" s="61" t="n">
        <v>20.0</v>
      </c>
      <c r="K222" s="61" t="s">
        <v>434</v>
      </c>
      <c r="L222" s="61" t="s">
        <v>435</v>
      </c>
      <c r="M222" s="42"/>
      <c r="N222" s="46" t="e">
        <f t="shared" si="11"/>
        <v>#DIV/0!</v>
      </c>
      <c r="O222" s="46" t="str">
        <f t="shared" si="12"/>
        <v/>
      </c>
      <c r="P222" s="46">
        <f t="shared" si="13"/>
        <v>1</v>
      </c>
      <c r="Q222" s="46"/>
      <c r="R222" s="45"/>
      <c r="S222" s="45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</row>
    <row r="223" spans="1:31" ht="14.25">
      <c r="A223" s="67" t="s">
        <v>576</v>
      </c>
      <c r="B223" s="68" t="s">
        <v>571</v>
      </c>
      <c r="C223" s="67" t="s">
        <v>526</v>
      </c>
      <c r="D223" s="75" t="n">
        <v>156.95</v>
      </c>
      <c r="E223" s="76" t="s">
        <v>0</v>
      </c>
      <c r="F223" s="57" t="str">
        <f>IFERROR(VLOOKUP(C223,$C$9:H222,4,FALSE),"")</f>
        <v/>
      </c>
      <c r="G223" s="61" t="str">
        <f>IFERROR(VLOOKUP(C223,$C$9:G222,5,FALSE),"")</f>
        <v/>
      </c>
      <c r="H223" s="61" t="str">
        <f>IFERROR(VLOOKUP(C223,$C$9:H222,6,FALSE),"")</f>
        <v/>
      </c>
      <c r="I223" s="61" t="s">
        <v>433</v>
      </c>
      <c r="J223" s="61" t="n">
        <v>156.95</v>
      </c>
      <c r="K223" s="61" t="s">
        <v>434</v>
      </c>
      <c r="L223" s="61" t="s">
        <v>435</v>
      </c>
      <c r="M223" s="42"/>
      <c r="N223" s="46" t="e">
        <f t="shared" si="11"/>
        <v>#DIV/0!</v>
      </c>
      <c r="O223" s="46" t="str">
        <f t="shared" si="12"/>
        <v/>
      </c>
      <c r="P223" s="46">
        <f t="shared" si="13"/>
        <v>1</v>
      </c>
      <c r="Q223" s="46"/>
      <c r="R223" s="45"/>
      <c r="S223" s="45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</row>
    <row r="224" spans="1:31" ht="14.25">
      <c r="A224" s="67" t="s">
        <v>567</v>
      </c>
      <c r="B224" s="68" t="s">
        <v>571</v>
      </c>
      <c r="C224" s="67" t="s">
        <v>444</v>
      </c>
      <c r="D224" s="75" t="n">
        <v>119.26</v>
      </c>
      <c r="E224" s="76" t="s">
        <v>0</v>
      </c>
      <c r="F224" s="57" t="str">
        <f>IFERROR(VLOOKUP(C224,$C$9:H223,4,FALSE),"")</f>
        <v/>
      </c>
      <c r="G224" s="61" t="str">
        <f>IFERROR(VLOOKUP(C224,$C$9:G223,5,FALSE),"")</f>
        <v/>
      </c>
      <c r="H224" s="61" t="str">
        <f>IFERROR(VLOOKUP(C224,$C$9:H223,6,FALSE),"")</f>
        <v/>
      </c>
      <c r="I224" s="61"/>
      <c r="J224" s="61" t="n">
        <v>0.0</v>
      </c>
      <c r="K224" s="61"/>
      <c r="L224" s="61" t="s">
        <v>445</v>
      </c>
      <c r="M224" s="42"/>
      <c r="N224" s="46" t="e">
        <f t="shared" si="11"/>
        <v>#DIV/0!</v>
      </c>
      <c r="O224" s="46" t="str">
        <f t="shared" si="12"/>
        <v/>
      </c>
      <c r="P224" s="46">
        <f t="shared" si="13"/>
        <v>1</v>
      </c>
      <c r="Q224" s="46"/>
      <c r="R224" s="45"/>
      <c r="S224" s="45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</row>
    <row r="225" spans="1:31" ht="14.25">
      <c r="A225" s="67" t="s">
        <v>567</v>
      </c>
      <c r="B225" s="68" t="s">
        <v>571</v>
      </c>
      <c r="C225" s="67" t="s">
        <v>446</v>
      </c>
      <c r="D225" s="75" t="n">
        <v>332.88</v>
      </c>
      <c r="E225" s="76" t="s">
        <v>0</v>
      </c>
      <c r="F225" s="57" t="str">
        <f>IFERROR(VLOOKUP(C225,$C$9:H224,4,FALSE),"")</f>
        <v/>
      </c>
      <c r="G225" s="61" t="str">
        <f>IFERROR(VLOOKUP(C225,$C$9:G224,5,FALSE),"")</f>
        <v/>
      </c>
      <c r="H225" s="61" t="str">
        <f>IFERROR(VLOOKUP(C225,$C$9:H224,6,FALSE),"")</f>
        <v/>
      </c>
      <c r="I225" s="61"/>
      <c r="J225" s="61" t="n">
        <v>0.0</v>
      </c>
      <c r="K225" s="61"/>
      <c r="L225" s="61" t="s">
        <v>445</v>
      </c>
      <c r="M225" s="42"/>
      <c r="N225" s="46" t="e">
        <f t="shared" si="11"/>
        <v>#DIV/0!</v>
      </c>
      <c r="O225" s="46" t="str">
        <f t="shared" si="12"/>
        <v/>
      </c>
      <c r="P225" s="46">
        <f t="shared" si="13"/>
        <v>1</v>
      </c>
      <c r="Q225" s="46"/>
      <c r="R225" s="45"/>
      <c r="S225" s="45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</row>
    <row r="226" spans="1:31" ht="14.25">
      <c r="A226" s="67" t="s">
        <v>567</v>
      </c>
      <c r="B226" s="68" t="s">
        <v>571</v>
      </c>
      <c r="C226" s="67" t="s">
        <v>452</v>
      </c>
      <c r="D226" s="75" t="n">
        <v>15325.96</v>
      </c>
      <c r="E226" s="76" t="s">
        <v>0</v>
      </c>
      <c r="F226" s="57" t="str">
        <f>IFERROR(VLOOKUP(C226,$C$9:H225,4,FALSE),"")</f>
        <v/>
      </c>
      <c r="G226" s="61" t="s">
        <v>414</v>
      </c>
      <c r="H226" s="61" t="s">
        <v>414</v>
      </c>
      <c r="I226" s="61"/>
      <c r="J226" s="61" t="n">
        <v>0.0</v>
      </c>
      <c r="K226" s="61"/>
      <c r="L226" s="61" t="s">
        <v>445</v>
      </c>
      <c r="M226" s="42"/>
      <c r="N226" s="46" t="e">
        <f t="shared" si="11"/>
        <v>#DIV/0!</v>
      </c>
      <c r="O226" s="46" t="str">
        <f t="shared" si="12"/>
        <v/>
      </c>
      <c r="P226" s="46">
        <f t="shared" si="13"/>
        <v>1</v>
      </c>
      <c r="Q226" s="46"/>
      <c r="R226" s="45"/>
      <c r="S226" s="45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</row>
    <row r="227" spans="1:31" ht="14.25">
      <c r="A227" s="67" t="s">
        <v>565</v>
      </c>
      <c r="B227" s="71" t="s">
        <v>577</v>
      </c>
      <c r="C227" s="67" t="s">
        <v>460</v>
      </c>
      <c r="D227" s="75" t="n">
        <v>214.17</v>
      </c>
      <c r="E227" s="76" t="s">
        <v>0</v>
      </c>
      <c r="F227" s="57" t="str">
        <f>IFERROR(VLOOKUP(C227,$C$9:H226,4,FALSE),"")</f>
        <v/>
      </c>
      <c r="G227" s="61" t="str">
        <f>IFERROR(VLOOKUP(C227,$C$9:G226,5,FALSE),"")</f>
        <v/>
      </c>
      <c r="H227" s="61" t="str">
        <f>IFERROR(VLOOKUP(C227,$C$9:H226,6,FALSE),"")</f>
        <v/>
      </c>
      <c r="I227" s="61" t="s">
        <v>433</v>
      </c>
      <c r="J227" s="61" t="n">
        <v>214.17</v>
      </c>
      <c r="K227" s="61" t="s">
        <v>434</v>
      </c>
      <c r="L227" s="61" t="s">
        <v>435</v>
      </c>
      <c r="M227" s="42"/>
      <c r="N227" s="46" t="e">
        <f t="shared" si="11"/>
        <v>#DIV/0!</v>
      </c>
      <c r="O227" s="46" t="str">
        <f t="shared" si="12"/>
        <v/>
      </c>
      <c r="P227" s="46">
        <f t="shared" si="13"/>
        <v>1</v>
      </c>
      <c r="Q227" s="46"/>
      <c r="R227" s="45"/>
      <c r="S227" s="45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</row>
    <row r="228" spans="1:31" ht="14.25">
      <c r="A228" s="67" t="s">
        <v>565</v>
      </c>
      <c r="B228" s="71" t="s">
        <v>577</v>
      </c>
      <c r="C228" s="67" t="s">
        <v>439</v>
      </c>
      <c r="D228" s="75" t="n">
        <v>70.35</v>
      </c>
      <c r="E228" s="76" t="s">
        <v>0</v>
      </c>
      <c r="F228" s="57" t="str">
        <f>IFERROR(VLOOKUP(C228,$C$9:H227,4,FALSE),"")</f>
        <v/>
      </c>
      <c r="G228" s="61" t="s">
        <v>350</v>
      </c>
      <c r="H228" s="61" t="s">
        <v>404</v>
      </c>
      <c r="I228" s="61" t="s">
        <v>433</v>
      </c>
      <c r="J228" s="61" t="n">
        <v>70.35</v>
      </c>
      <c r="K228" s="61" t="s">
        <v>434</v>
      </c>
      <c r="L228" s="61" t="s">
        <v>435</v>
      </c>
      <c r="M228" s="42"/>
      <c r="N228" s="46" t="e">
        <f t="shared" si="11"/>
        <v>#DIV/0!</v>
      </c>
      <c r="O228" s="46" t="str">
        <f t="shared" si="12"/>
        <v/>
      </c>
      <c r="P228" s="46">
        <f t="shared" si="13"/>
        <v>1</v>
      </c>
      <c r="Q228" s="46"/>
      <c r="R228" s="45"/>
      <c r="S228" s="45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</row>
    <row r="229" spans="1:31" ht="14.25">
      <c r="A229" s="67" t="s">
        <v>565</v>
      </c>
      <c r="B229" s="68" t="s">
        <v>577</v>
      </c>
      <c r="C229" s="67" t="s">
        <v>440</v>
      </c>
      <c r="D229" s="75" t="n">
        <v>90.0</v>
      </c>
      <c r="E229" s="76" t="s">
        <v>0</v>
      </c>
      <c r="F229" s="57" t="str">
        <f>IFERROR(VLOOKUP(C229,$C$9:H228,4,FALSE),"")</f>
        <v/>
      </c>
      <c r="G229" s="61" t="str">
        <f>IFERROR(VLOOKUP(C229,$C$9:G228,5,FALSE),"")</f>
        <v/>
      </c>
      <c r="H229" s="61" t="str">
        <f>IFERROR(VLOOKUP(C229,$C$9:H228,6,FALSE),"")</f>
        <v/>
      </c>
      <c r="I229" s="61" t="s">
        <v>433</v>
      </c>
      <c r="J229" s="61" t="n">
        <v>90.0</v>
      </c>
      <c r="K229" s="61" t="s">
        <v>434</v>
      </c>
      <c r="L229" s="61" t="s">
        <v>435</v>
      </c>
      <c r="M229" s="42"/>
      <c r="N229" s="46" t="e">
        <f t="shared" si="11"/>
        <v>#DIV/0!</v>
      </c>
      <c r="O229" s="46" t="str">
        <f t="shared" si="12"/>
        <v/>
      </c>
      <c r="P229" s="46">
        <f t="shared" si="13"/>
        <v>1</v>
      </c>
      <c r="Q229" s="46"/>
      <c r="R229" s="45"/>
      <c r="S229" s="45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</row>
    <row r="230" spans="1:31" ht="14.25">
      <c r="A230" s="67" t="s">
        <v>565</v>
      </c>
      <c r="B230" s="68" t="s">
        <v>578</v>
      </c>
      <c r="C230" s="67" t="s">
        <v>579</v>
      </c>
      <c r="D230" s="75" t="n">
        <v>20.0</v>
      </c>
      <c r="E230" s="76" t="s">
        <v>0</v>
      </c>
      <c r="F230" s="57" t="str">
        <f>IFERROR(VLOOKUP(C230,$C$9:H229,4,FALSE),"")</f>
        <v/>
      </c>
      <c r="G230" s="61" t="s">
        <v>350</v>
      </c>
      <c r="H230" s="61" t="s">
        <v>404</v>
      </c>
      <c r="I230" s="61" t="s">
        <v>433</v>
      </c>
      <c r="J230" s="61" t="n">
        <v>20.0</v>
      </c>
      <c r="K230" s="61" t="s">
        <v>434</v>
      </c>
      <c r="L230" s="61" t="s">
        <v>435</v>
      </c>
      <c r="M230" s="42"/>
      <c r="N230" s="46" t="e">
        <f t="shared" si="11"/>
        <v>#DIV/0!</v>
      </c>
      <c r="O230" s="46" t="str">
        <f t="shared" si="12"/>
        <v/>
      </c>
      <c r="P230" s="46">
        <f t="shared" si="13"/>
        <v>1</v>
      </c>
      <c r="Q230" s="46"/>
      <c r="R230" s="45"/>
      <c r="S230" s="45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</row>
    <row r="231" spans="1:31" ht="14.25">
      <c r="A231" s="67" t="s">
        <v>565</v>
      </c>
      <c r="B231" s="68" t="s">
        <v>578</v>
      </c>
      <c r="C231" s="67" t="s">
        <v>439</v>
      </c>
      <c r="D231" s="75" t="n">
        <v>94.95</v>
      </c>
      <c r="E231" s="76" t="s">
        <v>0</v>
      </c>
      <c r="F231" s="57" t="str">
        <f>IFERROR(VLOOKUP(C231,$C$9:H230,4,FALSE),"")</f>
        <v/>
      </c>
      <c r="G231" s="61" t="s">
        <v>350</v>
      </c>
      <c r="H231" s="61" t="s">
        <v>404</v>
      </c>
      <c r="I231" s="61" t="s">
        <v>433</v>
      </c>
      <c r="J231" s="61" t="n">
        <v>94.95</v>
      </c>
      <c r="K231" s="61" t="s">
        <v>434</v>
      </c>
      <c r="L231" s="61" t="s">
        <v>435</v>
      </c>
      <c r="M231" s="42"/>
      <c r="N231" s="46" t="e">
        <f t="shared" si="11"/>
        <v>#DIV/0!</v>
      </c>
      <c r="O231" s="46" t="str">
        <f t="shared" si="12"/>
        <v/>
      </c>
      <c r="P231" s="46">
        <f t="shared" si="13"/>
        <v>1</v>
      </c>
      <c r="Q231" s="46"/>
      <c r="R231" s="45"/>
      <c r="S231" s="45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</row>
    <row r="232" spans="1:31" ht="14.25">
      <c r="A232" s="67" t="s">
        <v>565</v>
      </c>
      <c r="B232" s="68" t="s">
        <v>578</v>
      </c>
      <c r="C232" s="67" t="s">
        <v>439</v>
      </c>
      <c r="D232" s="75" t="n">
        <v>86.45</v>
      </c>
      <c r="E232" s="76" t="s">
        <v>0</v>
      </c>
      <c r="F232" s="57" t="str">
        <f>IFERROR(VLOOKUP(C232,$C$9:H231,4,FALSE),"")</f>
        <v/>
      </c>
      <c r="G232" s="61" t="s">
        <v>350</v>
      </c>
      <c r="H232" s="61" t="s">
        <v>404</v>
      </c>
      <c r="I232" s="61" t="s">
        <v>433</v>
      </c>
      <c r="J232" s="61" t="n">
        <v>86.45</v>
      </c>
      <c r="K232" s="61" t="s">
        <v>434</v>
      </c>
      <c r="L232" s="61" t="s">
        <v>435</v>
      </c>
      <c r="M232" s="42"/>
      <c r="N232" s="46" t="e">
        <f t="shared" si="11"/>
        <v>#DIV/0!</v>
      </c>
      <c r="O232" s="46" t="str">
        <f t="shared" si="12"/>
        <v/>
      </c>
      <c r="P232" s="46">
        <f t="shared" si="13"/>
        <v>1</v>
      </c>
      <c r="Q232" s="46"/>
      <c r="R232" s="45"/>
      <c r="S232" s="45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</row>
    <row r="233" spans="1:31" ht="14.25">
      <c r="A233" s="67" t="s">
        <v>565</v>
      </c>
      <c r="B233" s="68" t="s">
        <v>578</v>
      </c>
      <c r="C233" s="67" t="s">
        <v>441</v>
      </c>
      <c r="D233" s="75" t="n">
        <v>12.0</v>
      </c>
      <c r="E233" s="76" t="s">
        <v>0</v>
      </c>
      <c r="F233" s="57" t="str">
        <f>IFERROR(VLOOKUP(C233,$C$9:H232,4,FALSE),"")</f>
        <v/>
      </c>
      <c r="G233" s="61" t="str">
        <f>IFERROR(VLOOKUP(C233,$C$9:G232,5,FALSE),"")</f>
        <v/>
      </c>
      <c r="H233" s="61" t="str">
        <f>IFERROR(VLOOKUP(C233,$C$9:H232,6,FALSE),"")</f>
        <v/>
      </c>
      <c r="I233" s="61" t="s">
        <v>433</v>
      </c>
      <c r="J233" s="61" t="n">
        <v>12.0</v>
      </c>
      <c r="K233" s="61" t="s">
        <v>434</v>
      </c>
      <c r="L233" s="61" t="s">
        <v>435</v>
      </c>
      <c r="M233" s="42"/>
      <c r="N233" s="46" t="e">
        <f t="shared" si="11"/>
        <v>#DIV/0!</v>
      </c>
      <c r="O233" s="46" t="str">
        <f t="shared" si="12"/>
        <v/>
      </c>
      <c r="P233" s="46">
        <f t="shared" si="13"/>
        <v>1</v>
      </c>
      <c r="Q233" s="46"/>
      <c r="R233" s="45"/>
      <c r="S233" s="45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</row>
    <row r="234" spans="1:31" ht="14.25">
      <c r="A234" s="67" t="s">
        <v>580</v>
      </c>
      <c r="B234" s="68" t="s">
        <v>578</v>
      </c>
      <c r="C234" s="67" t="s">
        <v>581</v>
      </c>
      <c r="D234" s="75" t="n">
        <v>32.9</v>
      </c>
      <c r="E234" s="76" t="s">
        <v>0</v>
      </c>
      <c r="F234" s="57" t="str">
        <f>IFERROR(VLOOKUP(C234,$C$9:H233,4,FALSE),"")</f>
        <v/>
      </c>
      <c r="G234" s="61" t="s">
        <v>361</v>
      </c>
      <c r="H234" s="61" t="s">
        <v>331</v>
      </c>
      <c r="I234" s="61" t="s">
        <v>464</v>
      </c>
      <c r="J234" s="61" t="n">
        <v>32.9</v>
      </c>
      <c r="K234" s="61" t="s">
        <v>434</v>
      </c>
      <c r="L234" s="61" t="s">
        <v>435</v>
      </c>
      <c r="M234" s="42"/>
      <c r="N234" s="46" t="e">
        <f t="shared" si="11"/>
        <v>#DIV/0!</v>
      </c>
      <c r="O234" s="46" t="str">
        <f t="shared" si="12"/>
        <v/>
      </c>
      <c r="P234" s="46">
        <f t="shared" si="13"/>
        <v>1</v>
      </c>
      <c r="Q234" s="46"/>
      <c r="R234" s="45"/>
      <c r="S234" s="45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</row>
    <row r="235" spans="1:31" ht="14.25">
      <c r="A235" s="67" t="s">
        <v>567</v>
      </c>
      <c r="B235" s="68" t="s">
        <v>578</v>
      </c>
      <c r="C235" s="67" t="s">
        <v>452</v>
      </c>
      <c r="D235" s="75" t="n">
        <v>156.95</v>
      </c>
      <c r="E235" s="76" t="s">
        <v>0</v>
      </c>
      <c r="F235" s="57" t="str">
        <f>IFERROR(VLOOKUP(C235,$C$9:H234,4,FALSE),"")</f>
        <v/>
      </c>
      <c r="G235" s="61" t="s">
        <v>414</v>
      </c>
      <c r="H235" s="61" t="s">
        <v>414</v>
      </c>
      <c r="I235" s="61"/>
      <c r="J235" s="61" t="n">
        <v>0.0</v>
      </c>
      <c r="K235" s="61"/>
      <c r="L235" s="61" t="s">
        <v>445</v>
      </c>
      <c r="M235" s="42"/>
      <c r="N235" s="46" t="e">
        <f t="shared" si="11"/>
        <v>#DIV/0!</v>
      </c>
      <c r="O235" s="46" t="str">
        <f t="shared" si="12"/>
        <v/>
      </c>
      <c r="P235" s="46">
        <f t="shared" si="13"/>
        <v>1</v>
      </c>
      <c r="Q235" s="46"/>
      <c r="R235" s="45"/>
      <c r="S235" s="45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</row>
    <row r="236" spans="1:31" ht="14.25">
      <c r="A236" s="67" t="s">
        <v>565</v>
      </c>
      <c r="B236" s="68" t="s">
        <v>582</v>
      </c>
      <c r="C236" s="67" t="s">
        <v>470</v>
      </c>
      <c r="D236" s="75" t="n">
        <v>171.19</v>
      </c>
      <c r="E236" s="76" t="s">
        <v>0</v>
      </c>
      <c r="F236" s="57" t="str">
        <f>IFERROR(VLOOKUP(C236,$C$9:H235,4,FALSE),"")</f>
        <v/>
      </c>
      <c r="G236" s="61" t="str">
        <f>IFERROR(VLOOKUP(C236,$C$9:G235,5,FALSE),"")</f>
        <v/>
      </c>
      <c r="H236" s="61" t="str">
        <f>IFERROR(VLOOKUP(C236,$C$9:H235,6,FALSE),"")</f>
        <v/>
      </c>
      <c r="I236" s="61" t="s">
        <v>437</v>
      </c>
      <c r="J236" s="61" t="n">
        <v>171.19</v>
      </c>
      <c r="K236" s="61" t="s">
        <v>434</v>
      </c>
      <c r="L236" s="61" t="s">
        <v>435</v>
      </c>
      <c r="M236" s="42"/>
      <c r="N236" s="46" t="e">
        <f t="shared" si="11"/>
        <v>#DIV/0!</v>
      </c>
      <c r="O236" s="46" t="str">
        <f t="shared" si="12"/>
        <v/>
      </c>
      <c r="P236" s="46">
        <f t="shared" si="13"/>
        <v>1</v>
      </c>
      <c r="Q236" s="46"/>
      <c r="R236" s="45"/>
      <c r="S236" s="45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</row>
    <row r="237" spans="1:31" ht="14.25">
      <c r="A237" s="67" t="s">
        <v>565</v>
      </c>
      <c r="B237" s="68" t="s">
        <v>582</v>
      </c>
      <c r="C237" s="67" t="s">
        <v>583</v>
      </c>
      <c r="D237" s="75" t="n">
        <v>84.2</v>
      </c>
      <c r="E237" s="76" t="s">
        <v>0</v>
      </c>
      <c r="F237" s="57" t="str">
        <f>IFERROR(VLOOKUP(C237,$C$9:H236,4,FALSE),"")</f>
        <v/>
      </c>
      <c r="G237" s="61" t="s">
        <v>350</v>
      </c>
      <c r="H237" s="61" t="s">
        <v>404</v>
      </c>
      <c r="I237" s="61" t="s">
        <v>433</v>
      </c>
      <c r="J237" s="61" t="n">
        <v>86.8</v>
      </c>
      <c r="K237" s="61" t="s">
        <v>434</v>
      </c>
      <c r="L237" s="61" t="s">
        <v>435</v>
      </c>
      <c r="M237" s="42"/>
      <c r="N237" s="46" t="e">
        <f t="shared" si="11"/>
        <v>#DIV/0!</v>
      </c>
      <c r="O237" s="46" t="str">
        <f t="shared" si="12"/>
        <v/>
      </c>
      <c r="P237" s="46">
        <f t="shared" si="13"/>
        <v>1</v>
      </c>
      <c r="Q237" s="46"/>
      <c r="R237" s="45"/>
      <c r="S237" s="45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</row>
    <row r="238" spans="1:31" ht="14.25">
      <c r="A238" s="67" t="s">
        <v>565</v>
      </c>
      <c r="B238" s="78" t="s">
        <v>582</v>
      </c>
      <c r="C238" s="77" t="s">
        <v>439</v>
      </c>
      <c r="D238" s="75" t="n">
        <v>75.0</v>
      </c>
      <c r="E238" s="76" t="s">
        <v>0</v>
      </c>
      <c r="F238" s="57" t="str">
        <f>IFERROR(VLOOKUP(C238,$C$9:H237,4,FALSE),"")</f>
        <v/>
      </c>
      <c r="G238" s="61" t="s">
        <v>350</v>
      </c>
      <c r="H238" s="61" t="s">
        <v>404</v>
      </c>
      <c r="I238" s="61" t="s">
        <v>433</v>
      </c>
      <c r="J238" s="61" t="n">
        <v>75.0</v>
      </c>
      <c r="K238" s="61" t="s">
        <v>434</v>
      </c>
      <c r="L238" s="61" t="s">
        <v>435</v>
      </c>
      <c r="M238" s="42"/>
      <c r="N238" s="46" t="e">
        <f t="shared" si="11"/>
        <v>#DIV/0!</v>
      </c>
      <c r="O238" s="46" t="str">
        <f t="shared" si="12"/>
        <v/>
      </c>
      <c r="P238" s="46">
        <f t="shared" si="13"/>
        <v>1</v>
      </c>
      <c r="Q238" s="46"/>
      <c r="R238" s="45"/>
      <c r="S238" s="45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</row>
    <row r="239" spans="1:31" ht="14.25">
      <c r="A239" s="67" t="s">
        <v>567</v>
      </c>
      <c r="B239" s="71" t="s">
        <v>582</v>
      </c>
      <c r="C239" s="67" t="s">
        <v>452</v>
      </c>
      <c r="D239" s="75" t="n">
        <v>32.9</v>
      </c>
      <c r="E239" s="76" t="s">
        <v>0</v>
      </c>
      <c r="F239" s="57" t="str">
        <f>IFERROR(VLOOKUP(C239,$C$9:H238,4,FALSE),"")</f>
        <v/>
      </c>
      <c r="G239" s="61" t="s">
        <v>414</v>
      </c>
      <c r="H239" s="61" t="s">
        <v>414</v>
      </c>
      <c r="I239" s="61"/>
      <c r="J239" s="61" t="n">
        <v>0.0</v>
      </c>
      <c r="K239" s="61"/>
      <c r="L239" s="61" t="s">
        <v>445</v>
      </c>
      <c r="M239" s="42"/>
      <c r="N239" s="46" t="e">
        <f t="shared" si="11"/>
        <v>#DIV/0!</v>
      </c>
      <c r="O239" s="46" t="str">
        <f t="shared" si="12"/>
        <v/>
      </c>
      <c r="P239" s="46">
        <f t="shared" si="13"/>
        <v>1</v>
      </c>
      <c r="Q239" s="46"/>
      <c r="R239" s="45"/>
      <c r="S239" s="45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</row>
    <row r="240" spans="1:31" ht="14.25">
      <c r="A240" s="67" t="s">
        <v>565</v>
      </c>
      <c r="B240" s="68" t="s">
        <v>584</v>
      </c>
      <c r="C240" s="67" t="s">
        <v>585</v>
      </c>
      <c r="D240" s="75" t="n">
        <v>22.9</v>
      </c>
      <c r="E240" s="76" t="s">
        <v>0</v>
      </c>
      <c r="F240" s="57" t="str">
        <f>IFERROR(VLOOKUP(C240,$C$9:H239,4,FALSE),"")</f>
        <v/>
      </c>
      <c r="G240" s="61" t="s">
        <v>352</v>
      </c>
      <c r="H240" s="61" t="s">
        <v>293</v>
      </c>
      <c r="I240" s="61" t="s">
        <v>433</v>
      </c>
      <c r="J240" s="61" t="n">
        <v>22.9</v>
      </c>
      <c r="K240" s="61" t="s">
        <v>434</v>
      </c>
      <c r="L240" s="61" t="s">
        <v>435</v>
      </c>
      <c r="M240" s="42"/>
      <c r="N240" s="46" t="e">
        <f t="shared" si="11"/>
        <v>#DIV/0!</v>
      </c>
      <c r="O240" s="46" t="str">
        <f t="shared" si="12"/>
        <v/>
      </c>
      <c r="P240" s="46">
        <f t="shared" si="13"/>
        <v>1</v>
      </c>
      <c r="Q240" s="46"/>
      <c r="R240" s="45"/>
      <c r="S240" s="45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</row>
    <row r="241" spans="1:31" ht="14.25">
      <c r="A241" s="67" t="s">
        <v>565</v>
      </c>
      <c r="B241" s="68" t="s">
        <v>584</v>
      </c>
      <c r="C241" s="67" t="s">
        <v>573</v>
      </c>
      <c r="D241" s="75" t="n">
        <v>28.05</v>
      </c>
      <c r="E241" s="76" t="s">
        <v>0</v>
      </c>
      <c r="F241" s="57" t="str">
        <f>IFERROR(VLOOKUP(C241,$C$9:H240,4,FALSE),"")</f>
        <v/>
      </c>
      <c r="G241" s="61" t="str">
        <f>IFERROR(VLOOKUP(C241,$C$9:G240,5,FALSE),"")</f>
        <v/>
      </c>
      <c r="H241" s="61" t="str">
        <f>IFERROR(VLOOKUP(C241,$C$9:H240,6,FALSE),"")</f>
        <v/>
      </c>
      <c r="I241" s="61" t="s">
        <v>433</v>
      </c>
      <c r="J241" s="61" t="n">
        <v>28.05</v>
      </c>
      <c r="K241" s="61" t="s">
        <v>434</v>
      </c>
      <c r="L241" s="61" t="s">
        <v>435</v>
      </c>
      <c r="M241" s="42"/>
      <c r="N241" s="46" t="e">
        <f t="shared" si="11"/>
        <v>#DIV/0!</v>
      </c>
      <c r="O241" s="46" t="str">
        <f t="shared" si="12"/>
        <v/>
      </c>
      <c r="P241" s="46">
        <f t="shared" si="13"/>
        <v>1</v>
      </c>
      <c r="Q241" s="46"/>
      <c r="R241" s="45"/>
      <c r="S241" s="45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</row>
    <row r="242" spans="1:31" ht="14.25">
      <c r="A242" s="67" t="s">
        <v>565</v>
      </c>
      <c r="B242" s="68" t="s">
        <v>584</v>
      </c>
      <c r="C242" s="67" t="s">
        <v>439</v>
      </c>
      <c r="D242" s="75" t="n">
        <v>95.4</v>
      </c>
      <c r="E242" s="76" t="s">
        <v>0</v>
      </c>
      <c r="F242" s="57" t="str">
        <f>IFERROR(VLOOKUP(C242,$C$9:H241,4,FALSE),"")</f>
        <v/>
      </c>
      <c r="G242" s="61" t="s">
        <v>350</v>
      </c>
      <c r="H242" s="61" t="s">
        <v>404</v>
      </c>
      <c r="I242" s="61" t="s">
        <v>433</v>
      </c>
      <c r="J242" s="61" t="n">
        <v>95.4</v>
      </c>
      <c r="K242" s="61" t="s">
        <v>434</v>
      </c>
      <c r="L242" s="61" t="s">
        <v>435</v>
      </c>
      <c r="M242" s="42"/>
      <c r="N242" s="46" t="e">
        <f t="shared" si="11"/>
        <v>#DIV/0!</v>
      </c>
      <c r="O242" s="46" t="str">
        <f t="shared" si="12"/>
        <v/>
      </c>
      <c r="P242" s="46">
        <f t="shared" si="13"/>
        <v>1</v>
      </c>
      <c r="Q242" s="46"/>
      <c r="R242" s="45"/>
      <c r="S242" s="45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</row>
    <row r="243" spans="1:31" ht="14.25">
      <c r="A243" s="67" t="s">
        <v>565</v>
      </c>
      <c r="B243" s="68" t="s">
        <v>584</v>
      </c>
      <c r="C243" s="67" t="s">
        <v>586</v>
      </c>
      <c r="D243" s="75" t="n">
        <v>206.01</v>
      </c>
      <c r="E243" s="76" t="s">
        <v>0</v>
      </c>
      <c r="F243" s="57" t="str">
        <f>IFERROR(VLOOKUP(C243,$C$9:H242,4,FALSE),"")</f>
        <v/>
      </c>
      <c r="G243" s="61" t="s">
        <v>352</v>
      </c>
      <c r="H243" s="61" t="s">
        <v>17</v>
      </c>
      <c r="I243" s="61" t="s">
        <v>433</v>
      </c>
      <c r="J243" s="61" t="n">
        <v>206.01</v>
      </c>
      <c r="K243" s="61" t="s">
        <v>434</v>
      </c>
      <c r="L243" s="61" t="s">
        <v>435</v>
      </c>
      <c r="M243" s="42"/>
      <c r="N243" s="46" t="e">
        <f t="shared" si="11"/>
        <v>#DIV/0!</v>
      </c>
      <c r="O243" s="46" t="str">
        <f t="shared" si="12"/>
        <v/>
      </c>
      <c r="P243" s="46">
        <f t="shared" si="13"/>
        <v>1</v>
      </c>
      <c r="Q243" s="46"/>
      <c r="R243" s="45"/>
      <c r="S243" s="45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</row>
    <row r="244" spans="1:31" ht="14.25">
      <c r="A244" s="67" t="s">
        <v>565</v>
      </c>
      <c r="B244" s="68" t="s">
        <v>587</v>
      </c>
      <c r="C244" s="67" t="s">
        <v>525</v>
      </c>
      <c r="D244" s="75" t="n">
        <v>17.8</v>
      </c>
      <c r="E244" s="76" t="s">
        <v>0</v>
      </c>
      <c r="F244" s="57" t="str">
        <f>IFERROR(VLOOKUP(C244,$C$9:H243,4,FALSE),"")</f>
        <v/>
      </c>
      <c r="G244" s="61" t="s">
        <v>352</v>
      </c>
      <c r="H244" s="61" t="s">
        <v>293</v>
      </c>
      <c r="I244" s="61" t="s">
        <v>433</v>
      </c>
      <c r="J244" s="61" t="n">
        <v>17.8</v>
      </c>
      <c r="K244" s="61" t="s">
        <v>434</v>
      </c>
      <c r="L244" s="61" t="s">
        <v>435</v>
      </c>
      <c r="M244" s="42"/>
      <c r="N244" s="46" t="e">
        <f t="shared" si="11"/>
        <v>#DIV/0!</v>
      </c>
      <c r="O244" s="46" t="str">
        <f t="shared" si="12"/>
        <v/>
      </c>
      <c r="P244" s="46">
        <f t="shared" si="13"/>
        <v>1</v>
      </c>
      <c r="Q244" s="46"/>
      <c r="R244" s="45"/>
      <c r="S244" s="45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</row>
    <row r="245" spans="1:31" ht="14.25">
      <c r="A245" s="67" t="s">
        <v>565</v>
      </c>
      <c r="B245" s="71" t="s">
        <v>587</v>
      </c>
      <c r="C245" s="67" t="s">
        <v>458</v>
      </c>
      <c r="D245" s="75" t="n">
        <v>5.0</v>
      </c>
      <c r="E245" s="76" t="s">
        <v>0</v>
      </c>
      <c r="F245" s="57" t="str">
        <f>IFERROR(VLOOKUP(C245,$C$9:H244,4,FALSE),"")</f>
        <v/>
      </c>
      <c r="G245" s="61" t="s">
        <v>350</v>
      </c>
      <c r="H245" s="61" t="s">
        <v>404</v>
      </c>
      <c r="I245" s="61" t="s">
        <v>433</v>
      </c>
      <c r="J245" s="61" t="n">
        <v>5.0</v>
      </c>
      <c r="K245" s="61" t="s">
        <v>434</v>
      </c>
      <c r="L245" s="61" t="s">
        <v>435</v>
      </c>
      <c r="M245" s="42"/>
      <c r="N245" s="46" t="e">
        <f t="shared" si="11"/>
        <v>#DIV/0!</v>
      </c>
      <c r="O245" s="46" t="str">
        <f t="shared" si="12"/>
        <v/>
      </c>
      <c r="P245" s="46">
        <f t="shared" si="13"/>
        <v>1</v>
      </c>
      <c r="Q245" s="46"/>
      <c r="R245" s="45"/>
      <c r="S245" s="45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</row>
    <row r="246" spans="1:31" ht="14.25">
      <c r="A246" s="67" t="s">
        <v>565</v>
      </c>
      <c r="B246" s="68" t="s">
        <v>587</v>
      </c>
      <c r="C246" s="67" t="s">
        <v>441</v>
      </c>
      <c r="D246" s="75" t="n">
        <v>15.0</v>
      </c>
      <c r="E246" s="76" t="s">
        <v>0</v>
      </c>
      <c r="F246" s="57" t="str">
        <f>IFERROR(VLOOKUP(C246,$C$9:H245,4,FALSE),"")</f>
        <v/>
      </c>
      <c r="G246" s="61" t="str">
        <f>IFERROR(VLOOKUP(C246,$C$9:G245,5,FALSE),"")</f>
        <v/>
      </c>
      <c r="H246" s="61" t="str">
        <f>IFERROR(VLOOKUP(C246,$C$9:H245,6,FALSE),"")</f>
        <v/>
      </c>
      <c r="I246" s="61" t="s">
        <v>433</v>
      </c>
      <c r="J246" s="61" t="n">
        <v>15.0</v>
      </c>
      <c r="K246" s="61" t="s">
        <v>434</v>
      </c>
      <c r="L246" s="61" t="s">
        <v>435</v>
      </c>
      <c r="M246" s="42"/>
      <c r="N246" s="46" t="e">
        <f t="shared" si="11"/>
        <v>#DIV/0!</v>
      </c>
      <c r="O246" s="46" t="str">
        <f t="shared" si="12"/>
        <v/>
      </c>
      <c r="P246" s="46">
        <f t="shared" si="13"/>
        <v>1</v>
      </c>
      <c r="Q246" s="46"/>
      <c r="R246" s="45"/>
      <c r="S246" s="45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</row>
    <row r="247" spans="1:31" ht="14.25">
      <c r="A247" s="67" t="s">
        <v>565</v>
      </c>
      <c r="B247" s="68" t="s">
        <v>587</v>
      </c>
      <c r="C247" s="67" t="s">
        <v>441</v>
      </c>
      <c r="D247" s="75" t="n">
        <v>18.0</v>
      </c>
      <c r="E247" s="76" t="s">
        <v>0</v>
      </c>
      <c r="F247" s="57" t="str">
        <f>IFERROR(VLOOKUP(C247,$C$9:H246,4,FALSE),"")</f>
        <v/>
      </c>
      <c r="G247" s="61" t="str">
        <f>IFERROR(VLOOKUP(C247,$C$9:G246,5,FALSE),"")</f>
        <v/>
      </c>
      <c r="H247" s="61" t="str">
        <f>IFERROR(VLOOKUP(C247,$C$9:H246,6,FALSE),"")</f>
        <v/>
      </c>
      <c r="I247" s="61" t="s">
        <v>433</v>
      </c>
      <c r="J247" s="61" t="n">
        <v>18.0</v>
      </c>
      <c r="K247" s="61" t="s">
        <v>434</v>
      </c>
      <c r="L247" s="61" t="s">
        <v>435</v>
      </c>
      <c r="M247" s="42"/>
      <c r="N247" s="46" t="e">
        <f t="shared" si="11"/>
        <v>#DIV/0!</v>
      </c>
      <c r="O247" s="46" t="str">
        <f t="shared" si="12"/>
        <v/>
      </c>
      <c r="P247" s="46">
        <f t="shared" si="13"/>
        <v>1</v>
      </c>
      <c r="Q247" s="46"/>
      <c r="R247" s="45"/>
      <c r="S247" s="45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</row>
    <row r="248" spans="1:31" ht="14.25">
      <c r="A248" s="67" t="s">
        <v>565</v>
      </c>
      <c r="B248" s="68" t="s">
        <v>587</v>
      </c>
      <c r="C248" s="67" t="s">
        <v>441</v>
      </c>
      <c r="D248" s="75" t="n">
        <v>34.0</v>
      </c>
      <c r="E248" s="76" t="s">
        <v>0</v>
      </c>
      <c r="F248" s="57" t="str">
        <f>IFERROR(VLOOKUP(C248,$C$9:H247,4,FALSE),"")</f>
        <v/>
      </c>
      <c r="G248" s="61" t="str">
        <f>IFERROR(VLOOKUP(C248,$C$9:G247,5,FALSE),"")</f>
        <v/>
      </c>
      <c r="H248" s="61" t="str">
        <f>IFERROR(VLOOKUP(C248,$C$9:H247,6,FALSE),"")</f>
        <v/>
      </c>
      <c r="I248" s="61" t="s">
        <v>433</v>
      </c>
      <c r="J248" s="61" t="n">
        <v>34.0</v>
      </c>
      <c r="K248" s="61" t="s">
        <v>434</v>
      </c>
      <c r="L248" s="61" t="s">
        <v>435</v>
      </c>
      <c r="M248" s="42"/>
      <c r="N248" s="46" t="e">
        <f t="shared" si="11"/>
        <v>#DIV/0!</v>
      </c>
      <c r="O248" s="46" t="str">
        <f t="shared" si="12"/>
        <v/>
      </c>
      <c r="P248" s="46">
        <f t="shared" si="13"/>
        <v>1</v>
      </c>
      <c r="Q248" s="46"/>
      <c r="R248" s="45"/>
      <c r="S248" s="45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</row>
    <row r="249" spans="1:31" ht="14.25">
      <c r="A249" s="67" t="s">
        <v>580</v>
      </c>
      <c r="B249" s="78" t="s">
        <v>587</v>
      </c>
      <c r="C249" s="77" t="s">
        <v>477</v>
      </c>
      <c r="D249" s="75" t="n">
        <v>49.9</v>
      </c>
      <c r="E249" s="76" t="s">
        <v>0</v>
      </c>
      <c r="F249" s="57" t="str">
        <f>IFERROR(VLOOKUP(C249,$C$9:H248,4,FALSE),"")</f>
        <v/>
      </c>
      <c r="G249" s="61" t="str">
        <f>IFERROR(VLOOKUP(C249,$C$9:G248,5,FALSE),"")</f>
        <v/>
      </c>
      <c r="H249" s="61" t="str">
        <f>IFERROR(VLOOKUP(C249,$C$9:H248,6,FALSE),"")</f>
        <v/>
      </c>
      <c r="I249" s="61" t="s">
        <v>464</v>
      </c>
      <c r="J249" s="61" t="n">
        <v>49.9</v>
      </c>
      <c r="K249" s="61" t="s">
        <v>434</v>
      </c>
      <c r="L249" s="61" t="s">
        <v>435</v>
      </c>
      <c r="M249" s="42"/>
      <c r="N249" s="46" t="e">
        <f t="shared" si="11"/>
        <v>#DIV/0!</v>
      </c>
      <c r="O249" s="46" t="str">
        <f t="shared" si="12"/>
        <v/>
      </c>
      <c r="P249" s="46">
        <f t="shared" si="13"/>
        <v>1</v>
      </c>
      <c r="Q249" s="46"/>
      <c r="R249" s="45"/>
      <c r="S249" s="45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</row>
    <row r="250" spans="1:31" ht="14.25">
      <c r="A250" s="67" t="s">
        <v>478</v>
      </c>
      <c r="B250" s="78" t="s">
        <v>587</v>
      </c>
      <c r="C250" s="77" t="s">
        <v>477</v>
      </c>
      <c r="D250" s="75" t="n">
        <v>-49.9</v>
      </c>
      <c r="E250" s="76" t="s">
        <v>0</v>
      </c>
      <c r="F250" s="57" t="str">
        <f>IFERROR(VLOOKUP(C250,$C$9:H249,4,FALSE),"")</f>
        <v/>
      </c>
      <c r="G250" s="61" t="str">
        <f>IFERROR(VLOOKUP(C250,$C$9:G249,5,FALSE),"")</f>
        <v/>
      </c>
      <c r="H250" s="61" t="str">
        <f>IFERROR(VLOOKUP(C250,$C$9:H249,6,FALSE),"")</f>
        <v/>
      </c>
      <c r="I250" s="61" t="s">
        <v>479</v>
      </c>
      <c r="J250" s="61" t="n">
        <v>49.9</v>
      </c>
      <c r="K250" s="61" t="s">
        <v>434</v>
      </c>
      <c r="L250" s="61" t="s">
        <v>435</v>
      </c>
      <c r="M250" s="42"/>
      <c r="N250" s="46" t="e">
        <f t="shared" si="11"/>
        <v>#DIV/0!</v>
      </c>
      <c r="O250" s="46" t="str">
        <f t="shared" si="12"/>
        <v/>
      </c>
      <c r="P250" s="46">
        <f t="shared" si="13"/>
        <v>1</v>
      </c>
      <c r="Q250" s="46"/>
      <c r="R250" s="45"/>
      <c r="S250" s="45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</row>
    <row r="251" spans="1:31" ht="14.25">
      <c r="A251" s="67" t="s">
        <v>565</v>
      </c>
      <c r="B251" s="78" t="s">
        <v>588</v>
      </c>
      <c r="C251" s="77" t="s">
        <v>589</v>
      </c>
      <c r="D251" s="75" t="n">
        <v>16.9</v>
      </c>
      <c r="E251" s="76" t="s">
        <v>0</v>
      </c>
      <c r="F251" s="57" t="str">
        <f>IFERROR(VLOOKUP(C251,$C$9:H250,4,FALSE),"")</f>
        <v/>
      </c>
      <c r="G251" s="61" t="s">
        <v>350</v>
      </c>
      <c r="H251" s="61" t="s">
        <v>404</v>
      </c>
      <c r="I251" s="61" t="s">
        <v>433</v>
      </c>
      <c r="J251" s="61" t="n">
        <v>16.9</v>
      </c>
      <c r="K251" s="61" t="s">
        <v>434</v>
      </c>
      <c r="L251" s="61" t="s">
        <v>435</v>
      </c>
      <c r="M251" s="42"/>
      <c r="N251" s="46" t="e">
        <f t="shared" si="11"/>
        <v>#DIV/0!</v>
      </c>
      <c r="O251" s="46" t="str">
        <f t="shared" si="12"/>
        <v/>
      </c>
      <c r="P251" s="46">
        <f t="shared" si="13"/>
        <v>1</v>
      </c>
      <c r="Q251" s="46"/>
      <c r="R251" s="45"/>
      <c r="S251" s="45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</row>
    <row r="252" spans="1:31" ht="14.25">
      <c r="A252" s="67" t="s">
        <v>565</v>
      </c>
      <c r="B252" s="68" t="s">
        <v>588</v>
      </c>
      <c r="C252" s="67" t="s">
        <v>475</v>
      </c>
      <c r="D252" s="75" t="n">
        <v>8.9</v>
      </c>
      <c r="E252" s="76" t="s">
        <v>0</v>
      </c>
      <c r="F252" s="57" t="str">
        <f>IFERROR(VLOOKUP(C252,$C$9:H251,4,FALSE),"")</f>
        <v/>
      </c>
      <c r="G252" s="61" t="str">
        <f>IFERROR(VLOOKUP(C252,$C$9:G251,5,FALSE),"")</f>
        <v/>
      </c>
      <c r="H252" s="61" t="str">
        <f>IFERROR(VLOOKUP(C252,$C$9:H251,6,FALSE),"")</f>
        <v/>
      </c>
      <c r="I252" s="61" t="s">
        <v>433</v>
      </c>
      <c r="J252" s="61" t="n">
        <v>8.9</v>
      </c>
      <c r="K252" s="61" t="s">
        <v>434</v>
      </c>
      <c r="L252" s="61" t="s">
        <v>435</v>
      </c>
      <c r="M252" s="42"/>
      <c r="N252" s="46" t="e">
        <f t="shared" si="11"/>
        <v>#DIV/0!</v>
      </c>
      <c r="O252" s="46" t="str">
        <f t="shared" si="12"/>
        <v/>
      </c>
      <c r="P252" s="46">
        <f t="shared" si="13"/>
        <v>1</v>
      </c>
      <c r="Q252" s="46"/>
      <c r="R252" s="45"/>
      <c r="S252" s="45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</row>
    <row r="253" spans="1:31" ht="14.25">
      <c r="A253" s="67" t="s">
        <v>565</v>
      </c>
      <c r="B253" s="68" t="s">
        <v>588</v>
      </c>
      <c r="C253" s="67" t="s">
        <v>439</v>
      </c>
      <c r="D253" s="75" t="n">
        <v>65.1</v>
      </c>
      <c r="E253" s="76" t="s">
        <v>0</v>
      </c>
      <c r="F253" s="57" t="str">
        <f>IFERROR(VLOOKUP(C253,$C$9:H252,4,FALSE),"")</f>
        <v/>
      </c>
      <c r="G253" s="61" t="s">
        <v>350</v>
      </c>
      <c r="H253" s="61" t="s">
        <v>404</v>
      </c>
      <c r="I253" s="61" t="s">
        <v>433</v>
      </c>
      <c r="J253" s="61" t="n">
        <v>65.1</v>
      </c>
      <c r="K253" s="61" t="s">
        <v>434</v>
      </c>
      <c r="L253" s="61" t="s">
        <v>435</v>
      </c>
      <c r="M253" s="42"/>
      <c r="N253" s="46" t="e">
        <f t="shared" si="11"/>
        <v>#DIV/0!</v>
      </c>
      <c r="O253" s="46" t="str">
        <f t="shared" si="12"/>
        <v/>
      </c>
      <c r="P253" s="46">
        <f t="shared" si="13"/>
        <v>1</v>
      </c>
      <c r="Q253" s="46"/>
      <c r="R253" s="45"/>
      <c r="S253" s="45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</row>
    <row r="254" spans="1:31" ht="14.25">
      <c r="A254" s="67" t="s">
        <v>576</v>
      </c>
      <c r="B254" s="78" t="s">
        <v>588</v>
      </c>
      <c r="C254" s="77" t="s">
        <v>503</v>
      </c>
      <c r="D254" s="75" t="n">
        <v>107.9</v>
      </c>
      <c r="E254" s="76" t="s">
        <v>0</v>
      </c>
      <c r="F254" s="57" t="str">
        <f>IFERROR(VLOOKUP(C254,$C$9:H253,4,FALSE),"")</f>
        <v/>
      </c>
      <c r="G254" s="61" t="str">
        <f>IFERROR(VLOOKUP(C254,$C$9:G253,5,FALSE),"")</f>
        <v/>
      </c>
      <c r="H254" s="61" t="str">
        <f>IFERROR(VLOOKUP(C254,$C$9:H253,6,FALSE),"")</f>
        <v/>
      </c>
      <c r="I254" s="61" t="s">
        <v>433</v>
      </c>
      <c r="J254" s="61" t="n">
        <v>107.9</v>
      </c>
      <c r="K254" s="61" t="s">
        <v>434</v>
      </c>
      <c r="L254" s="61" t="s">
        <v>435</v>
      </c>
      <c r="M254" s="42"/>
      <c r="N254" s="46" t="e">
        <f t="shared" si="11"/>
        <v>#DIV/0!</v>
      </c>
      <c r="O254" s="46" t="str">
        <f t="shared" si="12"/>
        <v/>
      </c>
      <c r="P254" s="46">
        <f t="shared" si="13"/>
        <v>1</v>
      </c>
      <c r="Q254" s="46"/>
      <c r="R254" s="45"/>
      <c r="S254" s="45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</row>
    <row r="255" spans="1:31" ht="14.25">
      <c r="A255" s="67" t="s">
        <v>567</v>
      </c>
      <c r="B255" s="68" t="s">
        <v>588</v>
      </c>
      <c r="C255" s="67" t="s">
        <v>590</v>
      </c>
      <c r="D255" s="75" t="n">
        <v>400.0</v>
      </c>
      <c r="E255" s="76" t="s">
        <v>1</v>
      </c>
      <c r="F255" s="57" t="str">
        <f>IFERROR(VLOOKUP(C255,$C$9:H254,4,FALSE),"")</f>
        <v/>
      </c>
      <c r="G255" s="61" t="str">
        <f>IFERROR(VLOOKUP(C255,$C$9:G254,5,FALSE),"")</f>
        <v/>
      </c>
      <c r="H255" s="61" t="str">
        <f>IFERROR(VLOOKUP(C255,$C$9:H254,6,FALSE),"")</f>
        <v/>
      </c>
      <c r="I255" s="61" t="s">
        <v>591</v>
      </c>
      <c r="J255" s="61" t="n">
        <v>0.0</v>
      </c>
      <c r="K255" s="61"/>
      <c r="L255" s="61" t="s">
        <v>445</v>
      </c>
      <c r="M255" s="42"/>
      <c r="N255" s="46" t="e">
        <f t="shared" si="11"/>
        <v>#DIV/0!</v>
      </c>
      <c r="O255" s="46" t="str">
        <f t="shared" si="12"/>
        <v/>
      </c>
      <c r="P255" s="46">
        <f t="shared" si="13"/>
        <v>1</v>
      </c>
      <c r="Q255" s="46"/>
      <c r="R255" s="45"/>
      <c r="S255" s="45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</row>
    <row r="256" spans="1:31" ht="14.25">
      <c r="A256" s="67" t="s">
        <v>565</v>
      </c>
      <c r="B256" s="68" t="s">
        <v>592</v>
      </c>
      <c r="C256" s="67" t="s">
        <v>543</v>
      </c>
      <c r="D256" s="75" t="n">
        <v>150.0</v>
      </c>
      <c r="E256" s="76" t="s">
        <v>0</v>
      </c>
      <c r="F256" s="57" t="str">
        <f>IFERROR(VLOOKUP(C256,$C$9:H255,4,FALSE),"")</f>
        <v/>
      </c>
      <c r="G256" s="61" t="str">
        <f>IFERROR(VLOOKUP(C256,$C$9:G255,5,FALSE),"")</f>
        <v/>
      </c>
      <c r="H256" s="61" t="str">
        <f>IFERROR(VLOOKUP(C256,$C$9:H255,6,FALSE),"")</f>
        <v/>
      </c>
      <c r="I256" s="61" t="s">
        <v>433</v>
      </c>
      <c r="J256" s="61" t="n">
        <v>150.0</v>
      </c>
      <c r="K256" s="61" t="s">
        <v>434</v>
      </c>
      <c r="L256" s="61" t="s">
        <v>435</v>
      </c>
      <c r="M256" s="42"/>
      <c r="N256" s="46" t="e">
        <f t="shared" si="11"/>
        <v>#DIV/0!</v>
      </c>
      <c r="O256" s="46" t="str">
        <f t="shared" si="12"/>
        <v/>
      </c>
      <c r="P256" s="46">
        <f t="shared" si="13"/>
        <v>1</v>
      </c>
      <c r="Q256" s="46"/>
      <c r="R256" s="45"/>
      <c r="S256" s="45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</row>
    <row r="257" spans="1:31" ht="14.25">
      <c r="A257" s="67" t="s">
        <v>565</v>
      </c>
      <c r="B257" s="68" t="s">
        <v>592</v>
      </c>
      <c r="C257" s="67" t="s">
        <v>442</v>
      </c>
      <c r="D257" s="75" t="n">
        <v>150.0</v>
      </c>
      <c r="E257" s="76" t="s">
        <v>0</v>
      </c>
      <c r="F257" s="57" t="str">
        <f>IFERROR(VLOOKUP(C257,$C$9:H256,4,FALSE),"")</f>
        <v/>
      </c>
      <c r="G257" s="61" t="str">
        <f>IFERROR(VLOOKUP(C257,$C$9:G256,5,FALSE),"")</f>
        <v/>
      </c>
      <c r="H257" s="61" t="str">
        <f>IFERROR(VLOOKUP(C257,$C$9:H256,6,FALSE),"")</f>
        <v/>
      </c>
      <c r="I257" s="61" t="s">
        <v>433</v>
      </c>
      <c r="J257" s="61" t="n">
        <v>150.0</v>
      </c>
      <c r="K257" s="61" t="s">
        <v>434</v>
      </c>
      <c r="L257" s="61" t="s">
        <v>435</v>
      </c>
      <c r="M257" s="42"/>
      <c r="N257" s="46" t="e">
        <f t="shared" si="11"/>
        <v>#DIV/0!</v>
      </c>
      <c r="O257" s="46" t="str">
        <f t="shared" si="12"/>
        <v/>
      </c>
      <c r="P257" s="46">
        <f t="shared" si="13"/>
        <v>1</v>
      </c>
      <c r="Q257" s="46"/>
      <c r="R257" s="45"/>
      <c r="S257" s="45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</row>
    <row r="258" spans="1:31" ht="14.25">
      <c r="A258" s="67" t="s">
        <v>565</v>
      </c>
      <c r="B258" s="68" t="s">
        <v>592</v>
      </c>
      <c r="C258" s="67" t="s">
        <v>439</v>
      </c>
      <c r="D258" s="75" t="n">
        <v>147.9</v>
      </c>
      <c r="E258" s="76" t="s">
        <v>0</v>
      </c>
      <c r="F258" s="57" t="str">
        <f>IFERROR(VLOOKUP(C258,$C$9:H257,4,FALSE),"")</f>
        <v/>
      </c>
      <c r="G258" s="61" t="s">
        <v>350</v>
      </c>
      <c r="H258" s="61" t="s">
        <v>404</v>
      </c>
      <c r="I258" s="61" t="s">
        <v>433</v>
      </c>
      <c r="J258" s="61" t="n">
        <v>147.9</v>
      </c>
      <c r="K258" s="61" t="s">
        <v>434</v>
      </c>
      <c r="L258" s="61" t="s">
        <v>435</v>
      </c>
      <c r="M258" s="42"/>
      <c r="N258" s="46" t="e">
        <f t="shared" si="11"/>
        <v>#DIV/0!</v>
      </c>
      <c r="O258" s="46" t="str">
        <f t="shared" si="12"/>
        <v/>
      </c>
      <c r="P258" s="46">
        <f t="shared" si="13"/>
        <v>1</v>
      </c>
      <c r="Q258" s="46"/>
      <c r="R258" s="45"/>
      <c r="S258" s="45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</row>
    <row r="259" spans="1:31" ht="14.25">
      <c r="A259" s="67" t="s">
        <v>565</v>
      </c>
      <c r="B259" s="78" t="s">
        <v>592</v>
      </c>
      <c r="C259" s="77" t="s">
        <v>439</v>
      </c>
      <c r="D259" s="75" t="n">
        <v>138.08</v>
      </c>
      <c r="E259" s="76" t="s">
        <v>0</v>
      </c>
      <c r="F259" s="57" t="str">
        <f>IFERROR(VLOOKUP(C259,$C$9:H258,4,FALSE),"")</f>
        <v/>
      </c>
      <c r="G259" s="61" t="s">
        <v>350</v>
      </c>
      <c r="H259" s="61" t="s">
        <v>404</v>
      </c>
      <c r="I259" s="61" t="s">
        <v>433</v>
      </c>
      <c r="J259" s="61" t="n">
        <v>138.08</v>
      </c>
      <c r="K259" s="61" t="s">
        <v>434</v>
      </c>
      <c r="L259" s="61" t="s">
        <v>435</v>
      </c>
      <c r="M259" s="42"/>
      <c r="N259" s="46" t="e">
        <f t="shared" si="11"/>
        <v>#DIV/0!</v>
      </c>
      <c r="O259" s="46" t="str">
        <f t="shared" si="12"/>
        <v/>
      </c>
      <c r="P259" s="46">
        <f t="shared" si="13"/>
        <v>1</v>
      </c>
      <c r="Q259" s="46"/>
      <c r="R259" s="45"/>
      <c r="S259" s="45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</row>
    <row r="260" spans="1:31" ht="14.25">
      <c r="A260" s="67" t="s">
        <v>567</v>
      </c>
      <c r="B260" s="68" t="s">
        <v>592</v>
      </c>
      <c r="C260" s="67" t="s">
        <v>452</v>
      </c>
      <c r="D260" s="75" t="n">
        <v>107.9</v>
      </c>
      <c r="E260" s="76" t="s">
        <v>0</v>
      </c>
      <c r="F260" s="57" t="str">
        <f>IFERROR(VLOOKUP(C260,$C$9:H259,4,FALSE),"")</f>
        <v/>
      </c>
      <c r="G260" s="61" t="s">
        <v>414</v>
      </c>
      <c r="H260" s="61" t="s">
        <v>414</v>
      </c>
      <c r="I260" s="61"/>
      <c r="J260" s="61" t="n">
        <v>0.0</v>
      </c>
      <c r="K260" s="61"/>
      <c r="L260" s="61" t="s">
        <v>445</v>
      </c>
      <c r="M260" s="42"/>
      <c r="N260" s="46" t="e">
        <f t="shared" si="11"/>
        <v>#DIV/0!</v>
      </c>
      <c r="O260" s="46" t="str">
        <f t="shared" si="12"/>
        <v/>
      </c>
      <c r="P260" s="46">
        <f t="shared" si="13"/>
        <v>1</v>
      </c>
      <c r="Q260" s="46"/>
      <c r="R260" s="45"/>
      <c r="S260" s="45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</row>
    <row r="261" spans="1:31" ht="14.25">
      <c r="A261" s="67" t="s">
        <v>565</v>
      </c>
      <c r="B261" s="68" t="s">
        <v>593</v>
      </c>
      <c r="C261" s="67" t="s">
        <v>481</v>
      </c>
      <c r="D261" s="75" t="n">
        <v>39.9</v>
      </c>
      <c r="E261" s="76" t="s">
        <v>0</v>
      </c>
      <c r="F261" s="57" t="str">
        <f>IFERROR(VLOOKUP(C261,$C$9:H260,4,FALSE),"")</f>
        <v/>
      </c>
      <c r="G261" s="61" t="str">
        <f>IFERROR(VLOOKUP(C261,$C$9:G260,5,FALSE),"")</f>
        <v/>
      </c>
      <c r="H261" s="61" t="str">
        <f>IFERROR(VLOOKUP(C261,$C$9:H260,6,FALSE),"")</f>
        <v/>
      </c>
      <c r="I261" s="61" t="s">
        <v>437</v>
      </c>
      <c r="J261" s="61" t="n">
        <v>39.9</v>
      </c>
      <c r="K261" s="61" t="s">
        <v>434</v>
      </c>
      <c r="L261" s="61" t="s">
        <v>435</v>
      </c>
      <c r="M261" s="42"/>
      <c r="N261" s="46" t="e">
        <f t="shared" si="11"/>
        <v>#DIV/0!</v>
      </c>
      <c r="O261" s="46" t="str">
        <f t="shared" si="12"/>
        <v/>
      </c>
      <c r="P261" s="46">
        <f t="shared" si="13"/>
        <v>1</v>
      </c>
      <c r="Q261" s="46"/>
      <c r="R261" s="45"/>
      <c r="S261" s="45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</row>
    <row r="262" spans="1:31" ht="14.25">
      <c r="A262" s="67" t="s">
        <v>565</v>
      </c>
      <c r="B262" s="68" t="s">
        <v>593</v>
      </c>
      <c r="C262" s="67" t="s">
        <v>594</v>
      </c>
      <c r="D262" s="75" t="n">
        <v>69.62</v>
      </c>
      <c r="E262" s="76" t="s">
        <v>0</v>
      </c>
      <c r="F262" s="57" t="str">
        <f>IFERROR(VLOOKUP(C262,$C$9:H261,4,FALSE),"")</f>
        <v/>
      </c>
      <c r="G262" s="61" t="str">
        <f>IFERROR(VLOOKUP(C262,$C$9:G261,5,FALSE),"")</f>
        <v/>
      </c>
      <c r="H262" s="61" t="str">
        <f>IFERROR(VLOOKUP(C262,$C$9:H261,6,FALSE),"")</f>
        <v/>
      </c>
      <c r="I262" s="61" t="s">
        <v>437</v>
      </c>
      <c r="J262" s="61" t="n">
        <v>69.62</v>
      </c>
      <c r="K262" s="61" t="s">
        <v>434</v>
      </c>
      <c r="L262" s="61" t="s">
        <v>435</v>
      </c>
      <c r="M262" s="42"/>
      <c r="N262" s="46" t="e">
        <f t="shared" si="11"/>
        <v>#DIV/0!</v>
      </c>
      <c r="O262" s="46" t="str">
        <f t="shared" si="12"/>
        <v/>
      </c>
      <c r="P262" s="46">
        <f t="shared" si="13"/>
        <v>1</v>
      </c>
      <c r="Q262" s="46"/>
      <c r="R262" s="45"/>
      <c r="S262" s="45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</row>
    <row r="263" spans="1:31" ht="14.25">
      <c r="A263" s="67" t="s">
        <v>565</v>
      </c>
      <c r="B263" s="78" t="s">
        <v>593</v>
      </c>
      <c r="C263" s="77" t="s">
        <v>595</v>
      </c>
      <c r="D263" s="75" t="n">
        <v>29.8</v>
      </c>
      <c r="E263" s="76" t="s">
        <v>0</v>
      </c>
      <c r="F263" s="57" t="str">
        <f>IFERROR(VLOOKUP(C263,$C$9:H262,4,FALSE),"")</f>
        <v/>
      </c>
      <c r="G263" s="61" t="s">
        <v>352</v>
      </c>
      <c r="H263" s="61" t="s">
        <v>293</v>
      </c>
      <c r="I263" s="61" t="s">
        <v>433</v>
      </c>
      <c r="J263" s="61" t="n">
        <v>29.8</v>
      </c>
      <c r="K263" s="61" t="s">
        <v>434</v>
      </c>
      <c r="L263" s="61" t="s">
        <v>435</v>
      </c>
      <c r="M263" s="42"/>
      <c r="N263" s="46" t="e">
        <f t="shared" si="11"/>
        <v>#DIV/0!</v>
      </c>
      <c r="O263" s="46" t="str">
        <f t="shared" si="12"/>
        <v/>
      </c>
      <c r="P263" s="46">
        <f t="shared" si="13"/>
        <v>1</v>
      </c>
      <c r="Q263" s="46"/>
      <c r="R263" s="45"/>
      <c r="S263" s="45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</row>
    <row r="264" spans="1:31" ht="14.25">
      <c r="A264" s="67" t="s">
        <v>565</v>
      </c>
      <c r="B264" s="68" t="s">
        <v>593</v>
      </c>
      <c r="C264" s="67" t="s">
        <v>596</v>
      </c>
      <c r="D264" s="75" t="n">
        <v>110.0</v>
      </c>
      <c r="E264" s="76" t="s">
        <v>0</v>
      </c>
      <c r="F264" s="57" t="str">
        <f>IFERROR(VLOOKUP(C264,$C$9:H263,4,FALSE),"")</f>
        <v/>
      </c>
      <c r="G264" s="61" t="s">
        <v>352</v>
      </c>
      <c r="H264" s="61" t="s">
        <v>293</v>
      </c>
      <c r="I264" s="61" t="s">
        <v>433</v>
      </c>
      <c r="J264" s="61" t="n">
        <v>110.0</v>
      </c>
      <c r="K264" s="61" t="s">
        <v>434</v>
      </c>
      <c r="L264" s="61" t="s">
        <v>435</v>
      </c>
      <c r="M264" s="42"/>
      <c r="N264" s="46" t="e">
        <f t="shared" si="11"/>
        <v>#DIV/0!</v>
      </c>
      <c r="O264" s="46" t="str">
        <f t="shared" si="12"/>
        <v/>
      </c>
      <c r="P264" s="46">
        <f t="shared" si="13"/>
        <v>1</v>
      </c>
      <c r="Q264" s="46"/>
      <c r="R264" s="45"/>
      <c r="S264" s="45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</row>
    <row r="265" spans="1:31" ht="14.25">
      <c r="A265" s="67" t="s">
        <v>567</v>
      </c>
      <c r="B265" s="68" t="s">
        <v>593</v>
      </c>
      <c r="C265" s="67" t="s">
        <v>489</v>
      </c>
      <c r="D265" s="75" t="n">
        <v>416.0</v>
      </c>
      <c r="E265" s="76" t="s">
        <v>0</v>
      </c>
      <c r="F265" s="57" t="str">
        <f>IFERROR(VLOOKUP(C265,$C$9:H264,4,FALSE),"")</f>
        <v/>
      </c>
      <c r="G265" s="61" t="str">
        <f>IFERROR(VLOOKUP(C265,$C$9:G264,5,FALSE),"")</f>
        <v/>
      </c>
      <c r="H265" s="61" t="str">
        <f>IFERROR(VLOOKUP(C265,$C$9:H264,6,FALSE),"")</f>
        <v/>
      </c>
      <c r="I265" s="61" t="s">
        <v>490</v>
      </c>
      <c r="J265" s="61" t="n">
        <v>0.0</v>
      </c>
      <c r="K265" s="61"/>
      <c r="L265" s="61" t="s">
        <v>445</v>
      </c>
      <c r="M265" s="42"/>
      <c r="N265" s="46" t="e">
        <f t="shared" si="11"/>
        <v>#DIV/0!</v>
      </c>
      <c r="O265" s="46" t="str">
        <f t="shared" si="12"/>
        <v/>
      </c>
      <c r="P265" s="46">
        <f t="shared" si="13"/>
        <v>1</v>
      </c>
      <c r="Q265" s="46"/>
      <c r="R265" s="45"/>
      <c r="S265" s="45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</row>
    <row r="266" spans="1:31" ht="14.25">
      <c r="A266" s="67" t="s">
        <v>567</v>
      </c>
      <c r="B266" s="71" t="s">
        <v>593</v>
      </c>
      <c r="C266" s="67" t="s">
        <v>452</v>
      </c>
      <c r="D266" s="75" t="n">
        <v>49.9</v>
      </c>
      <c r="E266" s="76" t="s">
        <v>0</v>
      </c>
      <c r="F266" s="57" t="str">
        <f>IFERROR(VLOOKUP(C266,$C$9:H265,4,FALSE),"")</f>
        <v/>
      </c>
      <c r="G266" s="61" t="s">
        <v>414</v>
      </c>
      <c r="H266" s="61" t="s">
        <v>414</v>
      </c>
      <c r="I266" s="61"/>
      <c r="J266" s="61" t="n">
        <v>0.0</v>
      </c>
      <c r="K266" s="61"/>
      <c r="L266" s="61" t="s">
        <v>445</v>
      </c>
      <c r="M266" s="42"/>
      <c r="N266" s="46" t="e">
        <f t="shared" ref="N266:N329" si="14">IF(OR(F266=$P$1,F266="",F266=0),D266/$B$2,IF(OR(F266=$P$2,F266=$P$3,F266=$P$4),D266/(O266*P266),D266/O266))</f>
        <v>#DIV/0!</v>
      </c>
      <c r="O266" s="46" t="str">
        <f t="shared" ref="O266:O329" si="15">IFERROR(VLOOKUP(F266,$P$1:$Q$4,2,0),F266)</f>
        <v/>
      </c>
      <c r="P266" s="46">
        <f t="shared" si="13"/>
        <v>1</v>
      </c>
      <c r="Q266" s="46"/>
      <c r="R266" s="45"/>
      <c r="S266" s="45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</row>
    <row r="267" spans="1:31" ht="14.25">
      <c r="A267" s="67" t="s">
        <v>567</v>
      </c>
      <c r="B267" s="71" t="s">
        <v>593</v>
      </c>
      <c r="C267" s="67" t="s">
        <v>497</v>
      </c>
      <c r="D267" s="75" t="n">
        <v>123.0</v>
      </c>
      <c r="E267" s="76" t="s">
        <v>1</v>
      </c>
      <c r="F267" s="57" t="str">
        <f>IFERROR(VLOOKUP(C267,$C$9:H266,4,FALSE),"")</f>
        <v/>
      </c>
      <c r="G267" s="61" t="str">
        <f>IFERROR(VLOOKUP(C267,$C$9:G266,5,FALSE),"")</f>
        <v/>
      </c>
      <c r="H267" s="61" t="str">
        <f>IFERROR(VLOOKUP(C267,$C$9:H266,6,FALSE),"")</f>
        <v/>
      </c>
      <c r="I267" s="61" t="s">
        <v>490</v>
      </c>
      <c r="J267" s="61" t="n">
        <v>0.0</v>
      </c>
      <c r="K267" s="61"/>
      <c r="L267" s="61" t="s">
        <v>445</v>
      </c>
      <c r="M267" s="42"/>
      <c r="N267" s="46" t="e">
        <f t="shared" si="14"/>
        <v>#DIV/0!</v>
      </c>
      <c r="O267" s="46" t="str">
        <f t="shared" si="15"/>
        <v/>
      </c>
      <c r="P267" s="46">
        <f t="shared" ref="P267:P330" si="16">IF(C267="",1,COUNTIFS($C$9:$C$1499,C267,$H$9:$H$1499,H267))</f>
        <v>1</v>
      </c>
      <c r="Q267" s="46"/>
      <c r="R267" s="45"/>
      <c r="S267" s="45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</row>
    <row r="268" spans="1:31" ht="14.25">
      <c r="A268" s="67" t="s">
        <v>565</v>
      </c>
      <c r="B268" s="68" t="s">
        <v>597</v>
      </c>
      <c r="C268" s="67" t="s">
        <v>475</v>
      </c>
      <c r="D268" s="75" t="n">
        <v>15.8</v>
      </c>
      <c r="E268" s="76" t="s">
        <v>0</v>
      </c>
      <c r="F268" s="57" t="str">
        <f>IFERROR(VLOOKUP(C268,$C$9:H267,4,FALSE),"")</f>
        <v/>
      </c>
      <c r="G268" s="61" t="str">
        <f>IFERROR(VLOOKUP(C268,$C$9:G267,5,FALSE),"")</f>
        <v/>
      </c>
      <c r="H268" s="61" t="str">
        <f>IFERROR(VLOOKUP(C268,$C$9:H267,6,FALSE),"")</f>
        <v/>
      </c>
      <c r="I268" s="61" t="s">
        <v>433</v>
      </c>
      <c r="J268" s="61" t="n">
        <v>15.8</v>
      </c>
      <c r="K268" s="61" t="s">
        <v>434</v>
      </c>
      <c r="L268" s="61" t="s">
        <v>435</v>
      </c>
      <c r="M268" s="42"/>
      <c r="N268" s="46" t="e">
        <f t="shared" si="14"/>
        <v>#DIV/0!</v>
      </c>
      <c r="O268" s="46" t="str">
        <f t="shared" si="15"/>
        <v/>
      </c>
      <c r="P268" s="46">
        <f t="shared" si="16"/>
        <v>1</v>
      </c>
      <c r="Q268" s="46"/>
      <c r="R268" s="45"/>
      <c r="S268" s="45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</row>
    <row r="269" spans="1:31" ht="14.25">
      <c r="A269" s="67" t="s">
        <v>565</v>
      </c>
      <c r="B269" s="68" t="s">
        <v>597</v>
      </c>
      <c r="C269" s="67" t="s">
        <v>598</v>
      </c>
      <c r="D269" s="75" t="n">
        <v>229.0</v>
      </c>
      <c r="E269" s="76" t="s">
        <v>0</v>
      </c>
      <c r="F269" s="57" t="str">
        <f>IFERROR(VLOOKUP(C269,$C$9:H268,4,FALSE),"")</f>
        <v/>
      </c>
      <c r="G269" s="61" t="str">
        <f>IFERROR(VLOOKUP(C269,$C$9:G268,5,FALSE),"")</f>
        <v/>
      </c>
      <c r="H269" s="61" t="str">
        <f>IFERROR(VLOOKUP(C269,$C$9:H268,6,FALSE),"")</f>
        <v/>
      </c>
      <c r="I269" s="61" t="s">
        <v>433</v>
      </c>
      <c r="J269" s="61" t="n">
        <v>229.0</v>
      </c>
      <c r="K269" s="61" t="s">
        <v>434</v>
      </c>
      <c r="L269" s="61" t="s">
        <v>435</v>
      </c>
      <c r="M269" s="42"/>
      <c r="N269" s="46" t="e">
        <f t="shared" si="14"/>
        <v>#DIV/0!</v>
      </c>
      <c r="O269" s="46" t="str">
        <f t="shared" si="15"/>
        <v/>
      </c>
      <c r="P269" s="46">
        <f t="shared" si="16"/>
        <v>1</v>
      </c>
      <c r="Q269" s="46"/>
      <c r="R269" s="45"/>
      <c r="S269" s="45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</row>
    <row r="270" spans="1:31" ht="14.25">
      <c r="A270" s="67" t="s">
        <v>565</v>
      </c>
      <c r="B270" s="68" t="s">
        <v>597</v>
      </c>
      <c r="C270" s="67" t="s">
        <v>531</v>
      </c>
      <c r="D270" s="75" t="n">
        <v>58.0</v>
      </c>
      <c r="E270" s="76" t="s">
        <v>0</v>
      </c>
      <c r="F270" s="57" t="str">
        <f>IFERROR(VLOOKUP(C270,$C$9:H269,4,FALSE),"")</f>
        <v/>
      </c>
      <c r="G270" s="61" t="str">
        <f>IFERROR(VLOOKUP(C270,$C$9:G269,5,FALSE),"")</f>
        <v/>
      </c>
      <c r="H270" s="61" t="str">
        <f>IFERROR(VLOOKUP(C270,$C$9:H269,6,FALSE),"")</f>
        <v/>
      </c>
      <c r="I270" s="61" t="s">
        <v>433</v>
      </c>
      <c r="J270" s="61" t="n">
        <v>58.0</v>
      </c>
      <c r="K270" s="61" t="s">
        <v>434</v>
      </c>
      <c r="L270" s="61" t="s">
        <v>435</v>
      </c>
      <c r="M270" s="42"/>
      <c r="N270" s="46" t="e">
        <f t="shared" si="14"/>
        <v>#DIV/0!</v>
      </c>
      <c r="O270" s="46" t="str">
        <f t="shared" si="15"/>
        <v/>
      </c>
      <c r="P270" s="46">
        <f t="shared" si="16"/>
        <v>1</v>
      </c>
      <c r="Q270" s="46"/>
      <c r="R270" s="45"/>
      <c r="S270" s="45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</row>
    <row r="271" spans="1:31" ht="14.25">
      <c r="A271" s="67" t="s">
        <v>565</v>
      </c>
      <c r="B271" s="78" t="s">
        <v>597</v>
      </c>
      <c r="C271" s="77" t="s">
        <v>442</v>
      </c>
      <c r="D271" s="75" t="n">
        <v>190.0</v>
      </c>
      <c r="E271" s="76" t="s">
        <v>0</v>
      </c>
      <c r="F271" s="57" t="str">
        <f>IFERROR(VLOOKUP(C271,$C$9:H270,4,FALSE),"")</f>
        <v/>
      </c>
      <c r="G271" s="61" t="str">
        <f>IFERROR(VLOOKUP(C271,$C$9:G270,5,FALSE),"")</f>
        <v/>
      </c>
      <c r="H271" s="61" t="str">
        <f>IFERROR(VLOOKUP(C271,$C$9:H270,6,FALSE),"")</f>
        <v/>
      </c>
      <c r="I271" s="61" t="s">
        <v>433</v>
      </c>
      <c r="J271" s="61" t="n">
        <v>190.0</v>
      </c>
      <c r="K271" s="61" t="s">
        <v>434</v>
      </c>
      <c r="L271" s="61" t="s">
        <v>435</v>
      </c>
      <c r="M271" s="42"/>
      <c r="N271" s="46" t="e">
        <f t="shared" si="14"/>
        <v>#DIV/0!</v>
      </c>
      <c r="O271" s="46" t="str">
        <f t="shared" si="15"/>
        <v/>
      </c>
      <c r="P271" s="46">
        <f t="shared" si="16"/>
        <v>1</v>
      </c>
      <c r="Q271" s="46"/>
      <c r="R271" s="45"/>
      <c r="S271" s="45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</row>
    <row r="272" spans="1:31" ht="14.25">
      <c r="A272" s="67" t="s">
        <v>567</v>
      </c>
      <c r="B272" s="68" t="s">
        <v>597</v>
      </c>
      <c r="C272" s="67" t="s">
        <v>599</v>
      </c>
      <c r="D272" s="75" t="n">
        <v>1328.0</v>
      </c>
      <c r="E272" s="76" t="s">
        <v>1</v>
      </c>
      <c r="F272" s="57" t="str">
        <f>IFERROR(VLOOKUP(C272,$C$9:H271,4,FALSE),"")</f>
        <v/>
      </c>
      <c r="G272" s="61" t="str">
        <f>IFERROR(VLOOKUP(C272,$C$9:G271,5,FALSE),"")</f>
        <v/>
      </c>
      <c r="H272" s="61" t="str">
        <f>IFERROR(VLOOKUP(C272,$C$9:H271,6,FALSE),"")</f>
        <v/>
      </c>
      <c r="I272" s="61" t="s">
        <v>490</v>
      </c>
      <c r="J272" s="61" t="n">
        <v>0.0</v>
      </c>
      <c r="K272" s="61"/>
      <c r="L272" s="61" t="s">
        <v>445</v>
      </c>
      <c r="M272" s="42"/>
      <c r="N272" s="46" t="e">
        <f t="shared" si="14"/>
        <v>#DIV/0!</v>
      </c>
      <c r="O272" s="46" t="str">
        <f t="shared" si="15"/>
        <v/>
      </c>
      <c r="P272" s="46">
        <f t="shared" si="16"/>
        <v>1</v>
      </c>
      <c r="Q272" s="46"/>
      <c r="R272" s="45"/>
      <c r="S272" s="45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</row>
    <row r="273" spans="1:31" ht="14.25">
      <c r="A273" s="67" t="s">
        <v>567</v>
      </c>
      <c r="B273" s="68" t="s">
        <v>597</v>
      </c>
      <c r="C273" s="67" t="s">
        <v>600</v>
      </c>
      <c r="D273" s="75" t="n">
        <v>700.0</v>
      </c>
      <c r="E273" s="76" t="s">
        <v>1</v>
      </c>
      <c r="F273" s="57" t="str">
        <f>IFERROR(VLOOKUP(C273,$C$9:H272,4,FALSE),"")</f>
        <v/>
      </c>
      <c r="G273" s="61" t="str">
        <f>IFERROR(VLOOKUP(C273,$C$9:G272,5,FALSE),"")</f>
        <v/>
      </c>
      <c r="H273" s="61" t="str">
        <f>IFERROR(VLOOKUP(C273,$C$9:H272,6,FALSE),"")</f>
        <v/>
      </c>
      <c r="I273" s="61" t="s">
        <v>492</v>
      </c>
      <c r="J273" s="61" t="n">
        <v>0.0</v>
      </c>
      <c r="K273" s="61"/>
      <c r="L273" s="61" t="s">
        <v>445</v>
      </c>
      <c r="M273" s="42"/>
      <c r="N273" s="46" t="e">
        <f t="shared" si="14"/>
        <v>#DIV/0!</v>
      </c>
      <c r="O273" s="46" t="str">
        <f t="shared" si="15"/>
        <v/>
      </c>
      <c r="P273" s="46">
        <f t="shared" si="16"/>
        <v>1</v>
      </c>
      <c r="Q273" s="46"/>
      <c r="R273" s="45"/>
      <c r="S273" s="45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</row>
    <row r="274" spans="1:31" ht="14.25">
      <c r="A274" s="67" t="s">
        <v>565</v>
      </c>
      <c r="B274" s="68" t="s">
        <v>601</v>
      </c>
      <c r="C274" s="67" t="s">
        <v>475</v>
      </c>
      <c r="D274" s="75" t="n">
        <v>12.8</v>
      </c>
      <c r="E274" s="76" t="s">
        <v>0</v>
      </c>
      <c r="F274" s="57" t="str">
        <f>IFERROR(VLOOKUP(C274,$C$9:H273,4,FALSE),"")</f>
        <v/>
      </c>
      <c r="G274" s="61" t="str">
        <f>IFERROR(VLOOKUP(C274,$C$9:G273,5,FALSE),"")</f>
        <v/>
      </c>
      <c r="H274" s="61" t="str">
        <f>IFERROR(VLOOKUP(C274,$C$9:H273,6,FALSE),"")</f>
        <v/>
      </c>
      <c r="I274" s="61" t="s">
        <v>433</v>
      </c>
      <c r="J274" s="61" t="n">
        <v>12.8</v>
      </c>
      <c r="K274" s="61" t="s">
        <v>434</v>
      </c>
      <c r="L274" s="61" t="s">
        <v>435</v>
      </c>
      <c r="M274" s="42"/>
      <c r="N274" s="46" t="e">
        <f t="shared" si="14"/>
        <v>#DIV/0!</v>
      </c>
      <c r="O274" s="46" t="str">
        <f t="shared" si="15"/>
        <v/>
      </c>
      <c r="P274" s="46">
        <f t="shared" si="16"/>
        <v>1</v>
      </c>
      <c r="Q274" s="46"/>
      <c r="R274" s="45"/>
      <c r="S274" s="45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</row>
    <row r="275" spans="1:31" ht="14.25">
      <c r="A275" s="67" t="s">
        <v>565</v>
      </c>
      <c r="B275" s="68" t="s">
        <v>601</v>
      </c>
      <c r="C275" s="67" t="s">
        <v>439</v>
      </c>
      <c r="D275" s="75" t="n">
        <v>53.55</v>
      </c>
      <c r="E275" s="76" t="s">
        <v>0</v>
      </c>
      <c r="F275" s="57" t="str">
        <f>IFERROR(VLOOKUP(C275,$C$9:H274,4,FALSE),"")</f>
        <v/>
      </c>
      <c r="G275" s="61" t="s">
        <v>350</v>
      </c>
      <c r="H275" s="61" t="s">
        <v>404</v>
      </c>
      <c r="I275" s="61" t="s">
        <v>433</v>
      </c>
      <c r="J275" s="61" t="n">
        <v>53.55</v>
      </c>
      <c r="K275" s="61" t="s">
        <v>434</v>
      </c>
      <c r="L275" s="61" t="s">
        <v>435</v>
      </c>
      <c r="M275" s="42"/>
      <c r="N275" s="46" t="e">
        <f t="shared" si="14"/>
        <v>#DIV/0!</v>
      </c>
      <c r="O275" s="46" t="str">
        <f t="shared" si="15"/>
        <v/>
      </c>
      <c r="P275" s="46">
        <f t="shared" si="16"/>
        <v>1</v>
      </c>
      <c r="Q275" s="46"/>
      <c r="R275" s="45"/>
      <c r="S275" s="45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</row>
    <row r="276" spans="1:31" ht="14.25">
      <c r="A276" s="67" t="s">
        <v>565</v>
      </c>
      <c r="B276" s="68" t="s">
        <v>601</v>
      </c>
      <c r="C276" s="67" t="s">
        <v>439</v>
      </c>
      <c r="D276" s="75" t="n">
        <v>51.0</v>
      </c>
      <c r="E276" s="76" t="s">
        <v>0</v>
      </c>
      <c r="F276" s="57" t="str">
        <f>IFERROR(VLOOKUP(C276,$C$9:H275,4,FALSE),"")</f>
        <v/>
      </c>
      <c r="G276" s="61" t="s">
        <v>350</v>
      </c>
      <c r="H276" s="61" t="s">
        <v>404</v>
      </c>
      <c r="I276" s="61" t="s">
        <v>433</v>
      </c>
      <c r="J276" s="61" t="n">
        <v>51.0</v>
      </c>
      <c r="K276" s="61" t="s">
        <v>434</v>
      </c>
      <c r="L276" s="61" t="s">
        <v>435</v>
      </c>
      <c r="M276" s="42"/>
      <c r="N276" s="46" t="e">
        <f t="shared" si="14"/>
        <v>#DIV/0!</v>
      </c>
      <c r="O276" s="46" t="str">
        <f t="shared" si="15"/>
        <v/>
      </c>
      <c r="P276" s="46">
        <f t="shared" si="16"/>
        <v>1</v>
      </c>
      <c r="Q276" s="46"/>
      <c r="R276" s="45"/>
      <c r="S276" s="45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</row>
    <row r="277" spans="1:31" ht="14.25">
      <c r="A277" s="67" t="s">
        <v>565</v>
      </c>
      <c r="B277" s="78" t="s">
        <v>601</v>
      </c>
      <c r="C277" s="77" t="s">
        <v>439</v>
      </c>
      <c r="D277" s="75" t="n">
        <v>70.12</v>
      </c>
      <c r="E277" s="76" t="s">
        <v>0</v>
      </c>
      <c r="F277" s="57" t="str">
        <f>IFERROR(VLOOKUP(C277,$C$9:H276,4,FALSE),"")</f>
        <v/>
      </c>
      <c r="G277" s="61" t="s">
        <v>350</v>
      </c>
      <c r="H277" s="61" t="s">
        <v>404</v>
      </c>
      <c r="I277" s="61" t="s">
        <v>433</v>
      </c>
      <c r="J277" s="61" t="n">
        <v>70.12</v>
      </c>
      <c r="K277" s="61" t="s">
        <v>434</v>
      </c>
      <c r="L277" s="61" t="s">
        <v>435</v>
      </c>
      <c r="M277" s="42"/>
      <c r="N277" s="46" t="e">
        <f t="shared" si="14"/>
        <v>#DIV/0!</v>
      </c>
      <c r="O277" s="46" t="str">
        <f t="shared" si="15"/>
        <v/>
      </c>
      <c r="P277" s="46">
        <f t="shared" si="16"/>
        <v>1</v>
      </c>
      <c r="Q277" s="46"/>
      <c r="R277" s="45"/>
      <c r="S277" s="45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</row>
    <row r="278" spans="1:31" ht="14.25">
      <c r="A278" s="67" t="s">
        <v>565</v>
      </c>
      <c r="B278" s="68" t="s">
        <v>601</v>
      </c>
      <c r="C278" s="67" t="s">
        <v>439</v>
      </c>
      <c r="D278" s="75" t="n">
        <v>88.2</v>
      </c>
      <c r="E278" s="76" t="s">
        <v>0</v>
      </c>
      <c r="F278" s="57" t="str">
        <f>IFERROR(VLOOKUP(C278,$C$9:H277,4,FALSE),"")</f>
        <v/>
      </c>
      <c r="G278" s="61" t="s">
        <v>350</v>
      </c>
      <c r="H278" s="61" t="s">
        <v>404</v>
      </c>
      <c r="I278" s="61" t="s">
        <v>433</v>
      </c>
      <c r="J278" s="61" t="n">
        <v>88.2</v>
      </c>
      <c r="K278" s="61" t="s">
        <v>434</v>
      </c>
      <c r="L278" s="61" t="s">
        <v>435</v>
      </c>
      <c r="M278" s="42"/>
      <c r="N278" s="46" t="e">
        <f t="shared" si="14"/>
        <v>#DIV/0!</v>
      </c>
      <c r="O278" s="46" t="str">
        <f t="shared" si="15"/>
        <v/>
      </c>
      <c r="P278" s="46">
        <f t="shared" si="16"/>
        <v>1</v>
      </c>
      <c r="Q278" s="46"/>
      <c r="R278" s="45"/>
      <c r="S278" s="45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</row>
    <row r="279" spans="1:31" ht="14.25">
      <c r="A279" s="67" t="s">
        <v>567</v>
      </c>
      <c r="B279" s="68" t="s">
        <v>601</v>
      </c>
      <c r="C279" s="67" t="s">
        <v>497</v>
      </c>
      <c r="D279" s="75" t="n">
        <v>1062.0</v>
      </c>
      <c r="E279" s="76" t="s">
        <v>1</v>
      </c>
      <c r="F279" s="57" t="str">
        <f>IFERROR(VLOOKUP(C279,$C$9:H278,4,FALSE),"")</f>
        <v/>
      </c>
      <c r="G279" s="61" t="str">
        <f>IFERROR(VLOOKUP(C279,$C$9:G278,5,FALSE),"")</f>
        <v/>
      </c>
      <c r="H279" s="61" t="str">
        <f>IFERROR(VLOOKUP(C279,$C$9:H278,6,FALSE),"")</f>
        <v/>
      </c>
      <c r="I279" s="61" t="s">
        <v>490</v>
      </c>
      <c r="J279" s="61" t="n">
        <v>0.0</v>
      </c>
      <c r="K279" s="61"/>
      <c r="L279" s="61" t="s">
        <v>445</v>
      </c>
      <c r="M279" s="42"/>
      <c r="N279" s="46" t="e">
        <f t="shared" si="14"/>
        <v>#DIV/0!</v>
      </c>
      <c r="O279" s="46" t="str">
        <f t="shared" si="15"/>
        <v/>
      </c>
      <c r="P279" s="46">
        <f t="shared" si="16"/>
        <v>1</v>
      </c>
      <c r="Q279" s="46"/>
      <c r="R279" s="45"/>
      <c r="S279" s="45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</row>
    <row r="280" spans="1:31" ht="14.25">
      <c r="A280" s="67" t="s">
        <v>567</v>
      </c>
      <c r="B280" s="71" t="s">
        <v>601</v>
      </c>
      <c r="C280" s="67" t="s">
        <v>590</v>
      </c>
      <c r="D280" s="75" t="n">
        <v>400.0</v>
      </c>
      <c r="E280" s="76" t="s">
        <v>1</v>
      </c>
      <c r="F280" s="57" t="str">
        <f>IFERROR(VLOOKUP(C280,$C$9:H279,4,FALSE),"")</f>
        <v/>
      </c>
      <c r="G280" s="61" t="str">
        <f>IFERROR(VLOOKUP(C280,$C$9:G279,5,FALSE),"")</f>
        <v/>
      </c>
      <c r="H280" s="61" t="str">
        <f>IFERROR(VLOOKUP(C280,$C$9:H279,6,FALSE),"")</f>
        <v/>
      </c>
      <c r="I280" s="61" t="s">
        <v>602</v>
      </c>
      <c r="J280" s="61" t="n">
        <v>0.0</v>
      </c>
      <c r="K280" s="61"/>
      <c r="L280" s="61" t="s">
        <v>445</v>
      </c>
      <c r="M280" s="42"/>
      <c r="N280" s="46" t="e">
        <f t="shared" si="14"/>
        <v>#DIV/0!</v>
      </c>
      <c r="O280" s="46" t="str">
        <f t="shared" si="15"/>
        <v/>
      </c>
      <c r="P280" s="46">
        <f t="shared" si="16"/>
        <v>1</v>
      </c>
      <c r="Q280" s="46"/>
      <c r="R280" s="45"/>
      <c r="S280" s="45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</row>
    <row r="281" spans="1:31" ht="14.25">
      <c r="A281" s="67" t="s">
        <v>567</v>
      </c>
      <c r="B281" s="71" t="s">
        <v>601</v>
      </c>
      <c r="C281" s="67" t="s">
        <v>603</v>
      </c>
      <c r="D281" s="75" t="n">
        <v>36.6</v>
      </c>
      <c r="E281" s="76" t="s">
        <v>1</v>
      </c>
      <c r="F281" s="57" t="str">
        <f>IFERROR(VLOOKUP(C281,$C$9:H280,4,FALSE),"")</f>
        <v/>
      </c>
      <c r="G281" s="61" t="s">
        <v>414</v>
      </c>
      <c r="H281" s="61" t="s">
        <v>414</v>
      </c>
      <c r="I281" s="61"/>
      <c r="J281" s="61" t="n">
        <v>0.0</v>
      </c>
      <c r="K281" s="61"/>
      <c r="L281" s="61" t="s">
        <v>445</v>
      </c>
      <c r="M281" s="42"/>
      <c r="N281" s="46" t="e">
        <f t="shared" si="14"/>
        <v>#DIV/0!</v>
      </c>
      <c r="O281" s="46" t="str">
        <f t="shared" si="15"/>
        <v/>
      </c>
      <c r="P281" s="46">
        <f t="shared" si="16"/>
        <v>1</v>
      </c>
      <c r="Q281" s="46"/>
      <c r="R281" s="45"/>
      <c r="S281" s="45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</row>
    <row r="282" spans="1:31" ht="14.25">
      <c r="A282" s="67" t="s">
        <v>565</v>
      </c>
      <c r="B282" s="68" t="s">
        <v>604</v>
      </c>
      <c r="C282" s="67" t="s">
        <v>605</v>
      </c>
      <c r="D282" s="75" t="n">
        <v>100.0</v>
      </c>
      <c r="E282" s="76" t="s">
        <v>0</v>
      </c>
      <c r="F282" s="57" t="str">
        <f>IFERROR(VLOOKUP(C282,$C$9:H281,4,FALSE),"")</f>
        <v/>
      </c>
      <c r="G282" s="61" t="str">
        <f>IFERROR(VLOOKUP(C282,$C$9:G281,5,FALSE),"")</f>
        <v/>
      </c>
      <c r="H282" s="61" t="str">
        <f>IFERROR(VLOOKUP(C282,$C$9:H281,6,FALSE),"")</f>
        <v/>
      </c>
      <c r="I282" s="61" t="s">
        <v>433</v>
      </c>
      <c r="J282" s="61" t="n">
        <v>100.0</v>
      </c>
      <c r="K282" s="61" t="s">
        <v>434</v>
      </c>
      <c r="L282" s="61" t="s">
        <v>435</v>
      </c>
      <c r="M282" s="42"/>
      <c r="N282" s="46" t="e">
        <f t="shared" si="14"/>
        <v>#DIV/0!</v>
      </c>
      <c r="O282" s="46" t="str">
        <f t="shared" si="15"/>
        <v/>
      </c>
      <c r="P282" s="46">
        <f t="shared" si="16"/>
        <v>1</v>
      </c>
      <c r="Q282" s="46"/>
      <c r="R282" s="45"/>
      <c r="S282" s="45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</row>
    <row r="283" spans="1:31" ht="14.25">
      <c r="A283" s="67" t="s">
        <v>576</v>
      </c>
      <c r="B283" s="78" t="s">
        <v>604</v>
      </c>
      <c r="C283" s="77" t="s">
        <v>503</v>
      </c>
      <c r="D283" s="75" t="n">
        <v>307.9</v>
      </c>
      <c r="E283" s="76" t="s">
        <v>0</v>
      </c>
      <c r="F283" s="57" t="str">
        <f>IFERROR(VLOOKUP(C283,$C$9:H282,4,FALSE),"")</f>
        <v/>
      </c>
      <c r="G283" s="61" t="str">
        <f>IFERROR(VLOOKUP(C283,$C$9:G282,5,FALSE),"")</f>
        <v/>
      </c>
      <c r="H283" s="61" t="str">
        <f>IFERROR(VLOOKUP(C283,$C$9:H282,6,FALSE),"")</f>
        <v/>
      </c>
      <c r="I283" s="61" t="s">
        <v>433</v>
      </c>
      <c r="J283" s="61" t="n">
        <v>307.9</v>
      </c>
      <c r="K283" s="61" t="s">
        <v>434</v>
      </c>
      <c r="L283" s="61" t="s">
        <v>435</v>
      </c>
      <c r="M283" s="42"/>
      <c r="N283" s="46" t="e">
        <f t="shared" si="14"/>
        <v>#DIV/0!</v>
      </c>
      <c r="O283" s="46" t="str">
        <f t="shared" si="15"/>
        <v/>
      </c>
      <c r="P283" s="46">
        <f t="shared" si="16"/>
        <v>1</v>
      </c>
      <c r="Q283" s="46"/>
      <c r="R283" s="45"/>
      <c r="S283" s="45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</row>
    <row r="284" spans="1:31" ht="14.25">
      <c r="A284" s="67" t="s">
        <v>565</v>
      </c>
      <c r="B284" s="71" t="s">
        <v>606</v>
      </c>
      <c r="C284" s="67" t="s">
        <v>607</v>
      </c>
      <c r="D284" s="75" t="n">
        <v>12.0</v>
      </c>
      <c r="E284" s="76" t="s">
        <v>0</v>
      </c>
      <c r="F284" s="57" t="str">
        <f>IFERROR(VLOOKUP(C284,$C$9:H283,4,FALSE),"")</f>
        <v/>
      </c>
      <c r="G284" s="61" t="str">
        <f>IFERROR(VLOOKUP(C284,$C$9:G283,5,FALSE),"")</f>
        <v/>
      </c>
      <c r="H284" s="61" t="str">
        <f>IFERROR(VLOOKUP(C284,$C$9:H283,6,FALSE),"")</f>
        <v/>
      </c>
      <c r="I284" s="61" t="s">
        <v>433</v>
      </c>
      <c r="J284" s="61" t="n">
        <v>12.0</v>
      </c>
      <c r="K284" s="61" t="s">
        <v>434</v>
      </c>
      <c r="L284" s="61" t="s">
        <v>435</v>
      </c>
      <c r="M284" s="42"/>
      <c r="N284" s="46" t="e">
        <f t="shared" si="14"/>
        <v>#DIV/0!</v>
      </c>
      <c r="O284" s="46" t="str">
        <f t="shared" si="15"/>
        <v/>
      </c>
      <c r="P284" s="46">
        <f t="shared" si="16"/>
        <v>1</v>
      </c>
      <c r="Q284" s="46"/>
      <c r="R284" s="45"/>
      <c r="S284" s="45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</row>
    <row r="285" spans="1:31" ht="14.25">
      <c r="A285" s="67" t="s">
        <v>565</v>
      </c>
      <c r="B285" s="71" t="s">
        <v>606</v>
      </c>
      <c r="C285" s="67" t="s">
        <v>607</v>
      </c>
      <c r="D285" s="75" t="n">
        <v>25.0</v>
      </c>
      <c r="E285" s="76" t="s">
        <v>0</v>
      </c>
      <c r="F285" s="57" t="str">
        <f>IFERROR(VLOOKUP(C285,$C$9:H284,4,FALSE),"")</f>
        <v/>
      </c>
      <c r="G285" s="61" t="str">
        <f>IFERROR(VLOOKUP(C285,$C$9:G284,5,FALSE),"")</f>
        <v/>
      </c>
      <c r="H285" s="61" t="str">
        <f>IFERROR(VLOOKUP(C285,$C$9:H284,6,FALSE),"")</f>
        <v/>
      </c>
      <c r="I285" s="61" t="s">
        <v>433</v>
      </c>
      <c r="J285" s="61" t="n">
        <v>25.0</v>
      </c>
      <c r="K285" s="61" t="s">
        <v>434</v>
      </c>
      <c r="L285" s="61" t="s">
        <v>435</v>
      </c>
      <c r="M285" s="42"/>
      <c r="N285" s="46" t="e">
        <f t="shared" si="14"/>
        <v>#DIV/0!</v>
      </c>
      <c r="O285" s="46" t="str">
        <f t="shared" si="15"/>
        <v/>
      </c>
      <c r="P285" s="46">
        <f t="shared" si="16"/>
        <v>1</v>
      </c>
      <c r="Q285" s="46"/>
      <c r="R285" s="45"/>
      <c r="S285" s="45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</row>
    <row r="286" spans="1:31" ht="14.25">
      <c r="A286" s="67" t="s">
        <v>565</v>
      </c>
      <c r="B286" s="68" t="s">
        <v>606</v>
      </c>
      <c r="C286" s="67" t="s">
        <v>607</v>
      </c>
      <c r="D286" s="75" t="n">
        <v>34.0</v>
      </c>
      <c r="E286" s="76" t="s">
        <v>0</v>
      </c>
      <c r="F286" s="57" t="str">
        <f>IFERROR(VLOOKUP(C286,$C$9:H285,4,FALSE),"")</f>
        <v/>
      </c>
      <c r="G286" s="61" t="str">
        <f>IFERROR(VLOOKUP(C286,$C$9:G285,5,FALSE),"")</f>
        <v/>
      </c>
      <c r="H286" s="61" t="str">
        <f>IFERROR(VLOOKUP(C286,$C$9:H285,6,FALSE),"")</f>
        <v/>
      </c>
      <c r="I286" s="61" t="s">
        <v>433</v>
      </c>
      <c r="J286" s="61" t="n">
        <v>34.0</v>
      </c>
      <c r="K286" s="61" t="s">
        <v>434</v>
      </c>
      <c r="L286" s="61" t="s">
        <v>435</v>
      </c>
      <c r="M286" s="42"/>
      <c r="N286" s="46" t="e">
        <f t="shared" si="14"/>
        <v>#DIV/0!</v>
      </c>
      <c r="O286" s="46" t="str">
        <f t="shared" si="15"/>
        <v/>
      </c>
      <c r="P286" s="46">
        <f t="shared" si="16"/>
        <v>1</v>
      </c>
      <c r="Q286" s="46"/>
      <c r="R286" s="45"/>
      <c r="S286" s="45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</row>
    <row r="287" spans="1:31" ht="14.25">
      <c r="A287" s="67" t="s">
        <v>565</v>
      </c>
      <c r="B287" s="68" t="s">
        <v>606</v>
      </c>
      <c r="C287" s="67" t="s">
        <v>442</v>
      </c>
      <c r="D287" s="75" t="n">
        <v>190.0</v>
      </c>
      <c r="E287" s="76" t="s">
        <v>0</v>
      </c>
      <c r="F287" s="57" t="str">
        <f>IFERROR(VLOOKUP(C287,$C$9:H286,4,FALSE),"")</f>
        <v/>
      </c>
      <c r="G287" s="61" t="str">
        <f>IFERROR(VLOOKUP(C287,$C$9:G286,5,FALSE),"")</f>
        <v/>
      </c>
      <c r="H287" s="61" t="str">
        <f>IFERROR(VLOOKUP(C287,$C$9:H286,6,FALSE),"")</f>
        <v/>
      </c>
      <c r="I287" s="61" t="s">
        <v>433</v>
      </c>
      <c r="J287" s="61" t="n">
        <v>190.0</v>
      </c>
      <c r="K287" s="61" t="s">
        <v>434</v>
      </c>
      <c r="L287" s="61" t="s">
        <v>435</v>
      </c>
      <c r="M287" s="42"/>
      <c r="N287" s="46" t="e">
        <f t="shared" si="14"/>
        <v>#DIV/0!</v>
      </c>
      <c r="O287" s="46" t="str">
        <f t="shared" si="15"/>
        <v/>
      </c>
      <c r="P287" s="46">
        <f t="shared" si="16"/>
        <v>1</v>
      </c>
      <c r="Q287" s="46"/>
      <c r="R287" s="45"/>
      <c r="S287" s="45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</row>
    <row r="288" spans="1:31" ht="14.25">
      <c r="A288" s="67" t="s">
        <v>565</v>
      </c>
      <c r="B288" s="68" t="s">
        <v>608</v>
      </c>
      <c r="C288" s="67" t="s">
        <v>475</v>
      </c>
      <c r="D288" s="75" t="n">
        <v>9.8</v>
      </c>
      <c r="E288" s="76" t="s">
        <v>0</v>
      </c>
      <c r="F288" s="57" t="str">
        <f>IFERROR(VLOOKUP(C288,$C$9:H287,4,FALSE),"")</f>
        <v/>
      </c>
      <c r="G288" s="61" t="str">
        <f>IFERROR(VLOOKUP(C288,$C$9:G287,5,FALSE),"")</f>
        <v/>
      </c>
      <c r="H288" s="61" t="str">
        <f>IFERROR(VLOOKUP(C288,$C$9:H287,6,FALSE),"")</f>
        <v/>
      </c>
      <c r="I288" s="61" t="s">
        <v>433</v>
      </c>
      <c r="J288" s="61" t="n">
        <v>9.8</v>
      </c>
      <c r="K288" s="61" t="s">
        <v>434</v>
      </c>
      <c r="L288" s="61" t="s">
        <v>435</v>
      </c>
      <c r="M288" s="42"/>
      <c r="N288" s="46" t="e">
        <f t="shared" si="14"/>
        <v>#DIV/0!</v>
      </c>
      <c r="O288" s="46" t="str">
        <f t="shared" si="15"/>
        <v/>
      </c>
      <c r="P288" s="46">
        <f t="shared" si="16"/>
        <v>1</v>
      </c>
      <c r="Q288" s="46"/>
      <c r="R288" s="45"/>
      <c r="S288" s="45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</row>
    <row r="289" spans="1:31" ht="14.25">
      <c r="A289" s="67" t="s">
        <v>565</v>
      </c>
      <c r="B289" s="78" t="s">
        <v>608</v>
      </c>
      <c r="C289" s="77" t="s">
        <v>543</v>
      </c>
      <c r="D289" s="75" t="n">
        <v>78.0</v>
      </c>
      <c r="E289" s="76" t="s">
        <v>0</v>
      </c>
      <c r="F289" s="57" t="str">
        <f>IFERROR(VLOOKUP(C289,$C$9:H288,4,FALSE),"")</f>
        <v/>
      </c>
      <c r="G289" s="61" t="str">
        <f>IFERROR(VLOOKUP(C289,$C$9:G288,5,FALSE),"")</f>
        <v/>
      </c>
      <c r="H289" s="61" t="str">
        <f>IFERROR(VLOOKUP(C289,$C$9:H288,6,FALSE),"")</f>
        <v/>
      </c>
      <c r="I289" s="61" t="s">
        <v>433</v>
      </c>
      <c r="J289" s="61" t="n">
        <v>78.0</v>
      </c>
      <c r="K289" s="61" t="s">
        <v>434</v>
      </c>
      <c r="L289" s="61" t="s">
        <v>435</v>
      </c>
      <c r="M289" s="42"/>
      <c r="N289" s="46" t="e">
        <f t="shared" si="14"/>
        <v>#DIV/0!</v>
      </c>
      <c r="O289" s="46" t="str">
        <f t="shared" si="15"/>
        <v/>
      </c>
      <c r="P289" s="46">
        <f t="shared" si="16"/>
        <v>1</v>
      </c>
      <c r="Q289" s="46"/>
      <c r="R289" s="45"/>
      <c r="S289" s="45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</row>
    <row r="290" spans="1:31" ht="14.25">
      <c r="A290" s="67" t="s">
        <v>567</v>
      </c>
      <c r="B290" s="78" t="s">
        <v>608</v>
      </c>
      <c r="C290" s="77" t="s">
        <v>452</v>
      </c>
      <c r="D290" s="75" t="n">
        <v>307.9</v>
      </c>
      <c r="E290" s="76" t="s">
        <v>0</v>
      </c>
      <c r="F290" s="57" t="str">
        <f>IFERROR(VLOOKUP(C290,$C$9:H289,4,FALSE),"")</f>
        <v/>
      </c>
      <c r="G290" s="61" t="s">
        <v>414</v>
      </c>
      <c r="H290" s="61" t="s">
        <v>414</v>
      </c>
      <c r="I290" s="61"/>
      <c r="J290" s="61" t="n">
        <v>0.0</v>
      </c>
      <c r="K290" s="61"/>
      <c r="L290" s="61" t="s">
        <v>445</v>
      </c>
      <c r="M290" s="42"/>
      <c r="N290" s="46" t="e">
        <f t="shared" si="14"/>
        <v>#DIV/0!</v>
      </c>
      <c r="O290" s="46" t="str">
        <f t="shared" si="15"/>
        <v/>
      </c>
      <c r="P290" s="46">
        <f t="shared" si="16"/>
        <v>1</v>
      </c>
      <c r="Q290" s="46"/>
      <c r="R290" s="45"/>
      <c r="S290" s="45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</row>
    <row r="291" spans="1:31" ht="14.25">
      <c r="A291" s="67" t="s">
        <v>567</v>
      </c>
      <c r="B291" s="68" t="s">
        <v>608</v>
      </c>
      <c r="C291" s="67" t="s">
        <v>506</v>
      </c>
      <c r="D291" s="75" t="n">
        <v>50.0</v>
      </c>
      <c r="E291" s="76" t="s">
        <v>0</v>
      </c>
      <c r="F291" s="57" t="str">
        <f>IFERROR(VLOOKUP(C291,$C$9:H290,4,FALSE),"")</f>
        <v/>
      </c>
      <c r="G291" s="61" t="str">
        <f>IFERROR(VLOOKUP(C291,$C$9:G290,5,FALSE),"")</f>
        <v/>
      </c>
      <c r="H291" s="61" t="str">
        <f>IFERROR(VLOOKUP(C291,$C$9:H290,6,FALSE),"")</f>
        <v/>
      </c>
      <c r="I291" s="61"/>
      <c r="J291" s="61" t="n">
        <v>0.0</v>
      </c>
      <c r="K291" s="61"/>
      <c r="L291" s="61" t="s">
        <v>445</v>
      </c>
      <c r="M291" s="42"/>
      <c r="N291" s="46" t="e">
        <f t="shared" si="14"/>
        <v>#DIV/0!</v>
      </c>
      <c r="O291" s="46" t="str">
        <f t="shared" si="15"/>
        <v/>
      </c>
      <c r="P291" s="46">
        <f t="shared" si="16"/>
        <v>1</v>
      </c>
      <c r="Q291" s="46"/>
      <c r="R291" s="45"/>
      <c r="S291" s="45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</row>
    <row r="292" spans="1:31" ht="14.25">
      <c r="A292" s="67" t="s">
        <v>565</v>
      </c>
      <c r="B292" s="68" t="s">
        <v>609</v>
      </c>
      <c r="C292" s="67" t="s">
        <v>456</v>
      </c>
      <c r="D292" s="75" t="n">
        <v>349.0</v>
      </c>
      <c r="E292" s="76" t="s">
        <v>0</v>
      </c>
      <c r="F292" s="57" t="str">
        <f>IFERROR(VLOOKUP(C292,$C$9:H291,4,FALSE),"")</f>
        <v/>
      </c>
      <c r="G292" s="61" t="str">
        <f>IFERROR(VLOOKUP(C292,$C$9:G291,5,FALSE),"")</f>
        <v/>
      </c>
      <c r="H292" s="61" t="str">
        <f>IFERROR(VLOOKUP(C292,$C$9:H291,6,FALSE),"")</f>
        <v/>
      </c>
      <c r="I292" s="61" t="s">
        <v>433</v>
      </c>
      <c r="J292" s="61" t="n">
        <v>349.0</v>
      </c>
      <c r="K292" s="61" t="s">
        <v>434</v>
      </c>
      <c r="L292" s="61" t="s">
        <v>435</v>
      </c>
      <c r="M292" s="42"/>
      <c r="N292" s="46" t="e">
        <f t="shared" si="14"/>
        <v>#DIV/0!</v>
      </c>
      <c r="O292" s="46" t="str">
        <f t="shared" si="15"/>
        <v/>
      </c>
      <c r="P292" s="46">
        <f t="shared" si="16"/>
        <v>1</v>
      </c>
      <c r="Q292" s="46"/>
      <c r="R292" s="45"/>
      <c r="S292" s="45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</row>
    <row r="293" spans="1:31" ht="14.25">
      <c r="A293" s="67" t="s">
        <v>565</v>
      </c>
      <c r="B293" s="68" t="s">
        <v>609</v>
      </c>
      <c r="C293" s="67" t="s">
        <v>475</v>
      </c>
      <c r="D293" s="75" t="n">
        <v>22.8</v>
      </c>
      <c r="E293" s="76" t="s">
        <v>0</v>
      </c>
      <c r="F293" s="57" t="str">
        <f>IFERROR(VLOOKUP(C293,$C$9:H292,4,FALSE),"")</f>
        <v/>
      </c>
      <c r="G293" s="61" t="str">
        <f>IFERROR(VLOOKUP(C293,$C$9:G292,5,FALSE),"")</f>
        <v/>
      </c>
      <c r="H293" s="61" t="str">
        <f>IFERROR(VLOOKUP(C293,$C$9:H292,6,FALSE),"")</f>
        <v/>
      </c>
      <c r="I293" s="61" t="s">
        <v>433</v>
      </c>
      <c r="J293" s="61" t="n">
        <v>22.8</v>
      </c>
      <c r="K293" s="61" t="s">
        <v>434</v>
      </c>
      <c r="L293" s="61" t="s">
        <v>435</v>
      </c>
      <c r="M293" s="42"/>
      <c r="N293" s="46" t="e">
        <f t="shared" si="14"/>
        <v>#DIV/0!</v>
      </c>
      <c r="O293" s="46" t="str">
        <f t="shared" si="15"/>
        <v/>
      </c>
      <c r="P293" s="46">
        <f t="shared" si="16"/>
        <v>1</v>
      </c>
      <c r="Q293" s="46"/>
      <c r="R293" s="45"/>
      <c r="S293" s="45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</row>
    <row r="294" spans="1:31" ht="14.25">
      <c r="A294" s="67" t="s">
        <v>565</v>
      </c>
      <c r="B294" s="68" t="s">
        <v>609</v>
      </c>
      <c r="C294" s="67" t="s">
        <v>460</v>
      </c>
      <c r="D294" s="75" t="n">
        <v>155.03</v>
      </c>
      <c r="E294" s="76" t="s">
        <v>0</v>
      </c>
      <c r="F294" s="57" t="str">
        <f>IFERROR(VLOOKUP(C294,$C$9:H293,4,FALSE),"")</f>
        <v/>
      </c>
      <c r="G294" s="61" t="str">
        <f>IFERROR(VLOOKUP(C294,$C$9:G293,5,FALSE),"")</f>
        <v/>
      </c>
      <c r="H294" s="61" t="str">
        <f>IFERROR(VLOOKUP(C294,$C$9:H293,6,FALSE),"")</f>
        <v/>
      </c>
      <c r="I294" s="61" t="s">
        <v>433</v>
      </c>
      <c r="J294" s="61" t="n">
        <v>155.03</v>
      </c>
      <c r="K294" s="61" t="s">
        <v>434</v>
      </c>
      <c r="L294" s="61" t="s">
        <v>435</v>
      </c>
      <c r="M294" s="42"/>
      <c r="N294" s="46" t="e">
        <f t="shared" si="14"/>
        <v>#DIV/0!</v>
      </c>
      <c r="O294" s="46" t="str">
        <f t="shared" si="15"/>
        <v/>
      </c>
      <c r="P294" s="46">
        <f t="shared" si="16"/>
        <v>1</v>
      </c>
      <c r="Q294" s="46"/>
      <c r="R294" s="45"/>
      <c r="S294" s="45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</row>
    <row r="295" spans="1:31" ht="14.25">
      <c r="A295" s="67" t="s">
        <v>565</v>
      </c>
      <c r="B295" s="68" t="s">
        <v>609</v>
      </c>
      <c r="C295" s="67" t="s">
        <v>439</v>
      </c>
      <c r="D295" s="75" t="n">
        <v>39.78</v>
      </c>
      <c r="E295" s="76" t="s">
        <v>0</v>
      </c>
      <c r="F295" s="57" t="str">
        <f>IFERROR(VLOOKUP(C295,$C$9:H294,4,FALSE),"")</f>
        <v/>
      </c>
      <c r="G295" s="61" t="s">
        <v>350</v>
      </c>
      <c r="H295" s="61" t="s">
        <v>404</v>
      </c>
      <c r="I295" s="61" t="s">
        <v>433</v>
      </c>
      <c r="J295" s="61" t="n">
        <v>39.78</v>
      </c>
      <c r="K295" s="61" t="s">
        <v>434</v>
      </c>
      <c r="L295" s="61" t="s">
        <v>435</v>
      </c>
      <c r="M295" s="42"/>
      <c r="N295" s="46" t="e">
        <f t="shared" si="14"/>
        <v>#DIV/0!</v>
      </c>
      <c r="O295" s="46" t="str">
        <f t="shared" si="15"/>
        <v/>
      </c>
      <c r="P295" s="46">
        <f t="shared" si="16"/>
        <v>1</v>
      </c>
      <c r="Q295" s="46"/>
      <c r="R295" s="45"/>
      <c r="S295" s="45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</row>
    <row r="296" spans="1:31" ht="14.25">
      <c r="A296" s="67" t="s">
        <v>565</v>
      </c>
      <c r="B296" s="68" t="s">
        <v>609</v>
      </c>
      <c r="C296" s="67" t="s">
        <v>439</v>
      </c>
      <c r="D296" s="75" t="n">
        <v>10.4</v>
      </c>
      <c r="E296" s="76" t="s">
        <v>0</v>
      </c>
      <c r="F296" s="57" t="str">
        <f>IFERROR(VLOOKUP(C296,$C$9:H295,4,FALSE),"")</f>
        <v/>
      </c>
      <c r="G296" s="61" t="s">
        <v>350</v>
      </c>
      <c r="H296" s="61" t="s">
        <v>404</v>
      </c>
      <c r="I296" s="61" t="s">
        <v>433</v>
      </c>
      <c r="J296" s="61" t="n">
        <v>10.4</v>
      </c>
      <c r="K296" s="61" t="s">
        <v>434</v>
      </c>
      <c r="L296" s="61" t="s">
        <v>435</v>
      </c>
      <c r="M296" s="42"/>
      <c r="N296" s="46" t="e">
        <f t="shared" si="14"/>
        <v>#DIV/0!</v>
      </c>
      <c r="O296" s="46" t="str">
        <f t="shared" si="15"/>
        <v/>
      </c>
      <c r="P296" s="46">
        <f t="shared" si="16"/>
        <v>1</v>
      </c>
      <c r="Q296" s="46"/>
      <c r="R296" s="45"/>
      <c r="S296" s="45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</row>
    <row r="297" spans="1:31" ht="14.25">
      <c r="A297" s="67" t="s">
        <v>565</v>
      </c>
      <c r="B297" s="68" t="s">
        <v>610</v>
      </c>
      <c r="C297" s="67" t="s">
        <v>456</v>
      </c>
      <c r="D297" s="75" t="n">
        <v>176.0</v>
      </c>
      <c r="E297" s="76" t="s">
        <v>0</v>
      </c>
      <c r="F297" s="57" t="str">
        <f>IFERROR(VLOOKUP(C297,$C$9:H296,4,FALSE),"")</f>
        <v/>
      </c>
      <c r="G297" s="61" t="str">
        <f>IFERROR(VLOOKUP(C297,$C$9:G296,5,FALSE),"")</f>
        <v/>
      </c>
      <c r="H297" s="61" t="str">
        <f>IFERROR(VLOOKUP(C297,$C$9:H296,6,FALSE),"")</f>
        <v/>
      </c>
      <c r="I297" s="61" t="s">
        <v>433</v>
      </c>
      <c r="J297" s="61" t="n">
        <v>176.0</v>
      </c>
      <c r="K297" s="61" t="s">
        <v>434</v>
      </c>
      <c r="L297" s="61" t="s">
        <v>435</v>
      </c>
      <c r="M297" s="42"/>
      <c r="N297" s="46" t="e">
        <f t="shared" si="14"/>
        <v>#DIV/0!</v>
      </c>
      <c r="O297" s="46" t="str">
        <f t="shared" si="15"/>
        <v/>
      </c>
      <c r="P297" s="46">
        <f t="shared" si="16"/>
        <v>1</v>
      </c>
      <c r="Q297" s="46"/>
      <c r="R297" s="45"/>
      <c r="S297" s="45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</row>
    <row r="298" spans="1:31" ht="14.25">
      <c r="A298" s="67" t="s">
        <v>565</v>
      </c>
      <c r="B298" s="68" t="s">
        <v>610</v>
      </c>
      <c r="C298" s="67" t="s">
        <v>525</v>
      </c>
      <c r="D298" s="75" t="n">
        <v>24.8</v>
      </c>
      <c r="E298" s="76" t="s">
        <v>0</v>
      </c>
      <c r="F298" s="57" t="str">
        <f>IFERROR(VLOOKUP(C298,$C$9:H297,4,FALSE),"")</f>
        <v/>
      </c>
      <c r="G298" s="61" t="s">
        <v>352</v>
      </c>
      <c r="H298" s="61" t="s">
        <v>293</v>
      </c>
      <c r="I298" s="61" t="s">
        <v>433</v>
      </c>
      <c r="J298" s="61" t="n">
        <v>24.8</v>
      </c>
      <c r="K298" s="61" t="s">
        <v>434</v>
      </c>
      <c r="L298" s="61" t="s">
        <v>435</v>
      </c>
      <c r="M298" s="42"/>
      <c r="N298" s="46" t="e">
        <f t="shared" si="14"/>
        <v>#DIV/0!</v>
      </c>
      <c r="O298" s="46" t="str">
        <f t="shared" si="15"/>
        <v/>
      </c>
      <c r="P298" s="46">
        <f t="shared" si="16"/>
        <v>1</v>
      </c>
      <c r="Q298" s="46"/>
      <c r="R298" s="45"/>
      <c r="S298" s="45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</row>
    <row r="299" spans="1:31" ht="14.25">
      <c r="A299" s="67" t="s">
        <v>565</v>
      </c>
      <c r="B299" s="68" t="s">
        <v>610</v>
      </c>
      <c r="C299" s="67" t="s">
        <v>589</v>
      </c>
      <c r="D299" s="75" t="n">
        <v>100.0</v>
      </c>
      <c r="E299" s="76" t="s">
        <v>0</v>
      </c>
      <c r="F299" s="57" t="str">
        <f>IFERROR(VLOOKUP(C299,$C$9:H298,4,FALSE),"")</f>
        <v/>
      </c>
      <c r="G299" s="61" t="s">
        <v>350</v>
      </c>
      <c r="H299" s="61" t="s">
        <v>404</v>
      </c>
      <c r="I299" s="61" t="s">
        <v>433</v>
      </c>
      <c r="J299" s="61" t="n">
        <v>100.0</v>
      </c>
      <c r="K299" s="61" t="s">
        <v>434</v>
      </c>
      <c r="L299" s="61" t="s">
        <v>435</v>
      </c>
      <c r="M299" s="42"/>
      <c r="N299" s="46" t="e">
        <f t="shared" si="14"/>
        <v>#DIV/0!</v>
      </c>
      <c r="O299" s="46" t="str">
        <f t="shared" si="15"/>
        <v/>
      </c>
      <c r="P299" s="46">
        <f t="shared" si="16"/>
        <v>1</v>
      </c>
      <c r="Q299" s="46"/>
      <c r="R299" s="45"/>
      <c r="S299" s="45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</row>
    <row r="300" spans="1:31" ht="14.25">
      <c r="A300" s="67" t="s">
        <v>565</v>
      </c>
      <c r="B300" s="68" t="s">
        <v>610</v>
      </c>
      <c r="C300" s="67" t="s">
        <v>471</v>
      </c>
      <c r="D300" s="75" t="n">
        <v>34.7</v>
      </c>
      <c r="E300" s="76" t="s">
        <v>0</v>
      </c>
      <c r="F300" s="57" t="str">
        <f>IFERROR(VLOOKUP(C300,$C$9:H299,4,FALSE),"")</f>
        <v/>
      </c>
      <c r="G300" s="61" t="str">
        <f>IFERROR(VLOOKUP(C300,$C$9:G299,5,FALSE),"")</f>
        <v/>
      </c>
      <c r="H300" s="61" t="str">
        <f>IFERROR(VLOOKUP(C300,$C$9:H299,6,FALSE),"")</f>
        <v/>
      </c>
      <c r="I300" s="61" t="s">
        <v>433</v>
      </c>
      <c r="J300" s="61" t="n">
        <v>34.7</v>
      </c>
      <c r="K300" s="61" t="s">
        <v>434</v>
      </c>
      <c r="L300" s="61" t="s">
        <v>435</v>
      </c>
      <c r="M300" s="42"/>
      <c r="N300" s="46" t="e">
        <f t="shared" si="14"/>
        <v>#DIV/0!</v>
      </c>
      <c r="O300" s="46" t="str">
        <f t="shared" si="15"/>
        <v/>
      </c>
      <c r="P300" s="46">
        <f t="shared" si="16"/>
        <v>1</v>
      </c>
      <c r="Q300" s="46"/>
      <c r="R300" s="45"/>
      <c r="S300" s="45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</row>
    <row r="301" spans="1:31" ht="14.25">
      <c r="A301" s="67" t="s">
        <v>565</v>
      </c>
      <c r="B301" s="68" t="s">
        <v>610</v>
      </c>
      <c r="C301" s="67" t="s">
        <v>611</v>
      </c>
      <c r="D301" s="75" t="n">
        <v>117.0</v>
      </c>
      <c r="E301" s="76" t="s">
        <v>0</v>
      </c>
      <c r="F301" s="57" t="str">
        <f>IFERROR(VLOOKUP(C301,$C$9:H300,4,FALSE),"")</f>
        <v/>
      </c>
      <c r="G301" s="61" t="str">
        <f>IFERROR(VLOOKUP(C301,$C$9:G300,5,FALSE),"")</f>
        <v/>
      </c>
      <c r="H301" s="61" t="str">
        <f>IFERROR(VLOOKUP(C301,$C$9:H300,6,FALSE),"")</f>
        <v/>
      </c>
      <c r="I301" s="61" t="s">
        <v>433</v>
      </c>
      <c r="J301" s="61" t="n">
        <v>117.0</v>
      </c>
      <c r="K301" s="61" t="s">
        <v>434</v>
      </c>
      <c r="L301" s="61" t="s">
        <v>435</v>
      </c>
      <c r="M301" s="42"/>
      <c r="N301" s="46" t="e">
        <f t="shared" si="14"/>
        <v>#DIV/0!</v>
      </c>
      <c r="O301" s="46" t="str">
        <f t="shared" si="15"/>
        <v/>
      </c>
      <c r="P301" s="46">
        <f t="shared" si="16"/>
        <v>1</v>
      </c>
      <c r="Q301" s="46"/>
      <c r="R301" s="45"/>
      <c r="S301" s="45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</row>
    <row r="302" spans="1:31" ht="14.25">
      <c r="A302" s="67" t="s">
        <v>565</v>
      </c>
      <c r="B302" s="68" t="s">
        <v>610</v>
      </c>
      <c r="C302" s="67" t="s">
        <v>440</v>
      </c>
      <c r="D302" s="75" t="n">
        <v>90.0</v>
      </c>
      <c r="E302" s="76" t="s">
        <v>0</v>
      </c>
      <c r="F302" s="57" t="str">
        <f>IFERROR(VLOOKUP(C302,$C$9:H301,4,FALSE),"")</f>
        <v/>
      </c>
      <c r="G302" s="61" t="str">
        <f>IFERROR(VLOOKUP(C302,$C$9:G301,5,FALSE),"")</f>
        <v/>
      </c>
      <c r="H302" s="61" t="str">
        <f>IFERROR(VLOOKUP(C302,$C$9:H301,6,FALSE),"")</f>
        <v/>
      </c>
      <c r="I302" s="61" t="s">
        <v>433</v>
      </c>
      <c r="J302" s="61" t="n">
        <v>90.0</v>
      </c>
      <c r="K302" s="61" t="s">
        <v>434</v>
      </c>
      <c r="L302" s="61" t="s">
        <v>435</v>
      </c>
      <c r="M302" s="42"/>
      <c r="N302" s="46" t="e">
        <f t="shared" si="14"/>
        <v>#DIV/0!</v>
      </c>
      <c r="O302" s="46" t="str">
        <f t="shared" si="15"/>
        <v/>
      </c>
      <c r="P302" s="46">
        <f t="shared" si="16"/>
        <v>1</v>
      </c>
      <c r="Q302" s="46"/>
      <c r="R302" s="45"/>
      <c r="S302" s="45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</row>
    <row r="303" spans="1:31" ht="14.25">
      <c r="A303" s="67" t="s">
        <v>565</v>
      </c>
      <c r="B303" s="68" t="s">
        <v>612</v>
      </c>
      <c r="C303" s="67" t="s">
        <v>475</v>
      </c>
      <c r="D303" s="75" t="n">
        <v>4.9</v>
      </c>
      <c r="E303" s="76" t="s">
        <v>0</v>
      </c>
      <c r="F303" s="57" t="str">
        <f>IFERROR(VLOOKUP(C303,$C$9:H302,4,FALSE),"")</f>
        <v/>
      </c>
      <c r="G303" s="61" t="str">
        <f>IFERROR(VLOOKUP(C303,$C$9:G302,5,FALSE),"")</f>
        <v/>
      </c>
      <c r="H303" s="61" t="str">
        <f>IFERROR(VLOOKUP(C303,$C$9:H302,6,FALSE),"")</f>
        <v/>
      </c>
      <c r="I303" s="61" t="s">
        <v>433</v>
      </c>
      <c r="J303" s="61" t="n">
        <v>4.9</v>
      </c>
      <c r="K303" s="61" t="s">
        <v>434</v>
      </c>
      <c r="L303" s="61" t="s">
        <v>435</v>
      </c>
      <c r="M303" s="42"/>
      <c r="N303" s="46" t="e">
        <f t="shared" si="14"/>
        <v>#DIV/0!</v>
      </c>
      <c r="O303" s="46" t="str">
        <f t="shared" si="15"/>
        <v/>
      </c>
      <c r="P303" s="46">
        <f t="shared" si="16"/>
        <v>1</v>
      </c>
      <c r="Q303" s="46"/>
      <c r="R303" s="45"/>
      <c r="S303" s="45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</row>
    <row r="304" spans="1:31" ht="14.25">
      <c r="A304" s="67" t="s">
        <v>565</v>
      </c>
      <c r="B304" s="68" t="s">
        <v>612</v>
      </c>
      <c r="C304" s="67" t="s">
        <v>533</v>
      </c>
      <c r="D304" s="75" t="n">
        <v>20.0</v>
      </c>
      <c r="E304" s="76" t="s">
        <v>0</v>
      </c>
      <c r="F304" s="57" t="str">
        <f>IFERROR(VLOOKUP(C304,$C$9:H303,4,FALSE),"")</f>
        <v/>
      </c>
      <c r="G304" s="61" t="str">
        <f>IFERROR(VLOOKUP(C304,$C$9:G303,5,FALSE),"")</f>
        <v/>
      </c>
      <c r="H304" s="61" t="str">
        <f>IFERROR(VLOOKUP(C304,$C$9:H303,6,FALSE),"")</f>
        <v/>
      </c>
      <c r="I304" s="61" t="s">
        <v>433</v>
      </c>
      <c r="J304" s="61" t="n">
        <v>20.0</v>
      </c>
      <c r="K304" s="61" t="s">
        <v>434</v>
      </c>
      <c r="L304" s="61" t="s">
        <v>435</v>
      </c>
      <c r="M304" s="42"/>
      <c r="N304" s="46" t="e">
        <f t="shared" si="14"/>
        <v>#DIV/0!</v>
      </c>
      <c r="O304" s="46" t="str">
        <f t="shared" si="15"/>
        <v/>
      </c>
      <c r="P304" s="46">
        <f t="shared" si="16"/>
        <v>1</v>
      </c>
      <c r="Q304" s="46"/>
      <c r="R304" s="45"/>
      <c r="S304" s="45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</row>
    <row r="305" spans="1:31" ht="14.25">
      <c r="A305" s="67" t="s">
        <v>565</v>
      </c>
      <c r="B305" s="71" t="s">
        <v>612</v>
      </c>
      <c r="C305" s="67" t="s">
        <v>533</v>
      </c>
      <c r="D305" s="75" t="n">
        <v>11.9</v>
      </c>
      <c r="E305" s="76" t="s">
        <v>0</v>
      </c>
      <c r="F305" s="57" t="str">
        <f>IFERROR(VLOOKUP(C305,$C$9:H304,4,FALSE),"")</f>
        <v/>
      </c>
      <c r="G305" s="61" t="str">
        <f>IFERROR(VLOOKUP(C305,$C$9:G304,5,FALSE),"")</f>
        <v/>
      </c>
      <c r="H305" s="61" t="str">
        <f>IFERROR(VLOOKUP(C305,$C$9:H304,6,FALSE),"")</f>
        <v/>
      </c>
      <c r="I305" s="61" t="s">
        <v>433</v>
      </c>
      <c r="J305" s="61" t="n">
        <v>11.9</v>
      </c>
      <c r="K305" s="61" t="s">
        <v>434</v>
      </c>
      <c r="L305" s="61" t="s">
        <v>435</v>
      </c>
      <c r="M305" s="42"/>
      <c r="N305" s="46" t="e">
        <f t="shared" si="14"/>
        <v>#DIV/0!</v>
      </c>
      <c r="O305" s="46" t="str">
        <f t="shared" si="15"/>
        <v/>
      </c>
      <c r="P305" s="46">
        <f t="shared" si="16"/>
        <v>1</v>
      </c>
      <c r="Q305" s="46"/>
      <c r="R305" s="45"/>
      <c r="S305" s="45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</row>
    <row r="306" spans="1:31" ht="14.25">
      <c r="A306" s="67" t="s">
        <v>565</v>
      </c>
      <c r="B306" s="71" t="s">
        <v>612</v>
      </c>
      <c r="C306" s="67" t="s">
        <v>441</v>
      </c>
      <c r="D306" s="75" t="n">
        <v>12.0</v>
      </c>
      <c r="E306" s="76" t="s">
        <v>0</v>
      </c>
      <c r="F306" s="57" t="str">
        <f>IFERROR(VLOOKUP(C306,$C$9:H305,4,FALSE),"")</f>
        <v/>
      </c>
      <c r="G306" s="61" t="str">
        <f>IFERROR(VLOOKUP(C306,$C$9:G305,5,FALSE),"")</f>
        <v/>
      </c>
      <c r="H306" s="61" t="str">
        <f>IFERROR(VLOOKUP(C306,$C$9:H305,6,FALSE),"")</f>
        <v/>
      </c>
      <c r="I306" s="61" t="s">
        <v>433</v>
      </c>
      <c r="J306" s="61" t="n">
        <v>12.0</v>
      </c>
      <c r="K306" s="61" t="s">
        <v>434</v>
      </c>
      <c r="L306" s="61" t="s">
        <v>435</v>
      </c>
      <c r="M306" s="42"/>
      <c r="N306" s="46" t="e">
        <f t="shared" si="14"/>
        <v>#DIV/0!</v>
      </c>
      <c r="O306" s="46" t="str">
        <f t="shared" si="15"/>
        <v/>
      </c>
      <c r="P306" s="46">
        <f t="shared" si="16"/>
        <v>1</v>
      </c>
      <c r="Q306" s="46"/>
      <c r="R306" s="45"/>
      <c r="S306" s="45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</row>
    <row r="307" spans="1:31" ht="14.25">
      <c r="A307" s="67" t="s">
        <v>565</v>
      </c>
      <c r="B307" s="68" t="s">
        <v>612</v>
      </c>
      <c r="C307" s="67" t="s">
        <v>439</v>
      </c>
      <c r="D307" s="75" t="n">
        <v>88.2</v>
      </c>
      <c r="E307" s="76" t="s">
        <v>0</v>
      </c>
      <c r="F307" s="57" t="str">
        <f>IFERROR(VLOOKUP(C307,$C$9:H306,4,FALSE),"")</f>
        <v/>
      </c>
      <c r="G307" s="61" t="s">
        <v>350</v>
      </c>
      <c r="H307" s="61" t="s">
        <v>404</v>
      </c>
      <c r="I307" s="61" t="s">
        <v>433</v>
      </c>
      <c r="J307" s="61" t="n">
        <v>88.2</v>
      </c>
      <c r="K307" s="61" t="s">
        <v>434</v>
      </c>
      <c r="L307" s="61" t="s">
        <v>435</v>
      </c>
      <c r="M307" s="42"/>
      <c r="N307" s="46" t="e">
        <f t="shared" si="14"/>
        <v>#DIV/0!</v>
      </c>
      <c r="O307" s="46" t="str">
        <f t="shared" si="15"/>
        <v/>
      </c>
      <c r="P307" s="46">
        <f t="shared" si="16"/>
        <v>1</v>
      </c>
      <c r="Q307" s="46"/>
      <c r="R307" s="45"/>
      <c r="S307" s="45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</row>
    <row r="308" spans="1:31" ht="14.25">
      <c r="A308" s="67" t="s">
        <v>565</v>
      </c>
      <c r="B308" s="68" t="s">
        <v>612</v>
      </c>
      <c r="C308" s="67" t="s">
        <v>439</v>
      </c>
      <c r="D308" s="75" t="n">
        <v>55.0</v>
      </c>
      <c r="E308" s="76" t="s">
        <v>0</v>
      </c>
      <c r="F308" s="57" t="str">
        <f>IFERROR(VLOOKUP(C308,$C$9:H307,4,FALSE),"")</f>
        <v/>
      </c>
      <c r="G308" s="61" t="s">
        <v>350</v>
      </c>
      <c r="H308" s="61" t="s">
        <v>404</v>
      </c>
      <c r="I308" s="61" t="s">
        <v>433</v>
      </c>
      <c r="J308" s="61" t="n">
        <v>55.0</v>
      </c>
      <c r="K308" s="61" t="s">
        <v>434</v>
      </c>
      <c r="L308" s="61" t="s">
        <v>435</v>
      </c>
      <c r="M308" s="42"/>
      <c r="N308" s="46" t="e">
        <f t="shared" si="14"/>
        <v>#DIV/0!</v>
      </c>
      <c r="O308" s="46" t="str">
        <f t="shared" si="15"/>
        <v/>
      </c>
      <c r="P308" s="46">
        <f t="shared" si="16"/>
        <v>1</v>
      </c>
      <c r="Q308" s="46"/>
      <c r="R308" s="45"/>
      <c r="S308" s="45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</row>
    <row r="309" spans="1:31" ht="14.25">
      <c r="A309" s="67" t="s">
        <v>565</v>
      </c>
      <c r="B309" s="68" t="s">
        <v>612</v>
      </c>
      <c r="C309" s="67" t="s">
        <v>613</v>
      </c>
      <c r="D309" s="75" t="n">
        <v>158.0</v>
      </c>
      <c r="E309" s="76" t="s">
        <v>0</v>
      </c>
      <c r="F309" s="57" t="str">
        <f>IFERROR(VLOOKUP(C309,$C$9:H308,4,FALSE),"")</f>
        <v/>
      </c>
      <c r="G309" s="61" t="str">
        <f>IFERROR(VLOOKUP(C309,$C$9:G308,5,FALSE),"")</f>
        <v/>
      </c>
      <c r="H309" s="61" t="str">
        <f>IFERROR(VLOOKUP(C309,$C$9:H308,6,FALSE),"")</f>
        <v/>
      </c>
      <c r="I309" s="61" t="s">
        <v>433</v>
      </c>
      <c r="J309" s="61" t="n">
        <v>158.0</v>
      </c>
      <c r="K309" s="61" t="s">
        <v>434</v>
      </c>
      <c r="L309" s="61" t="s">
        <v>435</v>
      </c>
      <c r="M309" s="42"/>
      <c r="N309" s="46" t="e">
        <f t="shared" si="14"/>
        <v>#DIV/0!</v>
      </c>
      <c r="O309" s="46" t="str">
        <f t="shared" si="15"/>
        <v/>
      </c>
      <c r="P309" s="46">
        <f t="shared" si="16"/>
        <v>1</v>
      </c>
      <c r="Q309" s="46"/>
      <c r="R309" s="45"/>
      <c r="S309" s="45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</row>
    <row r="310" spans="1:31" ht="14.25">
      <c r="A310" s="67" t="s">
        <v>580</v>
      </c>
      <c r="B310" s="78" t="s">
        <v>612</v>
      </c>
      <c r="C310" s="77" t="s">
        <v>516</v>
      </c>
      <c r="D310" s="75" t="n">
        <v>49.9</v>
      </c>
      <c r="E310" s="76" t="s">
        <v>0</v>
      </c>
      <c r="F310" s="57" t="str">
        <f>IFERROR(VLOOKUP(C310,$C$9:H309,4,FALSE),"")</f>
        <v/>
      </c>
      <c r="G310" s="61" t="str">
        <f>IFERROR(VLOOKUP(C310,$C$9:G309,5,FALSE),"")</f>
        <v/>
      </c>
      <c r="H310" s="61" t="str">
        <f>IFERROR(VLOOKUP(C310,$C$9:H309,6,FALSE),"")</f>
        <v/>
      </c>
      <c r="I310" s="61" t="s">
        <v>464</v>
      </c>
      <c r="J310" s="61" t="n">
        <v>49.9</v>
      </c>
      <c r="K310" s="61" t="s">
        <v>434</v>
      </c>
      <c r="L310" s="61" t="s">
        <v>435</v>
      </c>
      <c r="M310" s="42"/>
      <c r="N310" s="46" t="e">
        <f t="shared" si="14"/>
        <v>#DIV/0!</v>
      </c>
      <c r="O310" s="46" t="str">
        <f t="shared" si="15"/>
        <v/>
      </c>
      <c r="P310" s="46">
        <f t="shared" si="16"/>
        <v>1</v>
      </c>
      <c r="Q310" s="46"/>
      <c r="R310" s="45"/>
      <c r="S310" s="45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</row>
    <row r="311" spans="1:31" ht="14.25">
      <c r="A311" s="67" t="s">
        <v>576</v>
      </c>
      <c r="B311" s="68" t="s">
        <v>612</v>
      </c>
      <c r="C311" s="67" t="s">
        <v>526</v>
      </c>
      <c r="D311" s="75" t="n">
        <v>156.95</v>
      </c>
      <c r="E311" s="76" t="s">
        <v>0</v>
      </c>
      <c r="F311" s="57" t="str">
        <f>IFERROR(VLOOKUP(C311,$C$9:H310,4,FALSE),"")</f>
        <v/>
      </c>
      <c r="G311" s="61" t="str">
        <f>IFERROR(VLOOKUP(C311,$C$9:G310,5,FALSE),"")</f>
        <v/>
      </c>
      <c r="H311" s="61" t="str">
        <f>IFERROR(VLOOKUP(C311,$C$9:H310,6,FALSE),"")</f>
        <v/>
      </c>
      <c r="I311" s="61" t="s">
        <v>433</v>
      </c>
      <c r="J311" s="61" t="n">
        <v>156.95</v>
      </c>
      <c r="K311" s="61" t="s">
        <v>434</v>
      </c>
      <c r="L311" s="61" t="s">
        <v>435</v>
      </c>
      <c r="M311" s="42"/>
      <c r="N311" s="46" t="e">
        <f t="shared" si="14"/>
        <v>#DIV/0!</v>
      </c>
      <c r="O311" s="46" t="str">
        <f t="shared" si="15"/>
        <v/>
      </c>
      <c r="P311" s="46">
        <f t="shared" si="16"/>
        <v>1</v>
      </c>
      <c r="Q311" s="46"/>
      <c r="R311" s="45"/>
      <c r="S311" s="45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</row>
    <row r="312" spans="1:31" ht="14.25">
      <c r="A312" s="67" t="s">
        <v>567</v>
      </c>
      <c r="B312" s="68" t="s">
        <v>612</v>
      </c>
      <c r="C312" s="67" t="s">
        <v>590</v>
      </c>
      <c r="D312" s="75" t="n">
        <v>100.0</v>
      </c>
      <c r="E312" s="76" t="s">
        <v>1</v>
      </c>
      <c r="F312" s="57" t="str">
        <f>IFERROR(VLOOKUP(C312,$C$9:H311,4,FALSE),"")</f>
        <v/>
      </c>
      <c r="G312" s="61" t="str">
        <f>IFERROR(VLOOKUP(C312,$C$9:G311,5,FALSE),"")</f>
        <v/>
      </c>
      <c r="H312" s="61" t="str">
        <f>IFERROR(VLOOKUP(C312,$C$9:H311,6,FALSE),"")</f>
        <v/>
      </c>
      <c r="I312" s="61" t="s">
        <v>614</v>
      </c>
      <c r="J312" s="61" t="n">
        <v>0.0</v>
      </c>
      <c r="K312" s="61"/>
      <c r="L312" s="61" t="s">
        <v>445</v>
      </c>
      <c r="M312" s="42"/>
      <c r="N312" s="46" t="e">
        <f t="shared" si="14"/>
        <v>#DIV/0!</v>
      </c>
      <c r="O312" s="46" t="str">
        <f t="shared" si="15"/>
        <v/>
      </c>
      <c r="P312" s="46">
        <f t="shared" si="16"/>
        <v>1</v>
      </c>
      <c r="Q312" s="46"/>
      <c r="R312" s="45"/>
      <c r="S312" s="45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</row>
    <row r="313" spans="1:31" ht="14.25">
      <c r="A313" s="67" t="s">
        <v>565</v>
      </c>
      <c r="B313" s="68" t="s">
        <v>615</v>
      </c>
      <c r="C313" s="67" t="s">
        <v>525</v>
      </c>
      <c r="D313" s="75" t="n">
        <v>24.8</v>
      </c>
      <c r="E313" s="76" t="s">
        <v>0</v>
      </c>
      <c r="F313" s="57" t="str">
        <f>IFERROR(VLOOKUP(C313,$C$9:H312,4,FALSE),"")</f>
        <v/>
      </c>
      <c r="G313" s="61" t="s">
        <v>352</v>
      </c>
      <c r="H313" s="61" t="s">
        <v>293</v>
      </c>
      <c r="I313" s="61" t="s">
        <v>433</v>
      </c>
      <c r="J313" s="61" t="n">
        <v>24.8</v>
      </c>
      <c r="K313" s="61" t="s">
        <v>434</v>
      </c>
      <c r="L313" s="61" t="s">
        <v>435</v>
      </c>
      <c r="M313" s="42"/>
      <c r="N313" s="46" t="e">
        <f t="shared" si="14"/>
        <v>#DIV/0!</v>
      </c>
      <c r="O313" s="46" t="str">
        <f t="shared" si="15"/>
        <v/>
      </c>
      <c r="P313" s="46">
        <f t="shared" si="16"/>
        <v>1</v>
      </c>
      <c r="Q313" s="46"/>
      <c r="R313" s="45"/>
      <c r="S313" s="45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</row>
    <row r="314" spans="1:31" ht="14.25">
      <c r="A314" s="67" t="s">
        <v>565</v>
      </c>
      <c r="B314" s="78" t="s">
        <v>615</v>
      </c>
      <c r="C314" s="77" t="s">
        <v>589</v>
      </c>
      <c r="D314" s="75" t="n">
        <v>9.8</v>
      </c>
      <c r="E314" s="76" t="s">
        <v>0</v>
      </c>
      <c r="F314" s="57" t="str">
        <f>IFERROR(VLOOKUP(C314,$C$9:H313,4,FALSE),"")</f>
        <v/>
      </c>
      <c r="G314" s="61" t="s">
        <v>350</v>
      </c>
      <c r="H314" s="61" t="s">
        <v>404</v>
      </c>
      <c r="I314" s="61" t="s">
        <v>433</v>
      </c>
      <c r="J314" s="61" t="n">
        <v>9.8</v>
      </c>
      <c r="K314" s="61" t="s">
        <v>434</v>
      </c>
      <c r="L314" s="61" t="s">
        <v>435</v>
      </c>
      <c r="M314" s="42"/>
      <c r="N314" s="46" t="e">
        <f t="shared" si="14"/>
        <v>#DIV/0!</v>
      </c>
      <c r="O314" s="46" t="str">
        <f t="shared" si="15"/>
        <v/>
      </c>
      <c r="P314" s="46">
        <f t="shared" si="16"/>
        <v>1</v>
      </c>
      <c r="Q314" s="46"/>
      <c r="R314" s="45"/>
      <c r="S314" s="45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</row>
    <row r="315" spans="1:31" ht="14.25">
      <c r="A315" s="67" t="s">
        <v>565</v>
      </c>
      <c r="B315" s="68" t="s">
        <v>615</v>
      </c>
      <c r="C315" s="67" t="s">
        <v>616</v>
      </c>
      <c r="D315" s="75" t="n">
        <v>40.0</v>
      </c>
      <c r="E315" s="76" t="s">
        <v>0</v>
      </c>
      <c r="F315" s="57" t="str">
        <f>IFERROR(VLOOKUP(C315,$C$9:H314,4,FALSE),"")</f>
        <v/>
      </c>
      <c r="G315" s="61" t="str">
        <f>IFERROR(VLOOKUP(C315,$C$9:G314,5,FALSE),"")</f>
        <v/>
      </c>
      <c r="H315" s="61" t="str">
        <f>IFERROR(VLOOKUP(C315,$C$9:H314,6,FALSE),"")</f>
        <v/>
      </c>
      <c r="I315" s="61" t="s">
        <v>433</v>
      </c>
      <c r="J315" s="61" t="n">
        <v>40.0</v>
      </c>
      <c r="K315" s="61" t="s">
        <v>434</v>
      </c>
      <c r="L315" s="61" t="s">
        <v>435</v>
      </c>
      <c r="M315" s="42"/>
      <c r="N315" s="46" t="e">
        <f t="shared" si="14"/>
        <v>#DIV/0!</v>
      </c>
      <c r="O315" s="46" t="str">
        <f t="shared" si="15"/>
        <v/>
      </c>
      <c r="P315" s="46">
        <f t="shared" si="16"/>
        <v>1</v>
      </c>
      <c r="Q315" s="46"/>
      <c r="R315" s="45"/>
      <c r="S315" s="45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</row>
    <row r="316" spans="1:31" ht="14.25">
      <c r="A316" s="67" t="s">
        <v>565</v>
      </c>
      <c r="B316" s="78" t="s">
        <v>615</v>
      </c>
      <c r="C316" s="77" t="s">
        <v>617</v>
      </c>
      <c r="D316" s="75" t="n">
        <v>20.0</v>
      </c>
      <c r="E316" s="76" t="s">
        <v>0</v>
      </c>
      <c r="F316" s="57" t="str">
        <f>IFERROR(VLOOKUP(C316,$C$9:H315,4,FALSE),"")</f>
        <v/>
      </c>
      <c r="G316" s="61" t="str">
        <f>IFERROR(VLOOKUP(C316,$C$9:G315,5,FALSE),"")</f>
        <v/>
      </c>
      <c r="H316" s="61" t="str">
        <f>IFERROR(VLOOKUP(C316,$C$9:H315,6,FALSE),"")</f>
        <v/>
      </c>
      <c r="I316" s="61" t="s">
        <v>433</v>
      </c>
      <c r="J316" s="61" t="n">
        <v>20.0</v>
      </c>
      <c r="K316" s="61" t="s">
        <v>434</v>
      </c>
      <c r="L316" s="61" t="s">
        <v>435</v>
      </c>
      <c r="M316" s="42"/>
      <c r="N316" s="46" t="e">
        <f t="shared" si="14"/>
        <v>#DIV/0!</v>
      </c>
      <c r="O316" s="46" t="str">
        <f t="shared" si="15"/>
        <v/>
      </c>
      <c r="P316" s="46">
        <f t="shared" si="16"/>
        <v>1</v>
      </c>
      <c r="Q316" s="46"/>
      <c r="R316" s="45"/>
      <c r="S316" s="45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</row>
    <row r="317" spans="1:31" ht="14.25">
      <c r="A317" s="67" t="s">
        <v>565</v>
      </c>
      <c r="B317" s="68" t="s">
        <v>615</v>
      </c>
      <c r="C317" s="67" t="s">
        <v>618</v>
      </c>
      <c r="D317" s="75" t="n">
        <v>18.0</v>
      </c>
      <c r="E317" s="76" t="s">
        <v>0</v>
      </c>
      <c r="F317" s="57" t="str">
        <f>IFERROR(VLOOKUP(C317,$C$9:H316,4,FALSE),"")</f>
        <v/>
      </c>
      <c r="G317" s="61" t="str">
        <f>IFERROR(VLOOKUP(C317,$C$9:G316,5,FALSE),"")</f>
        <v/>
      </c>
      <c r="H317" s="61" t="str">
        <f>IFERROR(VLOOKUP(C317,$C$9:H316,6,FALSE),"")</f>
        <v/>
      </c>
      <c r="I317" s="61" t="s">
        <v>433</v>
      </c>
      <c r="J317" s="61" t="n">
        <v>18.0</v>
      </c>
      <c r="K317" s="61" t="s">
        <v>434</v>
      </c>
      <c r="L317" s="61" t="s">
        <v>435</v>
      </c>
      <c r="M317" s="42"/>
      <c r="N317" s="46" t="e">
        <f t="shared" si="14"/>
        <v>#DIV/0!</v>
      </c>
      <c r="O317" s="46" t="str">
        <f t="shared" si="15"/>
        <v/>
      </c>
      <c r="P317" s="46">
        <f t="shared" si="16"/>
        <v>1</v>
      </c>
      <c r="Q317" s="46"/>
      <c r="R317" s="45"/>
      <c r="S317" s="45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</row>
    <row r="318" spans="1:31" ht="14.25">
      <c r="A318" s="67" t="s">
        <v>565</v>
      </c>
      <c r="B318" s="68" t="s">
        <v>615</v>
      </c>
      <c r="C318" s="67" t="s">
        <v>432</v>
      </c>
      <c r="D318" s="75" t="n">
        <v>22.0</v>
      </c>
      <c r="E318" s="76" t="s">
        <v>0</v>
      </c>
      <c r="F318" s="57" t="str">
        <f>IFERROR(VLOOKUP(C318,$C$9:H317,4,FALSE),"")</f>
        <v/>
      </c>
      <c r="G318" s="61" t="s">
        <v>350</v>
      </c>
      <c r="H318" s="61" t="s">
        <v>404</v>
      </c>
      <c r="I318" s="61" t="s">
        <v>433</v>
      </c>
      <c r="J318" s="61" t="n">
        <v>22.0</v>
      </c>
      <c r="K318" s="61" t="s">
        <v>434</v>
      </c>
      <c r="L318" s="61" t="s">
        <v>435</v>
      </c>
      <c r="M318" s="42"/>
      <c r="N318" s="46" t="e">
        <f t="shared" si="14"/>
        <v>#DIV/0!</v>
      </c>
      <c r="O318" s="46" t="str">
        <f t="shared" si="15"/>
        <v/>
      </c>
      <c r="P318" s="46">
        <f t="shared" si="16"/>
        <v>1</v>
      </c>
      <c r="Q318" s="46"/>
      <c r="R318" s="45"/>
      <c r="S318" s="45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</row>
    <row r="319" spans="1:31" ht="14.25">
      <c r="A319" s="67" t="s">
        <v>565</v>
      </c>
      <c r="B319" s="68" t="s">
        <v>615</v>
      </c>
      <c r="C319" s="67" t="s">
        <v>619</v>
      </c>
      <c r="D319" s="75" t="n">
        <v>48.25</v>
      </c>
      <c r="E319" s="76" t="s">
        <v>0</v>
      </c>
      <c r="F319" s="57" t="str">
        <f>IFERROR(VLOOKUP(C319,$C$9:H318,4,FALSE),"")</f>
        <v/>
      </c>
      <c r="G319" s="61" t="str">
        <f>IFERROR(VLOOKUP(C319,$C$9:G318,5,FALSE),"")</f>
        <v/>
      </c>
      <c r="H319" s="61" t="str">
        <f>IFERROR(VLOOKUP(C319,$C$9:H318,6,FALSE),"")</f>
        <v/>
      </c>
      <c r="I319" s="61" t="s">
        <v>433</v>
      </c>
      <c r="J319" s="61" t="n">
        <v>50.0</v>
      </c>
      <c r="K319" s="61" t="s">
        <v>434</v>
      </c>
      <c r="L319" s="61" t="s">
        <v>435</v>
      </c>
      <c r="M319" s="42"/>
      <c r="N319" s="46" t="e">
        <f t="shared" si="14"/>
        <v>#DIV/0!</v>
      </c>
      <c r="O319" s="46" t="str">
        <f t="shared" si="15"/>
        <v/>
      </c>
      <c r="P319" s="46">
        <f t="shared" si="16"/>
        <v>1</v>
      </c>
      <c r="Q319" s="46"/>
      <c r="R319" s="45"/>
      <c r="S319" s="45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</row>
    <row r="320" spans="1:31" ht="14.25">
      <c r="A320" s="67" t="s">
        <v>565</v>
      </c>
      <c r="B320" s="71" t="s">
        <v>615</v>
      </c>
      <c r="C320" s="67" t="s">
        <v>441</v>
      </c>
      <c r="D320" s="75" t="n">
        <v>15.0</v>
      </c>
      <c r="E320" s="76" t="s">
        <v>0</v>
      </c>
      <c r="F320" s="57" t="str">
        <f>IFERROR(VLOOKUP(C320,$C$9:H319,4,FALSE),"")</f>
        <v/>
      </c>
      <c r="G320" s="61" t="str">
        <f>IFERROR(VLOOKUP(C320,$C$9:G319,5,FALSE),"")</f>
        <v/>
      </c>
      <c r="H320" s="61" t="str">
        <f>IFERROR(VLOOKUP(C320,$C$9:H319,6,FALSE),"")</f>
        <v/>
      </c>
      <c r="I320" s="61" t="s">
        <v>433</v>
      </c>
      <c r="J320" s="61" t="n">
        <v>15.0</v>
      </c>
      <c r="K320" s="61" t="s">
        <v>434</v>
      </c>
      <c r="L320" s="61" t="s">
        <v>435</v>
      </c>
      <c r="M320" s="42"/>
      <c r="N320" s="46" t="e">
        <f t="shared" si="14"/>
        <v>#DIV/0!</v>
      </c>
      <c r="O320" s="46" t="str">
        <f t="shared" si="15"/>
        <v/>
      </c>
      <c r="P320" s="46">
        <f t="shared" si="16"/>
        <v>1</v>
      </c>
      <c r="Q320" s="46"/>
      <c r="R320" s="45"/>
      <c r="S320" s="45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</row>
    <row r="321" spans="1:31" ht="14.25">
      <c r="A321" s="67" t="s">
        <v>567</v>
      </c>
      <c r="B321" s="68" t="s">
        <v>615</v>
      </c>
      <c r="C321" s="67" t="s">
        <v>452</v>
      </c>
      <c r="D321" s="75" t="n">
        <v>49.9</v>
      </c>
      <c r="E321" s="76" t="s">
        <v>0</v>
      </c>
      <c r="F321" s="57" t="str">
        <f>IFERROR(VLOOKUP(C321,$C$9:H320,4,FALSE),"")</f>
        <v/>
      </c>
      <c r="G321" s="61" t="s">
        <v>414</v>
      </c>
      <c r="H321" s="61" t="s">
        <v>414</v>
      </c>
      <c r="I321" s="61"/>
      <c r="J321" s="61" t="n">
        <v>0.0</v>
      </c>
      <c r="K321" s="61"/>
      <c r="L321" s="61" t="s">
        <v>445</v>
      </c>
      <c r="M321" s="42"/>
      <c r="N321" s="46" t="e">
        <f t="shared" si="14"/>
        <v>#DIV/0!</v>
      </c>
      <c r="O321" s="46" t="str">
        <f t="shared" si="15"/>
        <v/>
      </c>
      <c r="P321" s="46">
        <f t="shared" si="16"/>
        <v>1</v>
      </c>
      <c r="Q321" s="46"/>
      <c r="R321" s="45"/>
      <c r="S321" s="45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</row>
    <row r="322" spans="1:31" ht="14.25">
      <c r="A322" s="67" t="s">
        <v>565</v>
      </c>
      <c r="B322" s="68" t="s">
        <v>620</v>
      </c>
      <c r="C322" s="67" t="s">
        <v>621</v>
      </c>
      <c r="D322" s="75" t="n">
        <v>59.6</v>
      </c>
      <c r="E322" s="76" t="s">
        <v>0</v>
      </c>
      <c r="F322" s="57" t="str">
        <f>IFERROR(VLOOKUP(C322,$C$9:H321,4,FALSE),"")</f>
        <v/>
      </c>
      <c r="G322" s="61" t="s">
        <v>345</v>
      </c>
      <c r="H322" s="61" t="s">
        <v>18</v>
      </c>
      <c r="I322" s="61" t="s">
        <v>433</v>
      </c>
      <c r="J322" s="61" t="n">
        <v>59.6</v>
      </c>
      <c r="K322" s="61" t="s">
        <v>434</v>
      </c>
      <c r="L322" s="61" t="s">
        <v>435</v>
      </c>
      <c r="M322" s="42"/>
      <c r="N322" s="46" t="e">
        <f t="shared" si="14"/>
        <v>#DIV/0!</v>
      </c>
      <c r="O322" s="46" t="str">
        <f t="shared" si="15"/>
        <v/>
      </c>
      <c r="P322" s="46">
        <f t="shared" si="16"/>
        <v>1</v>
      </c>
      <c r="Q322" s="46"/>
      <c r="R322" s="45"/>
      <c r="S322" s="45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</row>
    <row r="323" spans="1:31" ht="14.25">
      <c r="A323" s="67" t="s">
        <v>565</v>
      </c>
      <c r="B323" s="68" t="s">
        <v>620</v>
      </c>
      <c r="C323" s="67" t="s">
        <v>622</v>
      </c>
      <c r="D323" s="75" t="n">
        <v>45.0</v>
      </c>
      <c r="E323" s="76" t="s">
        <v>0</v>
      </c>
      <c r="F323" s="57" t="str">
        <f>IFERROR(VLOOKUP(C323,$C$9:H322,4,FALSE),"")</f>
        <v/>
      </c>
      <c r="G323" s="61" t="str">
        <f>IFERROR(VLOOKUP(C323,$C$9:G322,5,FALSE),"")</f>
        <v/>
      </c>
      <c r="H323" s="61" t="str">
        <f>IFERROR(VLOOKUP(C323,$C$9:H322,6,FALSE),"")</f>
        <v/>
      </c>
      <c r="I323" s="61" t="s">
        <v>433</v>
      </c>
      <c r="J323" s="61" t="n">
        <v>45.0</v>
      </c>
      <c r="K323" s="61" t="s">
        <v>434</v>
      </c>
      <c r="L323" s="61" t="s">
        <v>435</v>
      </c>
      <c r="M323" s="42"/>
      <c r="N323" s="46" t="e">
        <f t="shared" si="14"/>
        <v>#DIV/0!</v>
      </c>
      <c r="O323" s="46" t="str">
        <f t="shared" si="15"/>
        <v/>
      </c>
      <c r="P323" s="46">
        <f t="shared" si="16"/>
        <v>1</v>
      </c>
      <c r="Q323" s="46"/>
      <c r="R323" s="45"/>
      <c r="S323" s="45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</row>
    <row r="324" spans="1:31" ht="14.25">
      <c r="A324" s="67" t="s">
        <v>565</v>
      </c>
      <c r="B324" s="78" t="s">
        <v>620</v>
      </c>
      <c r="C324" s="77" t="s">
        <v>623</v>
      </c>
      <c r="D324" s="75" t="n">
        <v>25.0</v>
      </c>
      <c r="E324" s="76" t="s">
        <v>0</v>
      </c>
      <c r="F324" s="57" t="str">
        <f>IFERROR(VLOOKUP(C324,$C$9:H323,4,FALSE),"")</f>
        <v/>
      </c>
      <c r="G324" s="61" t="s">
        <v>345</v>
      </c>
      <c r="H324" s="61" t="s">
        <v>278</v>
      </c>
      <c r="I324" s="61" t="s">
        <v>433</v>
      </c>
      <c r="J324" s="61" t="n">
        <v>25.0</v>
      </c>
      <c r="K324" s="61" t="s">
        <v>434</v>
      </c>
      <c r="L324" s="61" t="s">
        <v>435</v>
      </c>
      <c r="M324" s="42"/>
      <c r="N324" s="46" t="e">
        <f t="shared" si="14"/>
        <v>#DIV/0!</v>
      </c>
      <c r="O324" s="46" t="str">
        <f t="shared" si="15"/>
        <v/>
      </c>
      <c r="P324" s="46">
        <f t="shared" si="16"/>
        <v>1</v>
      </c>
      <c r="Q324" s="46"/>
      <c r="R324" s="45"/>
      <c r="S324" s="45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</row>
    <row r="325" spans="1:31" ht="14.25">
      <c r="A325" s="67" t="s">
        <v>565</v>
      </c>
      <c r="B325" s="68" t="s">
        <v>620</v>
      </c>
      <c r="C325" s="67" t="s">
        <v>439</v>
      </c>
      <c r="D325" s="75" t="n">
        <v>88.2</v>
      </c>
      <c r="E325" s="76" t="s">
        <v>0</v>
      </c>
      <c r="F325" s="57" t="str">
        <f>IFERROR(VLOOKUP(C325,$C$9:H324,4,FALSE),"")</f>
        <v/>
      </c>
      <c r="G325" s="61" t="s">
        <v>350</v>
      </c>
      <c r="H325" s="61" t="s">
        <v>404</v>
      </c>
      <c r="I325" s="61" t="s">
        <v>433</v>
      </c>
      <c r="J325" s="61" t="n">
        <v>88.2</v>
      </c>
      <c r="K325" s="61" t="s">
        <v>434</v>
      </c>
      <c r="L325" s="61" t="s">
        <v>435</v>
      </c>
      <c r="M325" s="42"/>
      <c r="N325" s="46" t="e">
        <f t="shared" si="14"/>
        <v>#DIV/0!</v>
      </c>
      <c r="O325" s="46" t="str">
        <f t="shared" si="15"/>
        <v/>
      </c>
      <c r="P325" s="46">
        <f t="shared" si="16"/>
        <v>1</v>
      </c>
      <c r="Q325" s="46"/>
      <c r="R325" s="45"/>
      <c r="S325" s="45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</row>
    <row r="326" spans="1:31" ht="14.25">
      <c r="A326" s="67" t="s">
        <v>565</v>
      </c>
      <c r="B326" s="68" t="s">
        <v>620</v>
      </c>
      <c r="C326" s="67" t="s">
        <v>439</v>
      </c>
      <c r="D326" s="75" t="n">
        <v>27.4</v>
      </c>
      <c r="E326" s="76" t="s">
        <v>0</v>
      </c>
      <c r="F326" s="57" t="str">
        <f>IFERROR(VLOOKUP(C326,$C$9:H325,4,FALSE),"")</f>
        <v/>
      </c>
      <c r="G326" s="61" t="s">
        <v>350</v>
      </c>
      <c r="H326" s="61" t="s">
        <v>404</v>
      </c>
      <c r="I326" s="61" t="s">
        <v>433</v>
      </c>
      <c r="J326" s="61" t="n">
        <v>27.4</v>
      </c>
      <c r="K326" s="61" t="s">
        <v>434</v>
      </c>
      <c r="L326" s="61" t="s">
        <v>435</v>
      </c>
      <c r="M326" s="42"/>
      <c r="N326" s="46" t="e">
        <f t="shared" si="14"/>
        <v>#DIV/0!</v>
      </c>
      <c r="O326" s="46" t="str">
        <f t="shared" si="15"/>
        <v/>
      </c>
      <c r="P326" s="46">
        <f t="shared" si="16"/>
        <v>1</v>
      </c>
      <c r="Q326" s="46"/>
      <c r="R326" s="45"/>
      <c r="S326" s="45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</row>
    <row r="327" spans="1:31" ht="14.25">
      <c r="A327" s="67" t="s">
        <v>565</v>
      </c>
      <c r="B327" s="68" t="s">
        <v>620</v>
      </c>
      <c r="C327" s="67" t="s">
        <v>439</v>
      </c>
      <c r="D327" s="75" t="n">
        <v>147.6</v>
      </c>
      <c r="E327" s="76" t="s">
        <v>0</v>
      </c>
      <c r="F327" s="57" t="str">
        <f>IFERROR(VLOOKUP(C327,$C$9:H326,4,FALSE),"")</f>
        <v/>
      </c>
      <c r="G327" s="61" t="s">
        <v>350</v>
      </c>
      <c r="H327" s="61" t="s">
        <v>404</v>
      </c>
      <c r="I327" s="61" t="s">
        <v>433</v>
      </c>
      <c r="J327" s="61" t="n">
        <v>147.6</v>
      </c>
      <c r="K327" s="61" t="s">
        <v>434</v>
      </c>
      <c r="L327" s="61" t="s">
        <v>435</v>
      </c>
      <c r="M327" s="42"/>
      <c r="N327" s="46" t="e">
        <f t="shared" si="14"/>
        <v>#DIV/0!</v>
      </c>
      <c r="O327" s="46" t="str">
        <f t="shared" si="15"/>
        <v/>
      </c>
      <c r="P327" s="46">
        <f t="shared" si="16"/>
        <v>1</v>
      </c>
      <c r="Q327" s="46"/>
      <c r="R327" s="45"/>
      <c r="S327" s="45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</row>
    <row r="328" spans="1:31" ht="14.25">
      <c r="A328" s="67" t="s">
        <v>580</v>
      </c>
      <c r="B328" s="68" t="s">
        <v>620</v>
      </c>
      <c r="C328" s="67" t="s">
        <v>523</v>
      </c>
      <c r="D328" s="75" t="n">
        <v>3.9</v>
      </c>
      <c r="E328" s="76" t="s">
        <v>0</v>
      </c>
      <c r="F328" s="57" t="str">
        <f>IFERROR(VLOOKUP(C328,$C$9:H327,4,FALSE),"")</f>
        <v/>
      </c>
      <c r="G328" s="61" t="s">
        <v>361</v>
      </c>
      <c r="H328" s="61" t="s">
        <v>331</v>
      </c>
      <c r="I328" s="61" t="s">
        <v>464</v>
      </c>
      <c r="J328" s="61" t="n">
        <v>3.9</v>
      </c>
      <c r="K328" s="61" t="s">
        <v>434</v>
      </c>
      <c r="L328" s="61" t="s">
        <v>435</v>
      </c>
      <c r="M328" s="42"/>
      <c r="N328" s="46" t="e">
        <f t="shared" si="14"/>
        <v>#DIV/0!</v>
      </c>
      <c r="O328" s="46" t="str">
        <f t="shared" si="15"/>
        <v/>
      </c>
      <c r="P328" s="46">
        <f t="shared" si="16"/>
        <v>1</v>
      </c>
      <c r="Q328" s="46"/>
      <c r="R328" s="45"/>
      <c r="S328" s="45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</row>
    <row r="329" spans="1:31" ht="14.25">
      <c r="A329" s="67" t="s">
        <v>567</v>
      </c>
      <c r="B329" s="68" t="s">
        <v>620</v>
      </c>
      <c r="C329" s="67" t="s">
        <v>452</v>
      </c>
      <c r="D329" s="75" t="n">
        <v>156.95</v>
      </c>
      <c r="E329" s="76" t="s">
        <v>0</v>
      </c>
      <c r="F329" s="57" t="str">
        <f>IFERROR(VLOOKUP(C329,$C$9:H328,4,FALSE),"")</f>
        <v/>
      </c>
      <c r="G329" s="61" t="s">
        <v>414</v>
      </c>
      <c r="H329" s="61" t="s">
        <v>414</v>
      </c>
      <c r="I329" s="61"/>
      <c r="J329" s="61" t="n">
        <v>0.0</v>
      </c>
      <c r="K329" s="61"/>
      <c r="L329" s="61" t="s">
        <v>445</v>
      </c>
      <c r="M329" s="42"/>
      <c r="N329" s="46" t="e">
        <f t="shared" si="14"/>
        <v>#DIV/0!</v>
      </c>
      <c r="O329" s="46" t="str">
        <f t="shared" si="15"/>
        <v/>
      </c>
      <c r="P329" s="46">
        <f t="shared" si="16"/>
        <v>1</v>
      </c>
      <c r="Q329" s="46"/>
      <c r="R329" s="45"/>
      <c r="S329" s="45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</row>
    <row r="330" spans="1:31" ht="14.25">
      <c r="A330" s="67" t="s">
        <v>567</v>
      </c>
      <c r="B330" s="68" t="s">
        <v>620</v>
      </c>
      <c r="C330" s="67" t="s">
        <v>5</v>
      </c>
      <c r="D330" s="75" t="n">
        <v>115.0</v>
      </c>
      <c r="E330" s="76" t="s">
        <v>1</v>
      </c>
      <c r="F330" s="57" t="str">
        <f>IFERROR(VLOOKUP(C330,$C$9:H329,4,FALSE),"")</f>
        <v/>
      </c>
      <c r="G330" s="61" t="s">
        <v>346</v>
      </c>
      <c r="H330" s="61" t="s">
        <v>5</v>
      </c>
      <c r="I330" s="61" t="s">
        <v>490</v>
      </c>
      <c r="J330" s="61" t="n">
        <v>0.0</v>
      </c>
      <c r="K330" s="61"/>
      <c r="L330" s="61" t="s">
        <v>445</v>
      </c>
      <c r="M330" s="42"/>
      <c r="N330" s="46" t="e">
        <f t="shared" ref="N330:N393" si="17">IF(OR(F330=$P$1,F330="",F330=0),D330/$B$2,IF(OR(F330=$P$2,F330=$P$3,F330=$P$4),D330/(O330*P330),D330/O330))</f>
        <v>#DIV/0!</v>
      </c>
      <c r="O330" s="46" t="str">
        <f t="shared" ref="O330:O393" si="18">IFERROR(VLOOKUP(F330,$P$1:$Q$4,2,0),F330)</f>
        <v/>
      </c>
      <c r="P330" s="46">
        <f t="shared" si="16"/>
        <v>1</v>
      </c>
      <c r="Q330" s="46"/>
      <c r="R330" s="45"/>
      <c r="S330" s="45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</row>
    <row r="331" spans="1:31" ht="14.25">
      <c r="A331" s="67" t="s">
        <v>565</v>
      </c>
      <c r="B331" s="71" t="s">
        <v>624</v>
      </c>
      <c r="C331" s="67" t="s">
        <v>442</v>
      </c>
      <c r="D331" s="75" t="n">
        <v>190.0</v>
      </c>
      <c r="E331" s="76" t="s">
        <v>0</v>
      </c>
      <c r="F331" s="57" t="str">
        <f>IFERROR(VLOOKUP(C331,$C$9:H330,4,FALSE),"")</f>
        <v/>
      </c>
      <c r="G331" s="61" t="str">
        <f>IFERROR(VLOOKUP(C331,$C$9:G330,5,FALSE),"")</f>
        <v/>
      </c>
      <c r="H331" s="61" t="str">
        <f>IFERROR(VLOOKUP(C331,$C$9:H330,6,FALSE),"")</f>
        <v/>
      </c>
      <c r="I331" s="61" t="s">
        <v>433</v>
      </c>
      <c r="J331" s="61" t="n">
        <v>190.0</v>
      </c>
      <c r="K331" s="61" t="s">
        <v>434</v>
      </c>
      <c r="L331" s="61" t="s">
        <v>435</v>
      </c>
      <c r="M331" s="42"/>
      <c r="N331" s="46" t="e">
        <f t="shared" si="17"/>
        <v>#DIV/0!</v>
      </c>
      <c r="O331" s="46" t="str">
        <f t="shared" si="18"/>
        <v/>
      </c>
      <c r="P331" s="46">
        <f t="shared" ref="P331:P394" si="19">IF(C331="",1,COUNTIFS($C$9:$C$1499,C331,$H$9:$H$1499,H331))</f>
        <v>1</v>
      </c>
      <c r="Q331" s="46"/>
      <c r="R331" s="45"/>
      <c r="S331" s="45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</row>
    <row r="332" spans="1:31" ht="14.25">
      <c r="A332" s="67" t="s">
        <v>565</v>
      </c>
      <c r="B332" s="71" t="s">
        <v>624</v>
      </c>
      <c r="C332" s="67" t="s">
        <v>439</v>
      </c>
      <c r="D332" s="75" t="n">
        <v>181.9</v>
      </c>
      <c r="E332" s="76" t="s">
        <v>0</v>
      </c>
      <c r="F332" s="57" t="str">
        <f>IFERROR(VLOOKUP(C332,$C$9:H331,4,FALSE),"")</f>
        <v/>
      </c>
      <c r="G332" s="61" t="s">
        <v>350</v>
      </c>
      <c r="H332" s="61" t="s">
        <v>404</v>
      </c>
      <c r="I332" s="61" t="s">
        <v>433</v>
      </c>
      <c r="J332" s="61" t="n">
        <v>181.9</v>
      </c>
      <c r="K332" s="61" t="s">
        <v>434</v>
      </c>
      <c r="L332" s="61" t="s">
        <v>435</v>
      </c>
      <c r="M332" s="42"/>
      <c r="N332" s="46" t="e">
        <f t="shared" si="17"/>
        <v>#DIV/0!</v>
      </c>
      <c r="O332" s="46" t="str">
        <f t="shared" si="18"/>
        <v/>
      </c>
      <c r="P332" s="46">
        <f t="shared" si="19"/>
        <v>1</v>
      </c>
      <c r="Q332" s="46"/>
      <c r="R332" s="45"/>
      <c r="S332" s="45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</row>
    <row r="333" spans="1:31" ht="14.25">
      <c r="A333" s="67" t="s">
        <v>580</v>
      </c>
      <c r="B333" s="78" t="s">
        <v>624</v>
      </c>
      <c r="C333" s="77" t="s">
        <v>625</v>
      </c>
      <c r="D333" s="75" t="n">
        <v>121.26</v>
      </c>
      <c r="E333" s="76" t="s">
        <v>0</v>
      </c>
      <c r="F333" s="57" t="str">
        <f>IFERROR(VLOOKUP(C333,$C$9:H332,4,FALSE),"")</f>
        <v/>
      </c>
      <c r="G333" s="61" t="str">
        <f>IFERROR(VLOOKUP(C333,$C$9:G332,5,FALSE),"")</f>
        <v/>
      </c>
      <c r="H333" s="61" t="str">
        <f>IFERROR(VLOOKUP(C333,$C$9:H332,6,FALSE),"")</f>
        <v/>
      </c>
      <c r="I333" s="61" t="s">
        <v>464</v>
      </c>
      <c r="J333" s="61" t="n">
        <v>121.26</v>
      </c>
      <c r="K333" s="61" t="s">
        <v>434</v>
      </c>
      <c r="L333" s="61" t="s">
        <v>435</v>
      </c>
      <c r="M333" s="42"/>
      <c r="N333" s="46" t="e">
        <f t="shared" si="17"/>
        <v>#DIV/0!</v>
      </c>
      <c r="O333" s="46" t="str">
        <f t="shared" si="18"/>
        <v/>
      </c>
      <c r="P333" s="46">
        <f t="shared" si="19"/>
        <v>1</v>
      </c>
      <c r="Q333" s="46"/>
      <c r="R333" s="45"/>
      <c r="S333" s="45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</row>
    <row r="334" spans="1:31" ht="14.25">
      <c r="A334" s="67" t="s">
        <v>565</v>
      </c>
      <c r="B334" s="78" t="s">
        <v>626</v>
      </c>
      <c r="C334" s="77" t="s">
        <v>585</v>
      </c>
      <c r="D334" s="75" t="n">
        <v>36.8</v>
      </c>
      <c r="E334" s="76" t="s">
        <v>0</v>
      </c>
      <c r="F334" s="57" t="str">
        <f>IFERROR(VLOOKUP(C334,$C$9:H333,4,FALSE),"")</f>
        <v/>
      </c>
      <c r="G334" s="61" t="s">
        <v>352</v>
      </c>
      <c r="H334" s="61" t="s">
        <v>293</v>
      </c>
      <c r="I334" s="61" t="s">
        <v>433</v>
      </c>
      <c r="J334" s="61" t="n">
        <v>36.8</v>
      </c>
      <c r="K334" s="61" t="s">
        <v>434</v>
      </c>
      <c r="L334" s="61" t="s">
        <v>435</v>
      </c>
      <c r="M334" s="42"/>
      <c r="N334" s="46" t="e">
        <f t="shared" si="17"/>
        <v>#DIV/0!</v>
      </c>
      <c r="O334" s="46" t="str">
        <f t="shared" si="18"/>
        <v/>
      </c>
      <c r="P334" s="46">
        <f t="shared" si="19"/>
        <v>1</v>
      </c>
      <c r="Q334" s="46"/>
      <c r="R334" s="45"/>
      <c r="S334" s="45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</row>
    <row r="335" spans="1:31" ht="14.25">
      <c r="A335" s="67" t="s">
        <v>565</v>
      </c>
      <c r="B335" s="71" t="s">
        <v>626</v>
      </c>
      <c r="C335" s="67" t="s">
        <v>460</v>
      </c>
      <c r="D335" s="75" t="n">
        <v>29.12</v>
      </c>
      <c r="E335" s="76" t="s">
        <v>0</v>
      </c>
      <c r="F335" s="57" t="str">
        <f>IFERROR(VLOOKUP(C335,$C$9:H334,4,FALSE),"")</f>
        <v/>
      </c>
      <c r="G335" s="61" t="str">
        <f>IFERROR(VLOOKUP(C335,$C$9:G334,5,FALSE),"")</f>
        <v/>
      </c>
      <c r="H335" s="61" t="str">
        <f>IFERROR(VLOOKUP(C335,$C$9:H334,6,FALSE),"")</f>
        <v/>
      </c>
      <c r="I335" s="61" t="s">
        <v>433</v>
      </c>
      <c r="J335" s="61" t="n">
        <v>29.12</v>
      </c>
      <c r="K335" s="61" t="s">
        <v>434</v>
      </c>
      <c r="L335" s="61" t="s">
        <v>435</v>
      </c>
      <c r="M335" s="42"/>
      <c r="N335" s="46" t="e">
        <f t="shared" si="17"/>
        <v>#DIV/0!</v>
      </c>
      <c r="O335" s="46" t="str">
        <f t="shared" si="18"/>
        <v/>
      </c>
      <c r="P335" s="46">
        <f t="shared" si="19"/>
        <v>1</v>
      </c>
      <c r="Q335" s="46"/>
      <c r="R335" s="45"/>
      <c r="S335" s="45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</row>
    <row r="336" spans="1:31" ht="14.25">
      <c r="A336" s="67" t="s">
        <v>565</v>
      </c>
      <c r="B336" s="71" t="s">
        <v>626</v>
      </c>
      <c r="C336" s="67" t="s">
        <v>627</v>
      </c>
      <c r="D336" s="75" t="n">
        <v>41.25</v>
      </c>
      <c r="E336" s="76" t="s">
        <v>0</v>
      </c>
      <c r="F336" s="57" t="str">
        <f>IFERROR(VLOOKUP(C336,$C$9:H335,4,FALSE),"")</f>
        <v/>
      </c>
      <c r="G336" s="61" t="str">
        <f>IFERROR(VLOOKUP(C336,$C$9:G335,5,FALSE),"")</f>
        <v/>
      </c>
      <c r="H336" s="61" t="str">
        <f>IFERROR(VLOOKUP(C336,$C$9:H335,6,FALSE),"")</f>
        <v/>
      </c>
      <c r="I336" s="61" t="s">
        <v>433</v>
      </c>
      <c r="J336" s="61" t="n">
        <v>41.25</v>
      </c>
      <c r="K336" s="61" t="s">
        <v>434</v>
      </c>
      <c r="L336" s="61" t="s">
        <v>435</v>
      </c>
      <c r="M336" s="42"/>
      <c r="N336" s="46" t="e">
        <f t="shared" si="17"/>
        <v>#DIV/0!</v>
      </c>
      <c r="O336" s="46" t="str">
        <f t="shared" si="18"/>
        <v/>
      </c>
      <c r="P336" s="46">
        <f t="shared" si="19"/>
        <v>1</v>
      </c>
      <c r="Q336" s="46"/>
      <c r="R336" s="45"/>
      <c r="S336" s="45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</row>
    <row r="337" spans="1:31" ht="14.25">
      <c r="A337" s="67" t="s">
        <v>565</v>
      </c>
      <c r="B337" s="68" t="s">
        <v>626</v>
      </c>
      <c r="C337" s="67" t="s">
        <v>627</v>
      </c>
      <c r="D337" s="75" t="n">
        <v>54.75</v>
      </c>
      <c r="E337" s="76" t="s">
        <v>0</v>
      </c>
      <c r="F337" s="57" t="str">
        <f>IFERROR(VLOOKUP(C337,$C$9:H336,4,FALSE),"")</f>
        <v/>
      </c>
      <c r="G337" s="61" t="str">
        <f>IFERROR(VLOOKUP(C337,$C$9:G336,5,FALSE),"")</f>
        <v/>
      </c>
      <c r="H337" s="61" t="str">
        <f>IFERROR(VLOOKUP(C337,$C$9:H336,6,FALSE),"")</f>
        <v/>
      </c>
      <c r="I337" s="61" t="s">
        <v>433</v>
      </c>
      <c r="J337" s="61" t="n">
        <v>54.75</v>
      </c>
      <c r="K337" s="61" t="s">
        <v>434</v>
      </c>
      <c r="L337" s="61" t="s">
        <v>435</v>
      </c>
      <c r="M337" s="42"/>
      <c r="N337" s="46" t="e">
        <f t="shared" si="17"/>
        <v>#DIV/0!</v>
      </c>
      <c r="O337" s="46" t="str">
        <f t="shared" si="18"/>
        <v/>
      </c>
      <c r="P337" s="46">
        <f t="shared" si="19"/>
        <v>1</v>
      </c>
      <c r="Q337" s="46"/>
      <c r="R337" s="45"/>
      <c r="S337" s="45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</row>
    <row r="338" spans="1:31" ht="14.25">
      <c r="A338" s="67" t="s">
        <v>565</v>
      </c>
      <c r="B338" s="68" t="s">
        <v>626</v>
      </c>
      <c r="C338" s="67" t="s">
        <v>574</v>
      </c>
      <c r="D338" s="75" t="n">
        <v>25.0</v>
      </c>
      <c r="E338" s="76" t="s">
        <v>0</v>
      </c>
      <c r="F338" s="57" t="str">
        <f>IFERROR(VLOOKUP(C338,$C$9:H337,4,FALSE),"")</f>
        <v/>
      </c>
      <c r="G338" s="61" t="str">
        <f>IFERROR(VLOOKUP(C338,$C$9:G337,5,FALSE),"")</f>
        <v/>
      </c>
      <c r="H338" s="61" t="str">
        <f>IFERROR(VLOOKUP(C338,$C$9:H337,6,FALSE),"")</f>
        <v/>
      </c>
      <c r="I338" s="61" t="s">
        <v>433</v>
      </c>
      <c r="J338" s="61" t="n">
        <v>25.0</v>
      </c>
      <c r="K338" s="61" t="s">
        <v>434</v>
      </c>
      <c r="L338" s="61" t="s">
        <v>435</v>
      </c>
      <c r="M338" s="42"/>
      <c r="N338" s="46" t="e">
        <f t="shared" si="17"/>
        <v>#DIV/0!</v>
      </c>
      <c r="O338" s="46" t="str">
        <f t="shared" si="18"/>
        <v/>
      </c>
      <c r="P338" s="46">
        <f t="shared" si="19"/>
        <v>1</v>
      </c>
      <c r="Q338" s="46"/>
      <c r="R338" s="45"/>
      <c r="S338" s="45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</row>
    <row r="339" spans="1:31" ht="14.25">
      <c r="A339" s="67" t="s">
        <v>565</v>
      </c>
      <c r="B339" s="68" t="s">
        <v>626</v>
      </c>
      <c r="C339" s="67" t="s">
        <v>439</v>
      </c>
      <c r="D339" s="75" t="n">
        <v>0.75</v>
      </c>
      <c r="E339" s="76" t="s">
        <v>0</v>
      </c>
      <c r="F339" s="57" t="str">
        <f>IFERROR(VLOOKUP(C339,$C$9:H338,4,FALSE),"")</f>
        <v/>
      </c>
      <c r="G339" s="61" t="s">
        <v>350</v>
      </c>
      <c r="H339" s="61" t="s">
        <v>404</v>
      </c>
      <c r="I339" s="61" t="s">
        <v>433</v>
      </c>
      <c r="J339" s="61" t="n">
        <v>0.75</v>
      </c>
      <c r="K339" s="61" t="s">
        <v>434</v>
      </c>
      <c r="L339" s="61" t="s">
        <v>435</v>
      </c>
      <c r="M339" s="42"/>
      <c r="N339" s="46" t="e">
        <f t="shared" si="17"/>
        <v>#DIV/0!</v>
      </c>
      <c r="O339" s="46" t="str">
        <f t="shared" si="18"/>
        <v/>
      </c>
      <c r="P339" s="46">
        <f t="shared" si="19"/>
        <v>1</v>
      </c>
      <c r="Q339" s="46"/>
      <c r="R339" s="45"/>
      <c r="S339" s="45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</row>
    <row r="340" spans="1:31" ht="14.25">
      <c r="A340" s="67" t="s">
        <v>565</v>
      </c>
      <c r="B340" s="68" t="s">
        <v>626</v>
      </c>
      <c r="C340" s="67" t="s">
        <v>439</v>
      </c>
      <c r="D340" s="75" t="n">
        <v>59.7</v>
      </c>
      <c r="E340" s="76" t="s">
        <v>0</v>
      </c>
      <c r="F340" s="57" t="str">
        <f>IFERROR(VLOOKUP(C340,$C$9:H339,4,FALSE),"")</f>
        <v/>
      </c>
      <c r="G340" s="61" t="s">
        <v>350</v>
      </c>
      <c r="H340" s="61" t="s">
        <v>404</v>
      </c>
      <c r="I340" s="61" t="s">
        <v>433</v>
      </c>
      <c r="J340" s="61" t="n">
        <v>59.7</v>
      </c>
      <c r="K340" s="61" t="s">
        <v>434</v>
      </c>
      <c r="L340" s="61" t="s">
        <v>435</v>
      </c>
      <c r="M340" s="42"/>
      <c r="N340" s="46" t="e">
        <f t="shared" si="17"/>
        <v>#DIV/0!</v>
      </c>
      <c r="O340" s="46" t="str">
        <f t="shared" si="18"/>
        <v/>
      </c>
      <c r="P340" s="46">
        <f t="shared" si="19"/>
        <v>1</v>
      </c>
      <c r="Q340" s="46"/>
      <c r="R340" s="45"/>
      <c r="S340" s="45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</row>
    <row r="341" spans="1:31" ht="14.25">
      <c r="A341" s="67" t="s">
        <v>565</v>
      </c>
      <c r="B341" s="78" t="s">
        <v>626</v>
      </c>
      <c r="C341" s="77" t="s">
        <v>586</v>
      </c>
      <c r="D341" s="75" t="n">
        <v>8.9</v>
      </c>
      <c r="E341" s="76" t="s">
        <v>0</v>
      </c>
      <c r="F341" s="57" t="str">
        <f>IFERROR(VLOOKUP(C341,$C$9:H340,4,FALSE),"")</f>
        <v/>
      </c>
      <c r="G341" s="61" t="s">
        <v>352</v>
      </c>
      <c r="H341" s="61" t="s">
        <v>17</v>
      </c>
      <c r="I341" s="61" t="s">
        <v>433</v>
      </c>
      <c r="J341" s="61" t="n">
        <v>8.9</v>
      </c>
      <c r="K341" s="61" t="s">
        <v>434</v>
      </c>
      <c r="L341" s="61" t="s">
        <v>435</v>
      </c>
      <c r="M341" s="42"/>
      <c r="N341" s="46" t="e">
        <f t="shared" si="17"/>
        <v>#DIV/0!</v>
      </c>
      <c r="O341" s="46" t="str">
        <f t="shared" si="18"/>
        <v/>
      </c>
      <c r="P341" s="46">
        <f t="shared" si="19"/>
        <v>1</v>
      </c>
      <c r="Q341" s="46"/>
      <c r="R341" s="45"/>
      <c r="S341" s="45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</row>
    <row r="342" spans="1:31" ht="14.25">
      <c r="A342" s="67" t="s">
        <v>565</v>
      </c>
      <c r="B342" s="78" t="s">
        <v>626</v>
      </c>
      <c r="C342" s="77" t="s">
        <v>586</v>
      </c>
      <c r="D342" s="75" t="n">
        <v>13.9</v>
      </c>
      <c r="E342" s="76" t="s">
        <v>0</v>
      </c>
      <c r="F342" s="57" t="str">
        <f>IFERROR(VLOOKUP(C342,$C$9:H341,4,FALSE),"")</f>
        <v/>
      </c>
      <c r="G342" s="61" t="s">
        <v>352</v>
      </c>
      <c r="H342" s="61" t="s">
        <v>17</v>
      </c>
      <c r="I342" s="61" t="s">
        <v>433</v>
      </c>
      <c r="J342" s="61" t="n">
        <v>13.9</v>
      </c>
      <c r="K342" s="61" t="s">
        <v>434</v>
      </c>
      <c r="L342" s="61" t="s">
        <v>435</v>
      </c>
      <c r="M342" s="42"/>
      <c r="N342" s="46" t="e">
        <f t="shared" si="17"/>
        <v>#DIV/0!</v>
      </c>
      <c r="O342" s="46" t="str">
        <f t="shared" si="18"/>
        <v/>
      </c>
      <c r="P342" s="46">
        <f t="shared" si="19"/>
        <v>1</v>
      </c>
      <c r="Q342" s="46"/>
      <c r="R342" s="45"/>
      <c r="S342" s="45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</row>
    <row r="343" spans="1:31" ht="14.25">
      <c r="A343" s="67" t="s">
        <v>567</v>
      </c>
      <c r="B343" s="68" t="s">
        <v>626</v>
      </c>
      <c r="C343" s="67" t="s">
        <v>452</v>
      </c>
      <c r="D343" s="75" t="n">
        <v>3.9</v>
      </c>
      <c r="E343" s="76" t="s">
        <v>0</v>
      </c>
      <c r="F343" s="57" t="str">
        <f>IFERROR(VLOOKUP(C343,$C$9:H342,4,FALSE),"")</f>
        <v/>
      </c>
      <c r="G343" s="61" t="s">
        <v>414</v>
      </c>
      <c r="H343" s="61" t="s">
        <v>414</v>
      </c>
      <c r="I343" s="61"/>
      <c r="J343" s="61" t="n">
        <v>0.0</v>
      </c>
      <c r="K343" s="61"/>
      <c r="L343" s="61" t="s">
        <v>445</v>
      </c>
      <c r="M343" s="42"/>
      <c r="N343" s="46" t="e">
        <f t="shared" si="17"/>
        <v>#DIV/0!</v>
      </c>
      <c r="O343" s="46" t="str">
        <f t="shared" si="18"/>
        <v/>
      </c>
      <c r="P343" s="46">
        <f t="shared" si="19"/>
        <v>1</v>
      </c>
      <c r="Q343" s="46"/>
      <c r="R343" s="45"/>
      <c r="S343" s="45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</row>
    <row r="344" spans="1:31" ht="14.25">
      <c r="A344" s="67" t="s">
        <v>567</v>
      </c>
      <c r="B344" s="68" t="s">
        <v>626</v>
      </c>
      <c r="C344" s="67" t="s">
        <v>465</v>
      </c>
      <c r="D344" s="75" t="n">
        <v>60.0</v>
      </c>
      <c r="E344" s="76" t="s">
        <v>1</v>
      </c>
      <c r="F344" s="57" t="str">
        <f>IFERROR(VLOOKUP(C344,$C$9:H343,4,FALSE),"")</f>
        <v/>
      </c>
      <c r="G344" s="61" t="str">
        <f>IFERROR(VLOOKUP(C344,$C$9:G343,5,FALSE),"")</f>
        <v/>
      </c>
      <c r="H344" s="61" t="str">
        <f>IFERROR(VLOOKUP(C344,$C$9:H343,6,FALSE),"")</f>
        <v/>
      </c>
      <c r="I344" s="61" t="s">
        <v>466</v>
      </c>
      <c r="J344" s="61" t="n">
        <v>0.0</v>
      </c>
      <c r="K344" s="61"/>
      <c r="L344" s="61" t="s">
        <v>445</v>
      </c>
      <c r="M344" s="42"/>
      <c r="N344" s="46" t="e">
        <f t="shared" si="17"/>
        <v>#DIV/0!</v>
      </c>
      <c r="O344" s="46" t="str">
        <f t="shared" si="18"/>
        <v/>
      </c>
      <c r="P344" s="46">
        <f t="shared" si="19"/>
        <v>1</v>
      </c>
      <c r="Q344" s="46"/>
      <c r="R344" s="45"/>
      <c r="S344" s="45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</row>
    <row r="345" spans="1:31" ht="14.25">
      <c r="A345" s="67" t="s">
        <v>565</v>
      </c>
      <c r="B345" s="68" t="s">
        <v>628</v>
      </c>
      <c r="C345" s="67" t="s">
        <v>456</v>
      </c>
      <c r="D345" s="75" t="n">
        <v>38.0</v>
      </c>
      <c r="E345" s="76" t="s">
        <v>0</v>
      </c>
      <c r="F345" s="57" t="str">
        <f>IFERROR(VLOOKUP(C345,$C$9:H344,4,FALSE),"")</f>
        <v/>
      </c>
      <c r="G345" s="61" t="str">
        <f>IFERROR(VLOOKUP(C345,$C$9:G344,5,FALSE),"")</f>
        <v/>
      </c>
      <c r="H345" s="61" t="str">
        <f>IFERROR(VLOOKUP(C345,$C$9:H344,6,FALSE),"")</f>
        <v/>
      </c>
      <c r="I345" s="61" t="s">
        <v>433</v>
      </c>
      <c r="J345" s="61" t="n">
        <v>38.0</v>
      </c>
      <c r="K345" s="61" t="s">
        <v>434</v>
      </c>
      <c r="L345" s="61" t="s">
        <v>435</v>
      </c>
      <c r="M345" s="42"/>
      <c r="N345" s="46" t="e">
        <f t="shared" si="17"/>
        <v>#DIV/0!</v>
      </c>
      <c r="O345" s="46" t="str">
        <f t="shared" si="18"/>
        <v/>
      </c>
      <c r="P345" s="46">
        <f t="shared" si="19"/>
        <v>1</v>
      </c>
      <c r="Q345" s="46"/>
      <c r="R345" s="45"/>
      <c r="S345" s="45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</row>
    <row r="346" spans="1:31" ht="14.25">
      <c r="A346" s="67" t="s">
        <v>565</v>
      </c>
      <c r="B346" s="68" t="s">
        <v>628</v>
      </c>
      <c r="C346" s="67" t="s">
        <v>629</v>
      </c>
      <c r="D346" s="75" t="n">
        <v>20.0</v>
      </c>
      <c r="E346" s="76" t="s">
        <v>0</v>
      </c>
      <c r="F346" s="57" t="str">
        <f>IFERROR(VLOOKUP(C346,$C$9:H345,4,FALSE),"")</f>
        <v/>
      </c>
      <c r="G346" s="61" t="str">
        <f>IFERROR(VLOOKUP(C346,$C$9:G345,5,FALSE),"")</f>
        <v/>
      </c>
      <c r="H346" s="61" t="str">
        <f>IFERROR(VLOOKUP(C346,$C$9:H345,6,FALSE),"")</f>
        <v/>
      </c>
      <c r="I346" s="61" t="s">
        <v>433</v>
      </c>
      <c r="J346" s="61" t="n">
        <v>20.0</v>
      </c>
      <c r="K346" s="61" t="s">
        <v>434</v>
      </c>
      <c r="L346" s="61" t="s">
        <v>435</v>
      </c>
      <c r="M346" s="42"/>
      <c r="N346" s="46" t="e">
        <f t="shared" si="17"/>
        <v>#DIV/0!</v>
      </c>
      <c r="O346" s="46" t="str">
        <f t="shared" si="18"/>
        <v/>
      </c>
      <c r="P346" s="46">
        <f t="shared" si="19"/>
        <v>1</v>
      </c>
      <c r="Q346" s="46"/>
      <c r="R346" s="45"/>
      <c r="S346" s="45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</row>
    <row r="347" spans="1:31" ht="14.25">
      <c r="A347" s="67" t="s">
        <v>565</v>
      </c>
      <c r="B347" s="68" t="s">
        <v>628</v>
      </c>
      <c r="C347" s="67" t="s">
        <v>630</v>
      </c>
      <c r="D347" s="75" t="n">
        <v>100.0</v>
      </c>
      <c r="E347" s="76" t="s">
        <v>0</v>
      </c>
      <c r="F347" s="57" t="str">
        <f>IFERROR(VLOOKUP(C347,$C$9:H346,4,FALSE),"")</f>
        <v/>
      </c>
      <c r="G347" s="61" t="s">
        <v>345</v>
      </c>
      <c r="H347" s="61" t="s">
        <v>325</v>
      </c>
      <c r="I347" s="61" t="s">
        <v>433</v>
      </c>
      <c r="J347" s="61" t="n">
        <v>100.0</v>
      </c>
      <c r="K347" s="61" t="s">
        <v>434</v>
      </c>
      <c r="L347" s="61" t="s">
        <v>435</v>
      </c>
      <c r="M347" s="42"/>
      <c r="N347" s="46" t="e">
        <f t="shared" si="17"/>
        <v>#DIV/0!</v>
      </c>
      <c r="O347" s="46" t="str">
        <f t="shared" si="18"/>
        <v/>
      </c>
      <c r="P347" s="46">
        <f t="shared" si="19"/>
        <v>1</v>
      </c>
      <c r="Q347" s="46"/>
      <c r="R347" s="45"/>
      <c r="S347" s="45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</row>
    <row r="348" spans="1:31" ht="14.25">
      <c r="A348" s="67" t="s">
        <v>565</v>
      </c>
      <c r="B348" s="68" t="s">
        <v>628</v>
      </c>
      <c r="C348" s="67" t="s">
        <v>631</v>
      </c>
      <c r="D348" s="75" t="n">
        <v>40.28</v>
      </c>
      <c r="E348" s="76" t="s">
        <v>0</v>
      </c>
      <c r="F348" s="57" t="str">
        <f>IFERROR(VLOOKUP(C348,$C$9:H347,4,FALSE),"")</f>
        <v/>
      </c>
      <c r="G348" s="61" t="str">
        <f>IFERROR(VLOOKUP(C348,$C$9:G347,5,FALSE),"")</f>
        <v/>
      </c>
      <c r="H348" s="61" t="str">
        <f>IFERROR(VLOOKUP(C348,$C$9:H347,6,FALSE),"")</f>
        <v/>
      </c>
      <c r="I348" s="61" t="s">
        <v>433</v>
      </c>
      <c r="J348" s="61" t="n">
        <v>40.28</v>
      </c>
      <c r="K348" s="61" t="s">
        <v>434</v>
      </c>
      <c r="L348" s="61" t="s">
        <v>435</v>
      </c>
      <c r="M348" s="42"/>
      <c r="N348" s="46" t="e">
        <f t="shared" si="17"/>
        <v>#DIV/0!</v>
      </c>
      <c r="O348" s="46" t="str">
        <f t="shared" si="18"/>
        <v/>
      </c>
      <c r="P348" s="46">
        <f t="shared" si="19"/>
        <v>1</v>
      </c>
      <c r="Q348" s="46"/>
      <c r="R348" s="45"/>
      <c r="S348" s="45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</row>
    <row r="349" spans="1:31" ht="14.25">
      <c r="A349" s="67" t="s">
        <v>565</v>
      </c>
      <c r="B349" s="68" t="s">
        <v>628</v>
      </c>
      <c r="C349" s="67" t="s">
        <v>432</v>
      </c>
      <c r="D349" s="75" t="n">
        <v>26.0</v>
      </c>
      <c r="E349" s="76" t="s">
        <v>0</v>
      </c>
      <c r="F349" s="57" t="str">
        <f>IFERROR(VLOOKUP(C349,$C$9:H348,4,FALSE),"")</f>
        <v/>
      </c>
      <c r="G349" s="61" t="s">
        <v>350</v>
      </c>
      <c r="H349" s="61" t="s">
        <v>404</v>
      </c>
      <c r="I349" s="61" t="s">
        <v>433</v>
      </c>
      <c r="J349" s="61" t="n">
        <v>26.0</v>
      </c>
      <c r="K349" s="61" t="s">
        <v>434</v>
      </c>
      <c r="L349" s="61" t="s">
        <v>435</v>
      </c>
      <c r="M349" s="42"/>
      <c r="N349" s="46" t="e">
        <f t="shared" si="17"/>
        <v>#DIV/0!</v>
      </c>
      <c r="O349" s="46" t="str">
        <f t="shared" si="18"/>
        <v/>
      </c>
      <c r="P349" s="46">
        <f t="shared" si="19"/>
        <v>1</v>
      </c>
      <c r="Q349" s="46"/>
      <c r="R349" s="45"/>
      <c r="S349" s="45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</row>
    <row r="350" spans="1:31" ht="14.25">
      <c r="A350" s="67" t="s">
        <v>565</v>
      </c>
      <c r="B350" s="68" t="s">
        <v>628</v>
      </c>
      <c r="C350" s="67" t="s">
        <v>441</v>
      </c>
      <c r="D350" s="75" t="n">
        <v>15.0</v>
      </c>
      <c r="E350" s="76" t="s">
        <v>0</v>
      </c>
      <c r="F350" s="57" t="str">
        <f>IFERROR(VLOOKUP(C350,$C$9:H349,4,FALSE),"")</f>
        <v/>
      </c>
      <c r="G350" s="61" t="str">
        <f>IFERROR(VLOOKUP(C350,$C$9:G349,5,FALSE),"")</f>
        <v/>
      </c>
      <c r="H350" s="61" t="str">
        <f>IFERROR(VLOOKUP(C350,$C$9:H349,6,FALSE),"")</f>
        <v/>
      </c>
      <c r="I350" s="61" t="s">
        <v>433</v>
      </c>
      <c r="J350" s="61" t="n">
        <v>15.0</v>
      </c>
      <c r="K350" s="61" t="s">
        <v>434</v>
      </c>
      <c r="L350" s="61" t="s">
        <v>435</v>
      </c>
      <c r="M350" s="42"/>
      <c r="N350" s="46" t="e">
        <f t="shared" si="17"/>
        <v>#DIV/0!</v>
      </c>
      <c r="O350" s="46" t="str">
        <f t="shared" si="18"/>
        <v/>
      </c>
      <c r="P350" s="46">
        <f t="shared" si="19"/>
        <v>1</v>
      </c>
      <c r="Q350" s="46"/>
      <c r="R350" s="45"/>
      <c r="S350" s="45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</row>
    <row r="351" spans="1:31" ht="14.25">
      <c r="A351" s="67" t="s">
        <v>565</v>
      </c>
      <c r="B351" s="68" t="s">
        <v>628</v>
      </c>
      <c r="C351" s="67" t="s">
        <v>439</v>
      </c>
      <c r="D351" s="75" t="n">
        <v>65.1</v>
      </c>
      <c r="E351" s="76" t="s">
        <v>0</v>
      </c>
      <c r="F351" s="57" t="str">
        <f>IFERROR(VLOOKUP(C351,$C$9:H350,4,FALSE),"")</f>
        <v/>
      </c>
      <c r="G351" s="61" t="s">
        <v>350</v>
      </c>
      <c r="H351" s="61" t="s">
        <v>404</v>
      </c>
      <c r="I351" s="61" t="s">
        <v>433</v>
      </c>
      <c r="J351" s="61" t="n">
        <v>65.1</v>
      </c>
      <c r="K351" s="61" t="s">
        <v>434</v>
      </c>
      <c r="L351" s="61" t="s">
        <v>435</v>
      </c>
      <c r="M351" s="42"/>
      <c r="N351" s="46" t="e">
        <f t="shared" si="17"/>
        <v>#DIV/0!</v>
      </c>
      <c r="O351" s="46" t="str">
        <f t="shared" si="18"/>
        <v/>
      </c>
      <c r="P351" s="46">
        <f t="shared" si="19"/>
        <v>1</v>
      </c>
      <c r="Q351" s="46"/>
      <c r="R351" s="45"/>
      <c r="S351" s="45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</row>
    <row r="352" spans="1:31" ht="14.25">
      <c r="A352" s="67" t="s">
        <v>565</v>
      </c>
      <c r="B352" s="68" t="s">
        <v>628</v>
      </c>
      <c r="C352" s="67" t="s">
        <v>458</v>
      </c>
      <c r="D352" s="75" t="n">
        <v>4.0</v>
      </c>
      <c r="E352" s="76" t="s">
        <v>0</v>
      </c>
      <c r="F352" s="57" t="str">
        <f>IFERROR(VLOOKUP(C352,$C$9:H351,4,FALSE),"")</f>
        <v/>
      </c>
      <c r="G352" s="61" t="s">
        <v>350</v>
      </c>
      <c r="H352" s="61" t="s">
        <v>404</v>
      </c>
      <c r="I352" s="61" t="s">
        <v>433</v>
      </c>
      <c r="J352" s="61" t="n">
        <v>4.0</v>
      </c>
      <c r="K352" s="61" t="s">
        <v>434</v>
      </c>
      <c r="L352" s="61" t="s">
        <v>435</v>
      </c>
      <c r="M352" s="42"/>
      <c r="N352" s="46" t="e">
        <f t="shared" si="17"/>
        <v>#DIV/0!</v>
      </c>
      <c r="O352" s="46" t="str">
        <f t="shared" si="18"/>
        <v/>
      </c>
      <c r="P352" s="46">
        <f t="shared" si="19"/>
        <v>1</v>
      </c>
      <c r="Q352" s="46"/>
      <c r="R352" s="45"/>
      <c r="S352" s="45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</row>
    <row r="353" spans="1:31" ht="14.25">
      <c r="A353" s="67" t="s">
        <v>565</v>
      </c>
      <c r="B353" s="68" t="s">
        <v>628</v>
      </c>
      <c r="C353" s="67" t="s">
        <v>595</v>
      </c>
      <c r="D353" s="75" t="n">
        <v>33.0</v>
      </c>
      <c r="E353" s="76" t="s">
        <v>0</v>
      </c>
      <c r="F353" s="57" t="str">
        <f>IFERROR(VLOOKUP(C353,$C$9:H352,4,FALSE),"")</f>
        <v/>
      </c>
      <c r="G353" s="61" t="s">
        <v>352</v>
      </c>
      <c r="H353" s="61" t="s">
        <v>293</v>
      </c>
      <c r="I353" s="61" t="s">
        <v>433</v>
      </c>
      <c r="J353" s="61" t="n">
        <v>33.0</v>
      </c>
      <c r="K353" s="61" t="s">
        <v>434</v>
      </c>
      <c r="L353" s="61" t="s">
        <v>435</v>
      </c>
      <c r="M353" s="42"/>
      <c r="N353" s="46" t="e">
        <f t="shared" si="17"/>
        <v>#DIV/0!</v>
      </c>
      <c r="O353" s="46" t="str">
        <f t="shared" si="18"/>
        <v/>
      </c>
      <c r="P353" s="46">
        <f t="shared" si="19"/>
        <v>1</v>
      </c>
      <c r="Q353" s="46"/>
      <c r="R353" s="45"/>
      <c r="S353" s="45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</row>
    <row r="354" spans="1:31" ht="14.25">
      <c r="A354" s="67" t="s">
        <v>565</v>
      </c>
      <c r="B354" s="68" t="s">
        <v>632</v>
      </c>
      <c r="C354" s="67" t="s">
        <v>537</v>
      </c>
      <c r="D354" s="75" t="n">
        <v>120.0</v>
      </c>
      <c r="E354" s="76" t="s">
        <v>0</v>
      </c>
      <c r="F354" s="57" t="str">
        <f>IFERROR(VLOOKUP(C354,$C$9:H353,4,FALSE),"")</f>
        <v/>
      </c>
      <c r="G354" s="61" t="s">
        <v>350</v>
      </c>
      <c r="H354" s="61" t="s">
        <v>340</v>
      </c>
      <c r="I354" s="61" t="s">
        <v>437</v>
      </c>
      <c r="J354" s="61" t="n">
        <v>120.0</v>
      </c>
      <c r="K354" s="61" t="s">
        <v>434</v>
      </c>
      <c r="L354" s="61" t="s">
        <v>435</v>
      </c>
      <c r="M354" s="42"/>
      <c r="N354" s="46" t="e">
        <f t="shared" si="17"/>
        <v>#DIV/0!</v>
      </c>
      <c r="O354" s="46" t="str">
        <f t="shared" si="18"/>
        <v/>
      </c>
      <c r="P354" s="46">
        <f t="shared" si="19"/>
        <v>1</v>
      </c>
      <c r="Q354" s="46"/>
      <c r="R354" s="45"/>
      <c r="S354" s="45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</row>
    <row r="355" spans="1:31" ht="14.25">
      <c r="A355" s="67" t="s">
        <v>565</v>
      </c>
      <c r="B355" s="68" t="s">
        <v>632</v>
      </c>
      <c r="C355" s="67" t="s">
        <v>633</v>
      </c>
      <c r="D355" s="75" t="n">
        <v>3.0</v>
      </c>
      <c r="E355" s="76" t="s">
        <v>0</v>
      </c>
      <c r="F355" s="57" t="str">
        <f>IFERROR(VLOOKUP(C355,$C$9:H354,4,FALSE),"")</f>
        <v/>
      </c>
      <c r="G355" s="61" t="s">
        <v>350</v>
      </c>
      <c r="H355" s="61" t="s">
        <v>404</v>
      </c>
      <c r="I355" s="61" t="s">
        <v>433</v>
      </c>
      <c r="J355" s="61" t="n">
        <v>3.0</v>
      </c>
      <c r="K355" s="61" t="s">
        <v>434</v>
      </c>
      <c r="L355" s="61" t="s">
        <v>435</v>
      </c>
      <c r="M355" s="42"/>
      <c r="N355" s="46" t="e">
        <f t="shared" si="17"/>
        <v>#DIV/0!</v>
      </c>
      <c r="O355" s="46" t="str">
        <f t="shared" si="18"/>
        <v/>
      </c>
      <c r="P355" s="46">
        <f t="shared" si="19"/>
        <v>1</v>
      </c>
      <c r="Q355" s="46"/>
      <c r="R355" s="45"/>
      <c r="S355" s="45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</row>
    <row r="356" spans="1:31" ht="14.25">
      <c r="A356" s="67" t="s">
        <v>565</v>
      </c>
      <c r="B356" s="68" t="s">
        <v>632</v>
      </c>
      <c r="C356" s="67" t="s">
        <v>541</v>
      </c>
      <c r="D356" s="75" t="n">
        <v>180.14</v>
      </c>
      <c r="E356" s="76" t="s">
        <v>0</v>
      </c>
      <c r="F356" s="57" t="str">
        <f>IFERROR(VLOOKUP(C356,$C$9:H355,4,FALSE),"")</f>
        <v/>
      </c>
      <c r="G356" s="61" t="s">
        <v>354</v>
      </c>
      <c r="H356" s="61" t="s">
        <v>400</v>
      </c>
      <c r="I356" s="61" t="s">
        <v>437</v>
      </c>
      <c r="J356" s="61" t="n">
        <v>180.14</v>
      </c>
      <c r="K356" s="61" t="s">
        <v>434</v>
      </c>
      <c r="L356" s="61" t="s">
        <v>435</v>
      </c>
      <c r="M356" s="42"/>
      <c r="N356" s="46" t="e">
        <f t="shared" si="17"/>
        <v>#DIV/0!</v>
      </c>
      <c r="O356" s="46" t="str">
        <f t="shared" si="18"/>
        <v/>
      </c>
      <c r="P356" s="46">
        <f t="shared" si="19"/>
        <v>1</v>
      </c>
      <c r="Q356" s="46"/>
      <c r="R356" s="45"/>
      <c r="S356" s="45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</row>
    <row r="357" spans="1:31" ht="14.25">
      <c r="A357" s="67" t="s">
        <v>565</v>
      </c>
      <c r="B357" s="68" t="s">
        <v>632</v>
      </c>
      <c r="C357" s="67" t="s">
        <v>531</v>
      </c>
      <c r="D357" s="75" t="n">
        <v>-29.0</v>
      </c>
      <c r="E357" s="76" t="s">
        <v>0</v>
      </c>
      <c r="F357" s="57" t="str">
        <f>IFERROR(VLOOKUP(C357,$C$9:H356,4,FALSE),"")</f>
        <v/>
      </c>
      <c r="G357" s="61" t="str">
        <f>IFERROR(VLOOKUP(C357,$C$9:G356,5,FALSE),"")</f>
        <v/>
      </c>
      <c r="H357" s="61" t="str">
        <f>IFERROR(VLOOKUP(C357,$C$9:H356,6,FALSE),"")</f>
        <v/>
      </c>
      <c r="I357" s="61" t="s">
        <v>479</v>
      </c>
      <c r="J357" s="61" t="n">
        <v>29.0</v>
      </c>
      <c r="K357" s="61" t="s">
        <v>434</v>
      </c>
      <c r="L357" s="61" t="s">
        <v>435</v>
      </c>
      <c r="M357" s="42"/>
      <c r="N357" s="46" t="e">
        <f t="shared" si="17"/>
        <v>#DIV/0!</v>
      </c>
      <c r="O357" s="46" t="str">
        <f t="shared" si="18"/>
        <v/>
      </c>
      <c r="P357" s="46">
        <f t="shared" si="19"/>
        <v>1</v>
      </c>
      <c r="Q357" s="46"/>
      <c r="R357" s="45"/>
      <c r="S357" s="45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</row>
    <row r="358" spans="1:31" ht="14.25">
      <c r="A358" s="67" t="s">
        <v>565</v>
      </c>
      <c r="B358" s="71" t="s">
        <v>632</v>
      </c>
      <c r="C358" s="67" t="s">
        <v>439</v>
      </c>
      <c r="D358" s="75" t="n">
        <v>73.5</v>
      </c>
      <c r="E358" s="76" t="s">
        <v>0</v>
      </c>
      <c r="F358" s="57" t="str">
        <f>IFERROR(VLOOKUP(C358,$C$9:H357,4,FALSE),"")</f>
        <v/>
      </c>
      <c r="G358" s="61" t="s">
        <v>350</v>
      </c>
      <c r="H358" s="61" t="s">
        <v>404</v>
      </c>
      <c r="I358" s="61" t="s">
        <v>433</v>
      </c>
      <c r="J358" s="61" t="n">
        <v>73.5</v>
      </c>
      <c r="K358" s="61" t="s">
        <v>434</v>
      </c>
      <c r="L358" s="61" t="s">
        <v>435</v>
      </c>
      <c r="M358" s="42"/>
      <c r="N358" s="46" t="e">
        <f t="shared" si="17"/>
        <v>#DIV/0!</v>
      </c>
      <c r="O358" s="46" t="str">
        <f t="shared" si="18"/>
        <v/>
      </c>
      <c r="P358" s="46">
        <f t="shared" si="19"/>
        <v>1</v>
      </c>
      <c r="Q358" s="46"/>
      <c r="R358" s="45"/>
      <c r="S358" s="45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</row>
    <row r="359" spans="1:31" ht="14.25">
      <c r="A359" s="67" t="s">
        <v>565</v>
      </c>
      <c r="B359" s="71" t="s">
        <v>632</v>
      </c>
      <c r="C359" s="67" t="s">
        <v>440</v>
      </c>
      <c r="D359" s="75" t="n">
        <v>37.5</v>
      </c>
      <c r="E359" s="76" t="s">
        <v>0</v>
      </c>
      <c r="F359" s="57" t="str">
        <f>IFERROR(VLOOKUP(C359,$C$9:H358,4,FALSE),"")</f>
        <v/>
      </c>
      <c r="G359" s="61" t="str">
        <f>IFERROR(VLOOKUP(C359,$C$9:G358,5,FALSE),"")</f>
        <v/>
      </c>
      <c r="H359" s="61" t="str">
        <f>IFERROR(VLOOKUP(C359,$C$9:H358,6,FALSE),"")</f>
        <v/>
      </c>
      <c r="I359" s="61" t="s">
        <v>433</v>
      </c>
      <c r="J359" s="61" t="n">
        <v>37.5</v>
      </c>
      <c r="K359" s="61" t="s">
        <v>434</v>
      </c>
      <c r="L359" s="61" t="s">
        <v>435</v>
      </c>
      <c r="M359" s="42"/>
      <c r="N359" s="46" t="e">
        <f t="shared" si="17"/>
        <v>#DIV/0!</v>
      </c>
      <c r="O359" s="46" t="str">
        <f t="shared" si="18"/>
        <v/>
      </c>
      <c r="P359" s="46">
        <f t="shared" si="19"/>
        <v>1</v>
      </c>
      <c r="Q359" s="46"/>
      <c r="R359" s="45"/>
      <c r="S359" s="45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</row>
    <row r="360" spans="1:31" ht="14.25">
      <c r="A360" s="67" t="s">
        <v>565</v>
      </c>
      <c r="B360" s="68" t="s">
        <v>632</v>
      </c>
      <c r="C360" s="67" t="s">
        <v>563</v>
      </c>
      <c r="D360" s="75" t="n">
        <v>198.82</v>
      </c>
      <c r="E360" s="76" t="s">
        <v>0</v>
      </c>
      <c r="F360" s="57" t="str">
        <f>IFERROR(VLOOKUP(C360,$C$9:H359,4,FALSE),"")</f>
        <v/>
      </c>
      <c r="G360" s="61" t="str">
        <f>IFERROR(VLOOKUP(C360,$C$9:G359,5,FALSE),"")</f>
        <v/>
      </c>
      <c r="H360" s="61" t="str">
        <f>IFERROR(VLOOKUP(C360,$C$9:H359,6,FALSE),"")</f>
        <v/>
      </c>
      <c r="I360" s="61" t="s">
        <v>433</v>
      </c>
      <c r="J360" s="61" t="n">
        <v>198.82</v>
      </c>
      <c r="K360" s="61" t="s">
        <v>434</v>
      </c>
      <c r="L360" s="61" t="s">
        <v>435</v>
      </c>
      <c r="M360" s="42"/>
      <c r="N360" s="46" t="e">
        <f t="shared" si="17"/>
        <v>#DIV/0!</v>
      </c>
      <c r="O360" s="46" t="str">
        <f t="shared" si="18"/>
        <v/>
      </c>
      <c r="P360" s="46">
        <f t="shared" si="19"/>
        <v>1</v>
      </c>
      <c r="Q360" s="46"/>
      <c r="R360" s="45"/>
      <c r="S360" s="45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</row>
    <row r="361" spans="1:31" ht="14.25">
      <c r="A361" s="67" t="s">
        <v>567</v>
      </c>
      <c r="B361" s="68" t="s">
        <v>632</v>
      </c>
      <c r="C361" s="67" t="s">
        <v>452</v>
      </c>
      <c r="D361" s="75" t="n">
        <v>121.26</v>
      </c>
      <c r="E361" s="76" t="s">
        <v>0</v>
      </c>
      <c r="F361" s="57" t="str">
        <f>IFERROR(VLOOKUP(C361,$C$9:H360,4,FALSE),"")</f>
        <v/>
      </c>
      <c r="G361" s="61" t="s">
        <v>414</v>
      </c>
      <c r="H361" s="61" t="s">
        <v>414</v>
      </c>
      <c r="I361" s="61"/>
      <c r="J361" s="61" t="n">
        <v>0.0</v>
      </c>
      <c r="K361" s="61"/>
      <c r="L361" s="61" t="s">
        <v>445</v>
      </c>
      <c r="M361" s="42"/>
      <c r="N361" s="46" t="e">
        <f t="shared" si="17"/>
        <v>#DIV/0!</v>
      </c>
      <c r="O361" s="46" t="str">
        <f t="shared" si="18"/>
        <v/>
      </c>
      <c r="P361" s="46">
        <f t="shared" si="19"/>
        <v>1</v>
      </c>
      <c r="Q361" s="46"/>
      <c r="R361" s="45"/>
      <c r="S361" s="45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</row>
    <row r="362" spans="1:31" ht="14.25">
      <c r="A362" s="67" t="s">
        <v>565</v>
      </c>
      <c r="B362" s="68" t="s">
        <v>634</v>
      </c>
      <c r="C362" s="67" t="s">
        <v>631</v>
      </c>
      <c r="D362" s="75" t="n">
        <v>-19.0</v>
      </c>
      <c r="E362" s="76" t="s">
        <v>0</v>
      </c>
      <c r="F362" s="57" t="str">
        <f>IFERROR(VLOOKUP(C362,$C$9:H361,4,FALSE),"")</f>
        <v/>
      </c>
      <c r="G362" s="61" t="str">
        <f>IFERROR(VLOOKUP(C362,$C$9:G361,5,FALSE),"")</f>
        <v/>
      </c>
      <c r="H362" s="61" t="str">
        <f>IFERROR(VLOOKUP(C362,$C$9:H361,6,FALSE),"")</f>
        <v/>
      </c>
      <c r="I362" s="61" t="s">
        <v>479</v>
      </c>
      <c r="J362" s="61" t="n">
        <v>19.0</v>
      </c>
      <c r="K362" s="61" t="s">
        <v>434</v>
      </c>
      <c r="L362" s="61" t="s">
        <v>435</v>
      </c>
      <c r="M362" s="42"/>
      <c r="N362" s="46" t="e">
        <f t="shared" si="17"/>
        <v>#DIV/0!</v>
      </c>
      <c r="O362" s="46" t="str">
        <f t="shared" si="18"/>
        <v/>
      </c>
      <c r="P362" s="46">
        <f t="shared" si="19"/>
        <v>1</v>
      </c>
      <c r="Q362" s="46"/>
      <c r="R362" s="45"/>
      <c r="S362" s="45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</row>
    <row r="363" spans="1:31" ht="14.25">
      <c r="A363" s="67" t="s">
        <v>565</v>
      </c>
      <c r="B363" s="78" t="s">
        <v>634</v>
      </c>
      <c r="C363" s="77" t="s">
        <v>635</v>
      </c>
      <c r="D363" s="75" t="n">
        <v>236.0</v>
      </c>
      <c r="E363" s="76" t="s">
        <v>0</v>
      </c>
      <c r="F363" s="57" t="str">
        <f>IFERROR(VLOOKUP(C363,$C$9:H362,4,FALSE),"")</f>
        <v/>
      </c>
      <c r="G363" s="61" t="str">
        <f>IFERROR(VLOOKUP(C363,$C$9:G362,5,FALSE),"")</f>
        <v/>
      </c>
      <c r="H363" s="61" t="str">
        <f>IFERROR(VLOOKUP(C363,$C$9:H362,6,FALSE),"")</f>
        <v/>
      </c>
      <c r="I363" s="61" t="s">
        <v>437</v>
      </c>
      <c r="J363" s="61" t="n">
        <v>236.0</v>
      </c>
      <c r="K363" s="61" t="s">
        <v>434</v>
      </c>
      <c r="L363" s="61" t="s">
        <v>435</v>
      </c>
      <c r="M363" s="42"/>
      <c r="N363" s="46" t="e">
        <f t="shared" si="17"/>
        <v>#DIV/0!</v>
      </c>
      <c r="O363" s="46" t="str">
        <f t="shared" si="18"/>
        <v/>
      </c>
      <c r="P363" s="46">
        <f t="shared" si="19"/>
        <v>1</v>
      </c>
      <c r="Q363" s="46"/>
      <c r="R363" s="45"/>
      <c r="S363" s="45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</row>
    <row r="364" spans="1:31" ht="14.25">
      <c r="A364" s="67" t="s">
        <v>565</v>
      </c>
      <c r="B364" s="68" t="s">
        <v>634</v>
      </c>
      <c r="C364" s="67" t="s">
        <v>439</v>
      </c>
      <c r="D364" s="75" t="n">
        <v>47.5</v>
      </c>
      <c r="E364" s="76" t="s">
        <v>0</v>
      </c>
      <c r="F364" s="57" t="str">
        <f>IFERROR(VLOOKUP(C364,$C$9:H363,4,FALSE),"")</f>
        <v/>
      </c>
      <c r="G364" s="61" t="s">
        <v>350</v>
      </c>
      <c r="H364" s="61" t="s">
        <v>404</v>
      </c>
      <c r="I364" s="61" t="s">
        <v>433</v>
      </c>
      <c r="J364" s="61" t="n">
        <v>47.5</v>
      </c>
      <c r="K364" s="61" t="s">
        <v>434</v>
      </c>
      <c r="L364" s="61" t="s">
        <v>435</v>
      </c>
      <c r="M364" s="42"/>
      <c r="N364" s="46" t="e">
        <f t="shared" si="17"/>
        <v>#DIV/0!</v>
      </c>
      <c r="O364" s="46" t="str">
        <f t="shared" si="18"/>
        <v/>
      </c>
      <c r="P364" s="46">
        <f t="shared" si="19"/>
        <v>1</v>
      </c>
      <c r="Q364" s="46"/>
      <c r="R364" s="45"/>
      <c r="S364" s="45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</row>
    <row r="365" spans="1:31" ht="14.25">
      <c r="A365" s="67" t="s">
        <v>565</v>
      </c>
      <c r="B365" s="68" t="s">
        <v>634</v>
      </c>
      <c r="C365" s="67" t="s">
        <v>439</v>
      </c>
      <c r="D365" s="75" t="n">
        <v>55.4</v>
      </c>
      <c r="E365" s="76" t="s">
        <v>0</v>
      </c>
      <c r="F365" s="57" t="str">
        <f>IFERROR(VLOOKUP(C365,$C$9:H364,4,FALSE),"")</f>
        <v/>
      </c>
      <c r="G365" s="61" t="s">
        <v>350</v>
      </c>
      <c r="H365" s="61" t="s">
        <v>404</v>
      </c>
      <c r="I365" s="61" t="s">
        <v>433</v>
      </c>
      <c r="J365" s="61" t="n">
        <v>55.4</v>
      </c>
      <c r="K365" s="61" t="s">
        <v>434</v>
      </c>
      <c r="L365" s="61" t="s">
        <v>435</v>
      </c>
      <c r="M365" s="42"/>
      <c r="N365" s="46" t="e">
        <f t="shared" si="17"/>
        <v>#DIV/0!</v>
      </c>
      <c r="O365" s="46" t="str">
        <f t="shared" si="18"/>
        <v/>
      </c>
      <c r="P365" s="46">
        <f t="shared" si="19"/>
        <v>1</v>
      </c>
      <c r="Q365" s="46"/>
      <c r="R365" s="45"/>
      <c r="S365" s="45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</row>
    <row r="366" spans="1:31" ht="14.25">
      <c r="A366" s="67" t="s">
        <v>565</v>
      </c>
      <c r="B366" s="68" t="s">
        <v>634</v>
      </c>
      <c r="C366" s="67" t="s">
        <v>439</v>
      </c>
      <c r="D366" s="75" t="n">
        <v>97.55</v>
      </c>
      <c r="E366" s="76" t="s">
        <v>0</v>
      </c>
      <c r="F366" s="57" t="str">
        <f>IFERROR(VLOOKUP(C366,$C$9:H365,4,FALSE),"")</f>
        <v/>
      </c>
      <c r="G366" s="61" t="s">
        <v>350</v>
      </c>
      <c r="H366" s="61" t="s">
        <v>404</v>
      </c>
      <c r="I366" s="61" t="s">
        <v>433</v>
      </c>
      <c r="J366" s="61" t="n">
        <v>97.55</v>
      </c>
      <c r="K366" s="61" t="s">
        <v>434</v>
      </c>
      <c r="L366" s="61" t="s">
        <v>435</v>
      </c>
      <c r="M366" s="42"/>
      <c r="N366" s="46" t="e">
        <f t="shared" si="17"/>
        <v>#DIV/0!</v>
      </c>
      <c r="O366" s="46" t="str">
        <f t="shared" si="18"/>
        <v/>
      </c>
      <c r="P366" s="46">
        <f t="shared" si="19"/>
        <v>1</v>
      </c>
      <c r="Q366" s="46"/>
      <c r="R366" s="45"/>
      <c r="S366" s="45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</row>
    <row r="367" spans="1:31" ht="14.25">
      <c r="A367" s="67" t="s">
        <v>565</v>
      </c>
      <c r="B367" s="68" t="s">
        <v>636</v>
      </c>
      <c r="C367" s="67" t="s">
        <v>637</v>
      </c>
      <c r="D367" s="75" t="n">
        <v>63.92</v>
      </c>
      <c r="E367" s="76" t="s">
        <v>0</v>
      </c>
      <c r="F367" s="57" t="str">
        <f>IFERROR(VLOOKUP(C367,$C$9:H366,4,FALSE),"")</f>
        <v/>
      </c>
      <c r="G367" s="61" t="s">
        <v>347</v>
      </c>
      <c r="H367" s="61" t="s">
        <v>299</v>
      </c>
      <c r="I367" s="61" t="s">
        <v>433</v>
      </c>
      <c r="J367" s="61" t="n">
        <v>63.92</v>
      </c>
      <c r="K367" s="61" t="s">
        <v>434</v>
      </c>
      <c r="L367" s="61" t="s">
        <v>435</v>
      </c>
      <c r="M367" s="42"/>
      <c r="N367" s="46" t="e">
        <f t="shared" si="17"/>
        <v>#DIV/0!</v>
      </c>
      <c r="O367" s="46" t="str">
        <f t="shared" si="18"/>
        <v/>
      </c>
      <c r="P367" s="46">
        <f t="shared" si="19"/>
        <v>1</v>
      </c>
      <c r="Q367" s="46"/>
      <c r="R367" s="45"/>
      <c r="S367" s="45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</row>
    <row r="368" spans="1:31" ht="14.25">
      <c r="A368" s="67" t="s">
        <v>565</v>
      </c>
      <c r="B368" s="68" t="s">
        <v>636</v>
      </c>
      <c r="C368" s="67" t="s">
        <v>525</v>
      </c>
      <c r="D368" s="75" t="n">
        <v>42.13</v>
      </c>
      <c r="E368" s="76" t="s">
        <v>0</v>
      </c>
      <c r="F368" s="57" t="str">
        <f>IFERROR(VLOOKUP(C368,$C$9:H367,4,FALSE),"")</f>
        <v/>
      </c>
      <c r="G368" s="61" t="s">
        <v>352</v>
      </c>
      <c r="H368" s="61" t="s">
        <v>293</v>
      </c>
      <c r="I368" s="61" t="s">
        <v>433</v>
      </c>
      <c r="J368" s="61" t="n">
        <v>42.13</v>
      </c>
      <c r="K368" s="61" t="s">
        <v>434</v>
      </c>
      <c r="L368" s="61" t="s">
        <v>435</v>
      </c>
      <c r="M368" s="42"/>
      <c r="N368" s="46" t="e">
        <f t="shared" si="17"/>
        <v>#DIV/0!</v>
      </c>
      <c r="O368" s="46" t="str">
        <f t="shared" si="18"/>
        <v/>
      </c>
      <c r="P368" s="46">
        <f t="shared" si="19"/>
        <v>1</v>
      </c>
      <c r="Q368" s="46"/>
      <c r="R368" s="45"/>
      <c r="S368" s="45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</row>
    <row r="369" spans="1:31" ht="14.25">
      <c r="A369" s="67" t="s">
        <v>565</v>
      </c>
      <c r="B369" s="78" t="s">
        <v>636</v>
      </c>
      <c r="C369" s="77" t="s">
        <v>521</v>
      </c>
      <c r="D369" s="75" t="n">
        <v>5.0</v>
      </c>
      <c r="E369" s="76" t="s">
        <v>0</v>
      </c>
      <c r="F369" s="57" t="str">
        <f>IFERROR(VLOOKUP(C369,$C$9:H368,4,FALSE),"")</f>
        <v/>
      </c>
      <c r="G369" s="61" t="s">
        <v>350</v>
      </c>
      <c r="H369" s="61" t="s">
        <v>404</v>
      </c>
      <c r="I369" s="61" t="s">
        <v>433</v>
      </c>
      <c r="J369" s="61" t="n">
        <v>5.0</v>
      </c>
      <c r="K369" s="61" t="s">
        <v>434</v>
      </c>
      <c r="L369" s="61" t="s">
        <v>435</v>
      </c>
      <c r="M369" s="42"/>
      <c r="N369" s="46" t="e">
        <f t="shared" si="17"/>
        <v>#DIV/0!</v>
      </c>
      <c r="O369" s="46" t="str">
        <f t="shared" si="18"/>
        <v/>
      </c>
      <c r="P369" s="46">
        <f t="shared" si="19"/>
        <v>1</v>
      </c>
      <c r="Q369" s="46"/>
      <c r="R369" s="45"/>
      <c r="S369" s="45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</row>
    <row r="370" spans="1:31" ht="14.25">
      <c r="A370" s="67" t="s">
        <v>565</v>
      </c>
      <c r="B370" s="68" t="s">
        <v>636</v>
      </c>
      <c r="C370" s="67" t="s">
        <v>627</v>
      </c>
      <c r="D370" s="75" t="n">
        <v>48.75</v>
      </c>
      <c r="E370" s="76" t="s">
        <v>0</v>
      </c>
      <c r="F370" s="57" t="str">
        <f>IFERROR(VLOOKUP(C370,$C$9:H369,4,FALSE),"")</f>
        <v/>
      </c>
      <c r="G370" s="61" t="str">
        <f>IFERROR(VLOOKUP(C370,$C$9:G369,5,FALSE),"")</f>
        <v/>
      </c>
      <c r="H370" s="61" t="str">
        <f>IFERROR(VLOOKUP(C370,$C$9:H369,6,FALSE),"")</f>
        <v/>
      </c>
      <c r="I370" s="61" t="s">
        <v>433</v>
      </c>
      <c r="J370" s="61" t="n">
        <v>48.75</v>
      </c>
      <c r="K370" s="61" t="s">
        <v>434</v>
      </c>
      <c r="L370" s="61" t="s">
        <v>435</v>
      </c>
      <c r="M370" s="42"/>
      <c r="N370" s="46" t="e">
        <f t="shared" si="17"/>
        <v>#DIV/0!</v>
      </c>
      <c r="O370" s="46" t="str">
        <f t="shared" si="18"/>
        <v/>
      </c>
      <c r="P370" s="46">
        <f t="shared" si="19"/>
        <v>1</v>
      </c>
      <c r="Q370" s="46"/>
      <c r="R370" s="45"/>
      <c r="S370" s="45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</row>
    <row r="371" spans="1:31" ht="14.25">
      <c r="A371" s="67" t="s">
        <v>565</v>
      </c>
      <c r="B371" s="78" t="s">
        <v>636</v>
      </c>
      <c r="C371" s="77" t="s">
        <v>638</v>
      </c>
      <c r="D371" s="75" t="n">
        <v>18.0</v>
      </c>
      <c r="E371" s="76" t="s">
        <v>0</v>
      </c>
      <c r="F371" s="57" t="str">
        <f>IFERROR(VLOOKUP(C371,$C$9:H370,4,FALSE),"")</f>
        <v/>
      </c>
      <c r="G371" s="61" t="str">
        <f>IFERROR(VLOOKUP(C371,$C$9:G370,5,FALSE),"")</f>
        <v/>
      </c>
      <c r="H371" s="61" t="str">
        <f>IFERROR(VLOOKUP(C371,$C$9:H370,6,FALSE),"")</f>
        <v/>
      </c>
      <c r="I371" s="61" t="s">
        <v>433</v>
      </c>
      <c r="J371" s="61" t="n">
        <v>18.0</v>
      </c>
      <c r="K371" s="61" t="s">
        <v>434</v>
      </c>
      <c r="L371" s="61" t="s">
        <v>435</v>
      </c>
      <c r="M371" s="42"/>
      <c r="N371" s="46" t="e">
        <f t="shared" si="17"/>
        <v>#DIV/0!</v>
      </c>
      <c r="O371" s="46" t="str">
        <f t="shared" si="18"/>
        <v/>
      </c>
      <c r="P371" s="46">
        <f t="shared" si="19"/>
        <v>1</v>
      </c>
      <c r="Q371" s="46"/>
      <c r="R371" s="45"/>
      <c r="S371" s="45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</row>
    <row r="372" spans="1:31" ht="14.25">
      <c r="A372" s="67" t="s">
        <v>565</v>
      </c>
      <c r="B372" s="68" t="s">
        <v>636</v>
      </c>
      <c r="C372" s="67" t="s">
        <v>639</v>
      </c>
      <c r="D372" s="75" t="n">
        <v>260.0</v>
      </c>
      <c r="E372" s="76" t="s">
        <v>0</v>
      </c>
      <c r="F372" s="57" t="str">
        <f>IFERROR(VLOOKUP(C372,$C$9:H371,4,FALSE),"")</f>
        <v/>
      </c>
      <c r="G372" s="61" t="str">
        <f>IFERROR(VLOOKUP(C372,$C$9:G371,5,FALSE),"")</f>
        <v/>
      </c>
      <c r="H372" s="61" t="str">
        <f>IFERROR(VLOOKUP(C372,$C$9:H371,6,FALSE),"")</f>
        <v/>
      </c>
      <c r="I372" s="61" t="s">
        <v>640</v>
      </c>
      <c r="J372" s="61" t="n">
        <v>260.0</v>
      </c>
      <c r="K372" s="61" t="s">
        <v>434</v>
      </c>
      <c r="L372" s="61" t="s">
        <v>435</v>
      </c>
      <c r="M372" s="42"/>
      <c r="N372" s="46" t="e">
        <f t="shared" si="17"/>
        <v>#DIV/0!</v>
      </c>
      <c r="O372" s="46" t="str">
        <f t="shared" si="18"/>
        <v/>
      </c>
      <c r="P372" s="46">
        <f t="shared" si="19"/>
        <v>1</v>
      </c>
      <c r="Q372" s="46"/>
      <c r="R372" s="45"/>
      <c r="S372" s="45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</row>
    <row r="373" spans="1:31" ht="14.25">
      <c r="A373" s="67" t="s">
        <v>565</v>
      </c>
      <c r="B373" s="68" t="s">
        <v>636</v>
      </c>
      <c r="C373" s="67" t="s">
        <v>439</v>
      </c>
      <c r="D373" s="75" t="n">
        <v>170.9</v>
      </c>
      <c r="E373" s="76" t="s">
        <v>0</v>
      </c>
      <c r="F373" s="57" t="str">
        <f>IFERROR(VLOOKUP(C373,$C$9:H372,4,FALSE),"")</f>
        <v/>
      </c>
      <c r="G373" s="61" t="s">
        <v>350</v>
      </c>
      <c r="H373" s="61" t="s">
        <v>404</v>
      </c>
      <c r="I373" s="61" t="s">
        <v>433</v>
      </c>
      <c r="J373" s="61" t="n">
        <v>170.9</v>
      </c>
      <c r="K373" s="61" t="s">
        <v>434</v>
      </c>
      <c r="L373" s="61" t="s">
        <v>435</v>
      </c>
      <c r="M373" s="42"/>
      <c r="N373" s="46" t="e">
        <f t="shared" si="17"/>
        <v>#DIV/0!</v>
      </c>
      <c r="O373" s="46" t="str">
        <f t="shared" si="18"/>
        <v/>
      </c>
      <c r="P373" s="46">
        <f t="shared" si="19"/>
        <v>1</v>
      </c>
      <c r="Q373" s="46"/>
      <c r="R373" s="45"/>
      <c r="S373" s="45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</row>
    <row r="374" spans="1:31" ht="14.25">
      <c r="A374" s="67" t="s">
        <v>565</v>
      </c>
      <c r="B374" s="68" t="s">
        <v>636</v>
      </c>
      <c r="C374" s="67" t="s">
        <v>440</v>
      </c>
      <c r="D374" s="75" t="n">
        <v>75.0</v>
      </c>
      <c r="E374" s="76" t="s">
        <v>0</v>
      </c>
      <c r="F374" s="57" t="str">
        <f>IFERROR(VLOOKUP(C374,$C$9:H373,4,FALSE),"")</f>
        <v/>
      </c>
      <c r="G374" s="61" t="str">
        <f>IFERROR(VLOOKUP(C374,$C$9:G373,5,FALSE),"")</f>
        <v/>
      </c>
      <c r="H374" s="61" t="str">
        <f>IFERROR(VLOOKUP(C374,$C$9:H373,6,FALSE),"")</f>
        <v/>
      </c>
      <c r="I374" s="61" t="s">
        <v>433</v>
      </c>
      <c r="J374" s="61" t="n">
        <v>75.0</v>
      </c>
      <c r="K374" s="61" t="s">
        <v>434</v>
      </c>
      <c r="L374" s="61" t="s">
        <v>435</v>
      </c>
      <c r="M374" s="42"/>
      <c r="N374" s="46" t="e">
        <f t="shared" si="17"/>
        <v>#DIV/0!</v>
      </c>
      <c r="O374" s="46" t="str">
        <f t="shared" si="18"/>
        <v/>
      </c>
      <c r="P374" s="46">
        <f t="shared" si="19"/>
        <v>1</v>
      </c>
      <c r="Q374" s="46"/>
      <c r="R374" s="45"/>
      <c r="S374" s="45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</row>
    <row r="375" spans="1:31" ht="14.25">
      <c r="A375" s="67" t="s">
        <v>565</v>
      </c>
      <c r="B375" s="68" t="s">
        <v>636</v>
      </c>
      <c r="C375" s="67" t="s">
        <v>440</v>
      </c>
      <c r="D375" s="75" t="n">
        <v>37.5</v>
      </c>
      <c r="E375" s="76" t="s">
        <v>0</v>
      </c>
      <c r="F375" s="57" t="str">
        <f>IFERROR(VLOOKUP(C375,$C$9:H374,4,FALSE),"")</f>
        <v/>
      </c>
      <c r="G375" s="61" t="str">
        <f>IFERROR(VLOOKUP(C375,$C$9:G374,5,FALSE),"")</f>
        <v/>
      </c>
      <c r="H375" s="61" t="str">
        <f>IFERROR(VLOOKUP(C375,$C$9:H374,6,FALSE),"")</f>
        <v/>
      </c>
      <c r="I375" s="61" t="s">
        <v>433</v>
      </c>
      <c r="J375" s="61" t="n">
        <v>37.5</v>
      </c>
      <c r="K375" s="61" t="s">
        <v>434</v>
      </c>
      <c r="L375" s="61" t="s">
        <v>435</v>
      </c>
      <c r="M375" s="42"/>
      <c r="N375" s="46" t="e">
        <f t="shared" si="17"/>
        <v>#DIV/0!</v>
      </c>
      <c r="O375" s="46" t="str">
        <f t="shared" si="18"/>
        <v/>
      </c>
      <c r="P375" s="46">
        <f t="shared" si="19"/>
        <v>1</v>
      </c>
      <c r="Q375" s="46"/>
      <c r="R375" s="45"/>
      <c r="S375" s="45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</row>
    <row r="376" spans="1:31" ht="14.25">
      <c r="A376" s="67" t="s">
        <v>565</v>
      </c>
      <c r="B376" s="68" t="s">
        <v>636</v>
      </c>
      <c r="C376" s="67" t="s">
        <v>641</v>
      </c>
      <c r="D376" s="75" t="n">
        <v>99.9</v>
      </c>
      <c r="E376" s="76" t="s">
        <v>0</v>
      </c>
      <c r="F376" s="57" t="str">
        <f>IFERROR(VLOOKUP(C376,$C$9:H375,4,FALSE),"")</f>
        <v/>
      </c>
      <c r="G376" s="61" t="str">
        <f>IFERROR(VLOOKUP(C376,$C$9:G375,5,FALSE),"")</f>
        <v/>
      </c>
      <c r="H376" s="61" t="str">
        <f>IFERROR(VLOOKUP(C376,$C$9:H375,6,FALSE),"")</f>
        <v/>
      </c>
      <c r="I376" s="61" t="s">
        <v>433</v>
      </c>
      <c r="J376" s="61" t="n">
        <v>99.9</v>
      </c>
      <c r="K376" s="61" t="s">
        <v>434</v>
      </c>
      <c r="L376" s="61" t="s">
        <v>435</v>
      </c>
      <c r="M376" s="42"/>
      <c r="N376" s="46" t="e">
        <f t="shared" si="17"/>
        <v>#DIV/0!</v>
      </c>
      <c r="O376" s="46" t="str">
        <f t="shared" si="18"/>
        <v/>
      </c>
      <c r="P376" s="46">
        <f t="shared" si="19"/>
        <v>1</v>
      </c>
      <c r="Q376" s="46"/>
      <c r="R376" s="45"/>
      <c r="S376" s="45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</row>
    <row r="377" spans="1:31" ht="14.25">
      <c r="A377" s="67" t="s">
        <v>565</v>
      </c>
      <c r="B377" s="68" t="s">
        <v>642</v>
      </c>
      <c r="C377" s="67" t="s">
        <v>643</v>
      </c>
      <c r="D377" s="75" t="n">
        <v>29.0</v>
      </c>
      <c r="E377" s="76" t="s">
        <v>0</v>
      </c>
      <c r="F377" s="57" t="str">
        <f>IFERROR(VLOOKUP(C377,$C$9:H376,4,FALSE),"")</f>
        <v/>
      </c>
      <c r="G377" s="61" t="str">
        <f>IFERROR(VLOOKUP(C377,$C$9:G376,5,FALSE),"")</f>
        <v/>
      </c>
      <c r="H377" s="61" t="str">
        <f>IFERROR(VLOOKUP(C377,$C$9:H376,6,FALSE),"")</f>
        <v/>
      </c>
      <c r="I377" s="61" t="s">
        <v>433</v>
      </c>
      <c r="J377" s="61" t="n">
        <v>29.0</v>
      </c>
      <c r="K377" s="61" t="s">
        <v>434</v>
      </c>
      <c r="L377" s="61" t="s">
        <v>435</v>
      </c>
      <c r="M377" s="42"/>
      <c r="N377" s="46" t="e">
        <f t="shared" si="17"/>
        <v>#DIV/0!</v>
      </c>
      <c r="O377" s="46" t="str">
        <f t="shared" si="18"/>
        <v/>
      </c>
      <c r="P377" s="46">
        <f t="shared" si="19"/>
        <v>1</v>
      </c>
      <c r="Q377" s="46"/>
      <c r="R377" s="45"/>
      <c r="S377" s="45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</row>
    <row r="378" spans="1:31" ht="14.25">
      <c r="A378" s="67" t="s">
        <v>565</v>
      </c>
      <c r="B378" s="71" t="s">
        <v>642</v>
      </c>
      <c r="C378" s="67" t="s">
        <v>442</v>
      </c>
      <c r="D378" s="75" t="n">
        <v>155.0</v>
      </c>
      <c r="E378" s="76" t="s">
        <v>0</v>
      </c>
      <c r="F378" s="57" t="str">
        <f>IFERROR(VLOOKUP(C378,$C$9:H377,4,FALSE),"")</f>
        <v/>
      </c>
      <c r="G378" s="61" t="str">
        <f>IFERROR(VLOOKUP(C378,$C$9:G377,5,FALSE),"")</f>
        <v/>
      </c>
      <c r="H378" s="61" t="str">
        <f>IFERROR(VLOOKUP(C378,$C$9:H377,6,FALSE),"")</f>
        <v/>
      </c>
      <c r="I378" s="61" t="s">
        <v>433</v>
      </c>
      <c r="J378" s="61" t="n">
        <v>155.0</v>
      </c>
      <c r="K378" s="61" t="s">
        <v>434</v>
      </c>
      <c r="L378" s="61" t="s">
        <v>435</v>
      </c>
      <c r="M378" s="42"/>
      <c r="N378" s="46" t="e">
        <f t="shared" si="17"/>
        <v>#DIV/0!</v>
      </c>
      <c r="O378" s="46" t="str">
        <f t="shared" si="18"/>
        <v/>
      </c>
      <c r="P378" s="46">
        <f t="shared" si="19"/>
        <v>1</v>
      </c>
      <c r="Q378" s="46"/>
      <c r="R378" s="45"/>
      <c r="S378" s="45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</row>
    <row r="379" spans="1:31" ht="14.25">
      <c r="A379" s="67" t="s">
        <v>565</v>
      </c>
      <c r="B379" s="68" t="s">
        <v>642</v>
      </c>
      <c r="C379" s="67" t="s">
        <v>442</v>
      </c>
      <c r="D379" s="75" t="n">
        <v>190.0</v>
      </c>
      <c r="E379" s="76" t="s">
        <v>0</v>
      </c>
      <c r="F379" s="57" t="str">
        <f>IFERROR(VLOOKUP(C379,$C$9:H378,4,FALSE),"")</f>
        <v/>
      </c>
      <c r="G379" s="61" t="str">
        <f>IFERROR(VLOOKUP(C379,$C$9:G378,5,FALSE),"")</f>
        <v/>
      </c>
      <c r="H379" s="61" t="str">
        <f>IFERROR(VLOOKUP(C379,$C$9:H378,6,FALSE),"")</f>
        <v/>
      </c>
      <c r="I379" s="61" t="s">
        <v>433</v>
      </c>
      <c r="J379" s="61" t="n">
        <v>190.0</v>
      </c>
      <c r="K379" s="61" t="s">
        <v>434</v>
      </c>
      <c r="L379" s="61" t="s">
        <v>435</v>
      </c>
      <c r="M379" s="42"/>
      <c r="N379" s="46" t="e">
        <f t="shared" si="17"/>
        <v>#DIV/0!</v>
      </c>
      <c r="O379" s="46" t="str">
        <f t="shared" si="18"/>
        <v/>
      </c>
      <c r="P379" s="46">
        <f t="shared" si="19"/>
        <v>1</v>
      </c>
      <c r="Q379" s="46"/>
      <c r="R379" s="45"/>
      <c r="S379" s="45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</row>
    <row r="380" spans="1:31" ht="14.25">
      <c r="A380" s="67" t="s">
        <v>565</v>
      </c>
      <c r="B380" s="68" t="s">
        <v>642</v>
      </c>
      <c r="C380" s="67" t="s">
        <v>439</v>
      </c>
      <c r="D380" s="75" t="n">
        <v>92.35</v>
      </c>
      <c r="E380" s="76" t="s">
        <v>0</v>
      </c>
      <c r="F380" s="57" t="str">
        <f>IFERROR(VLOOKUP(C380,$C$9:H379,4,FALSE),"")</f>
        <v/>
      </c>
      <c r="G380" s="61" t="s">
        <v>350</v>
      </c>
      <c r="H380" s="61" t="s">
        <v>404</v>
      </c>
      <c r="I380" s="61" t="s">
        <v>433</v>
      </c>
      <c r="J380" s="61" t="n">
        <v>92.35</v>
      </c>
      <c r="K380" s="61" t="s">
        <v>434</v>
      </c>
      <c r="L380" s="61" t="s">
        <v>435</v>
      </c>
      <c r="M380" s="42"/>
      <c r="N380" s="46" t="e">
        <f t="shared" si="17"/>
        <v>#DIV/0!</v>
      </c>
      <c r="O380" s="46" t="str">
        <f t="shared" si="18"/>
        <v/>
      </c>
      <c r="P380" s="46">
        <f t="shared" si="19"/>
        <v>1</v>
      </c>
      <c r="Q380" s="46"/>
      <c r="R380" s="45"/>
      <c r="S380" s="45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</row>
    <row r="381" spans="1:31" ht="14.25">
      <c r="A381" s="67" t="s">
        <v>565</v>
      </c>
      <c r="B381" s="68" t="s">
        <v>642</v>
      </c>
      <c r="C381" s="67" t="s">
        <v>439</v>
      </c>
      <c r="D381" s="75" t="n">
        <v>6.28</v>
      </c>
      <c r="E381" s="76" t="s">
        <v>0</v>
      </c>
      <c r="F381" s="57" t="str">
        <f>IFERROR(VLOOKUP(C381,$C$9:H380,4,FALSE),"")</f>
        <v/>
      </c>
      <c r="G381" s="61" t="s">
        <v>350</v>
      </c>
      <c r="H381" s="61" t="s">
        <v>404</v>
      </c>
      <c r="I381" s="61" t="s">
        <v>433</v>
      </c>
      <c r="J381" s="61" t="n">
        <v>6.28</v>
      </c>
      <c r="K381" s="61" t="s">
        <v>434</v>
      </c>
      <c r="L381" s="61" t="s">
        <v>435</v>
      </c>
      <c r="M381" s="42"/>
      <c r="N381" s="46" t="e">
        <f t="shared" si="17"/>
        <v>#DIV/0!</v>
      </c>
      <c r="O381" s="46" t="str">
        <f t="shared" si="18"/>
        <v/>
      </c>
      <c r="P381" s="46">
        <f t="shared" si="19"/>
        <v>1</v>
      </c>
      <c r="Q381" s="46"/>
      <c r="R381" s="45"/>
      <c r="S381" s="45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</row>
    <row r="382" spans="1:31" ht="14.25">
      <c r="A382" s="67" t="s">
        <v>565</v>
      </c>
      <c r="B382" s="68" t="s">
        <v>644</v>
      </c>
      <c r="C382" s="67" t="s">
        <v>543</v>
      </c>
      <c r="D382" s="75" t="n">
        <v>164.0</v>
      </c>
      <c r="E382" s="76" t="s">
        <v>0</v>
      </c>
      <c r="F382" s="57" t="str">
        <f>IFERROR(VLOOKUP(C382,$C$9:H381,4,FALSE),"")</f>
        <v/>
      </c>
      <c r="G382" s="61" t="str">
        <f>IFERROR(VLOOKUP(C382,$C$9:G381,5,FALSE),"")</f>
        <v/>
      </c>
      <c r="H382" s="61" t="str">
        <f>IFERROR(VLOOKUP(C382,$C$9:H381,6,FALSE),"")</f>
        <v/>
      </c>
      <c r="I382" s="61" t="s">
        <v>433</v>
      </c>
      <c r="J382" s="61" t="n">
        <v>164.0</v>
      </c>
      <c r="K382" s="61" t="s">
        <v>434</v>
      </c>
      <c r="L382" s="61" t="s">
        <v>435</v>
      </c>
      <c r="M382" s="42"/>
      <c r="N382" s="46" t="e">
        <f t="shared" si="17"/>
        <v>#DIV/0!</v>
      </c>
      <c r="O382" s="46" t="str">
        <f t="shared" si="18"/>
        <v/>
      </c>
      <c r="P382" s="46">
        <f t="shared" si="19"/>
        <v>1</v>
      </c>
      <c r="Q382" s="46"/>
      <c r="R382" s="45"/>
      <c r="S382" s="45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</row>
    <row r="383" spans="1:31" ht="14.25">
      <c r="A383" s="67" t="s">
        <v>565</v>
      </c>
      <c r="B383" s="68" t="s">
        <v>644</v>
      </c>
      <c r="C383" s="67" t="s">
        <v>439</v>
      </c>
      <c r="D383" s="75" t="n">
        <v>45.8</v>
      </c>
      <c r="E383" s="76" t="s">
        <v>0</v>
      </c>
      <c r="F383" s="57" t="str">
        <f>IFERROR(VLOOKUP(C383,$C$9:H382,4,FALSE),"")</f>
        <v/>
      </c>
      <c r="G383" s="61" t="s">
        <v>350</v>
      </c>
      <c r="H383" s="61" t="s">
        <v>404</v>
      </c>
      <c r="I383" s="61" t="s">
        <v>433</v>
      </c>
      <c r="J383" s="61" t="n">
        <v>45.8</v>
      </c>
      <c r="K383" s="61" t="s">
        <v>434</v>
      </c>
      <c r="L383" s="61" t="s">
        <v>435</v>
      </c>
      <c r="M383" s="42"/>
      <c r="N383" s="46" t="e">
        <f t="shared" si="17"/>
        <v>#DIV/0!</v>
      </c>
      <c r="O383" s="46" t="str">
        <f t="shared" si="18"/>
        <v/>
      </c>
      <c r="P383" s="46">
        <f t="shared" si="19"/>
        <v>1</v>
      </c>
      <c r="Q383" s="46"/>
      <c r="R383" s="45"/>
      <c r="S383" s="45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</row>
    <row r="384" spans="1:31" ht="14.25">
      <c r="A384" s="67" t="s">
        <v>478</v>
      </c>
      <c r="B384" s="68" t="s">
        <v>644</v>
      </c>
      <c r="C384" s="67" t="s">
        <v>556</v>
      </c>
      <c r="D384" s="75" t="n">
        <v>45.9</v>
      </c>
      <c r="E384" s="76" t="s">
        <v>0</v>
      </c>
      <c r="F384" s="57" t="str">
        <f>IFERROR(VLOOKUP(C384,$C$9:H383,4,FALSE),"")</f>
        <v/>
      </c>
      <c r="G384" s="61" t="s">
        <v>361</v>
      </c>
      <c r="H384" s="61" t="s">
        <v>331</v>
      </c>
      <c r="I384" s="61" t="s">
        <v>464</v>
      </c>
      <c r="J384" s="61" t="n">
        <v>45.9</v>
      </c>
      <c r="K384" s="61" t="s">
        <v>434</v>
      </c>
      <c r="L384" s="61" t="s">
        <v>435</v>
      </c>
      <c r="M384" s="42"/>
      <c r="N384" s="46" t="e">
        <f t="shared" si="17"/>
        <v>#DIV/0!</v>
      </c>
      <c r="O384" s="46" t="str">
        <f t="shared" si="18"/>
        <v/>
      </c>
      <c r="P384" s="46">
        <f t="shared" si="19"/>
        <v>1</v>
      </c>
      <c r="Q384" s="46"/>
      <c r="R384" s="45"/>
      <c r="S384" s="45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</row>
    <row r="385" spans="1:31" ht="14.25">
      <c r="A385" s="67" t="s">
        <v>645</v>
      </c>
      <c r="B385" s="68" t="s">
        <v>646</v>
      </c>
      <c r="C385" s="67" t="s">
        <v>444</v>
      </c>
      <c r="D385" s="75" t="n">
        <v>241.5</v>
      </c>
      <c r="E385" s="76" t="s">
        <v>0</v>
      </c>
      <c r="F385" s="57" t="str">
        <f>IFERROR(VLOOKUP(C385,$C$9:H384,4,FALSE),"")</f>
        <v/>
      </c>
      <c r="G385" s="61" t="str">
        <f>IFERROR(VLOOKUP(C385,$C$9:G384,5,FALSE),"")</f>
        <v/>
      </c>
      <c r="H385" s="61" t="str">
        <f>IFERROR(VLOOKUP(C385,$C$9:H384,6,FALSE),"")</f>
        <v/>
      </c>
      <c r="I385" s="61"/>
      <c r="J385" s="61" t="n">
        <v>0.0</v>
      </c>
      <c r="K385" s="61"/>
      <c r="L385" s="61" t="s">
        <v>445</v>
      </c>
      <c r="M385" s="42"/>
      <c r="N385" s="46" t="e">
        <f t="shared" si="17"/>
        <v>#DIV/0!</v>
      </c>
      <c r="O385" s="46" t="str">
        <f t="shared" si="18"/>
        <v/>
      </c>
      <c r="P385" s="46">
        <f t="shared" si="19"/>
        <v>1</v>
      </c>
      <c r="Q385" s="46"/>
      <c r="R385" s="45"/>
      <c r="S385" s="45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</row>
    <row r="386" spans="1:31" ht="14.25">
      <c r="A386" s="67" t="s">
        <v>645</v>
      </c>
      <c r="B386" s="68" t="s">
        <v>646</v>
      </c>
      <c r="C386" s="67" t="s">
        <v>446</v>
      </c>
      <c r="D386" s="75" t="n">
        <v>367.81</v>
      </c>
      <c r="E386" s="76" t="s">
        <v>0</v>
      </c>
      <c r="F386" s="57" t="str">
        <f>IFERROR(VLOOKUP(C386,$C$9:H385,4,FALSE),"")</f>
        <v/>
      </c>
      <c r="G386" s="61" t="str">
        <f>IFERROR(VLOOKUP(C386,$C$9:G385,5,FALSE),"")</f>
        <v/>
      </c>
      <c r="H386" s="61" t="str">
        <f>IFERROR(VLOOKUP(C386,$C$9:H385,6,FALSE),"")</f>
        <v/>
      </c>
      <c r="I386" s="61"/>
      <c r="J386" s="61" t="n">
        <v>0.0</v>
      </c>
      <c r="K386" s="61"/>
      <c r="L386" s="61" t="s">
        <v>445</v>
      </c>
      <c r="M386" s="42"/>
      <c r="N386" s="46" t="e">
        <f t="shared" si="17"/>
        <v>#DIV/0!</v>
      </c>
      <c r="O386" s="46" t="str">
        <f t="shared" si="18"/>
        <v/>
      </c>
      <c r="P386" s="46">
        <f t="shared" si="19"/>
        <v>1</v>
      </c>
      <c r="Q386" s="46"/>
      <c r="R386" s="45"/>
      <c r="S386" s="45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</row>
    <row r="387" spans="1:31" ht="14.25">
      <c r="A387" s="67" t="s">
        <v>645</v>
      </c>
      <c r="B387" s="68" t="s">
        <v>646</v>
      </c>
      <c r="C387" s="67" t="s">
        <v>444</v>
      </c>
      <c r="D387" s="75" t="n">
        <v>85.6</v>
      </c>
      <c r="E387" s="76" t="s">
        <v>0</v>
      </c>
      <c r="F387" s="57" t="str">
        <f>IFERROR(VLOOKUP(C387,$C$9:H386,4,FALSE),"")</f>
        <v/>
      </c>
      <c r="G387" s="61" t="str">
        <f>IFERROR(VLOOKUP(C387,$C$9:G386,5,FALSE),"")</f>
        <v/>
      </c>
      <c r="H387" s="61" t="str">
        <f>IFERROR(VLOOKUP(C387,$C$9:H386,6,FALSE),"")</f>
        <v/>
      </c>
      <c r="I387" s="61"/>
      <c r="J387" s="61" t="n">
        <v>0.0</v>
      </c>
      <c r="K387" s="61"/>
      <c r="L387" s="61" t="s">
        <v>445</v>
      </c>
      <c r="M387" s="42"/>
      <c r="N387" s="46" t="e">
        <f t="shared" si="17"/>
        <v>#DIV/0!</v>
      </c>
      <c r="O387" s="46" t="str">
        <f t="shared" si="18"/>
        <v/>
      </c>
      <c r="P387" s="46">
        <f t="shared" si="19"/>
        <v>1</v>
      </c>
      <c r="Q387" s="46"/>
      <c r="R387" s="45"/>
      <c r="S387" s="45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</row>
    <row r="388" spans="1:31" ht="14.25">
      <c r="A388" s="67" t="s">
        <v>645</v>
      </c>
      <c r="B388" s="68" t="s">
        <v>646</v>
      </c>
      <c r="C388" s="67" t="s">
        <v>446</v>
      </c>
      <c r="D388" s="75" t="n">
        <v>447.14</v>
      </c>
      <c r="E388" s="76" t="s">
        <v>0</v>
      </c>
      <c r="F388" s="57" t="str">
        <f>IFERROR(VLOOKUP(C388,$C$9:H387,4,FALSE),"")</f>
        <v/>
      </c>
      <c r="G388" s="61" t="str">
        <f>IFERROR(VLOOKUP(C388,$C$9:G387,5,FALSE),"")</f>
        <v/>
      </c>
      <c r="H388" s="61" t="str">
        <f>IFERROR(VLOOKUP(C388,$C$9:H387,6,FALSE),"")</f>
        <v/>
      </c>
      <c r="I388" s="61"/>
      <c r="J388" s="61" t="n">
        <v>0.0</v>
      </c>
      <c r="K388" s="61"/>
      <c r="L388" s="61" t="s">
        <v>445</v>
      </c>
      <c r="M388" s="42"/>
      <c r="N388" s="46" t="e">
        <f t="shared" si="17"/>
        <v>#DIV/0!</v>
      </c>
      <c r="O388" s="46" t="str">
        <f t="shared" si="18"/>
        <v/>
      </c>
      <c r="P388" s="46">
        <f t="shared" si="19"/>
        <v>1</v>
      </c>
      <c r="Q388" s="46"/>
      <c r="R388" s="45"/>
      <c r="S388" s="45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</row>
    <row r="389" spans="1:31" ht="14.25">
      <c r="A389" s="67" t="s">
        <v>645</v>
      </c>
      <c r="B389" s="78" t="s">
        <v>646</v>
      </c>
      <c r="C389" s="77" t="s">
        <v>544</v>
      </c>
      <c r="D389" s="75" t="n">
        <v>144.24</v>
      </c>
      <c r="E389" s="76" t="s">
        <v>0</v>
      </c>
      <c r="F389" s="57" t="str">
        <f>IFERROR(VLOOKUP(C389,$C$9:H388,4,FALSE),"")</f>
        <v/>
      </c>
      <c r="G389" s="61" t="str">
        <f>IFERROR(VLOOKUP(C389,$C$9:G388,5,FALSE),"")</f>
        <v/>
      </c>
      <c r="H389" s="61" t="str">
        <f>IFERROR(VLOOKUP(C389,$C$9:H388,6,FALSE),"")</f>
        <v/>
      </c>
      <c r="I389" s="61" t="s">
        <v>545</v>
      </c>
      <c r="J389" s="61" t="n">
        <v>0.0</v>
      </c>
      <c r="K389" s="61"/>
      <c r="L389" s="61" t="s">
        <v>445</v>
      </c>
      <c r="M389" s="42"/>
      <c r="N389" s="46" t="e">
        <f t="shared" si="17"/>
        <v>#DIV/0!</v>
      </c>
      <c r="O389" s="46" t="str">
        <f t="shared" si="18"/>
        <v/>
      </c>
      <c r="P389" s="46">
        <f t="shared" si="19"/>
        <v>1</v>
      </c>
      <c r="Q389" s="46"/>
      <c r="R389" s="45"/>
      <c r="S389" s="45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</row>
    <row r="390" spans="1:31" ht="14.25">
      <c r="A390" s="67" t="s">
        <v>645</v>
      </c>
      <c r="B390" s="78" t="s">
        <v>646</v>
      </c>
      <c r="C390" s="77" t="s">
        <v>546</v>
      </c>
      <c r="D390" s="75" t="n">
        <v>3820.0</v>
      </c>
      <c r="E390" s="76" t="s">
        <v>1</v>
      </c>
      <c r="F390" s="57" t="str">
        <f>IFERROR(VLOOKUP(C390,$C$9:H389,4,FALSE),"")</f>
        <v/>
      </c>
      <c r="G390" s="61" t="str">
        <f>IFERROR(VLOOKUP(C390,$C$9:G389,5,FALSE),"")</f>
        <v/>
      </c>
      <c r="H390" s="61" t="str">
        <f>IFERROR(VLOOKUP(C390,$C$9:H389,6,FALSE),"")</f>
        <v/>
      </c>
      <c r="I390" s="61" t="s">
        <v>490</v>
      </c>
      <c r="J390" s="61" t="n">
        <v>0.0</v>
      </c>
      <c r="K390" s="61"/>
      <c r="L390" s="61" t="s">
        <v>445</v>
      </c>
      <c r="M390" s="42"/>
      <c r="N390" s="46" t="e">
        <f t="shared" si="17"/>
        <v>#DIV/0!</v>
      </c>
      <c r="O390" s="46" t="str">
        <f t="shared" si="18"/>
        <v/>
      </c>
      <c r="P390" s="46">
        <f t="shared" si="19"/>
        <v>1</v>
      </c>
      <c r="Q390" s="46"/>
      <c r="R390" s="45"/>
      <c r="S390" s="45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</row>
    <row r="391" spans="1:31" ht="14.25">
      <c r="A391" s="67" t="s">
        <v>645</v>
      </c>
      <c r="B391" s="78" t="s">
        <v>646</v>
      </c>
      <c r="C391" s="77" t="s">
        <v>546</v>
      </c>
      <c r="D391" s="75" t="n">
        <v>5802.0</v>
      </c>
      <c r="E391" s="76" t="s">
        <v>1</v>
      </c>
      <c r="F391" s="57" t="str">
        <f>IFERROR(VLOOKUP(C391,$C$9:H390,4,FALSE),"")</f>
        <v/>
      </c>
      <c r="G391" s="61" t="str">
        <f>IFERROR(VLOOKUP(C391,$C$9:G390,5,FALSE),"")</f>
        <v/>
      </c>
      <c r="H391" s="61" t="str">
        <f>IFERROR(VLOOKUP(C391,$C$9:H390,6,FALSE),"")</f>
        <v/>
      </c>
      <c r="I391" s="61" t="s">
        <v>490</v>
      </c>
      <c r="J391" s="61" t="n">
        <v>0.0</v>
      </c>
      <c r="K391" s="61"/>
      <c r="L391" s="61" t="s">
        <v>445</v>
      </c>
      <c r="M391" s="42"/>
      <c r="N391" s="46" t="e">
        <f t="shared" si="17"/>
        <v>#DIV/0!</v>
      </c>
      <c r="O391" s="46" t="str">
        <f t="shared" si="18"/>
        <v/>
      </c>
      <c r="P391" s="46">
        <f t="shared" si="19"/>
        <v>1</v>
      </c>
      <c r="Q391" s="46"/>
      <c r="R391" s="45"/>
      <c r="S391" s="45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</row>
    <row r="392" spans="1:31" ht="14.25">
      <c r="A392" s="67" t="s">
        <v>645</v>
      </c>
      <c r="B392" s="68" t="s">
        <v>646</v>
      </c>
      <c r="C392" s="67" t="s">
        <v>549</v>
      </c>
      <c r="D392" s="75" t="n">
        <v>300.0</v>
      </c>
      <c r="E392" s="76" t="s">
        <v>1</v>
      </c>
      <c r="F392" s="57" t="str">
        <f>IFERROR(VLOOKUP(C392,$C$9:H391,4,FALSE),"")</f>
        <v/>
      </c>
      <c r="G392" s="61" t="str">
        <f>IFERROR(VLOOKUP(C392,$C$9:G391,5,FALSE),"")</f>
        <v/>
      </c>
      <c r="H392" s="61" t="str">
        <f>IFERROR(VLOOKUP(C392,$C$9:H391,6,FALSE),"")</f>
        <v/>
      </c>
      <c r="I392" s="61" t="s">
        <v>550</v>
      </c>
      <c r="J392" s="61" t="n">
        <v>0.0</v>
      </c>
      <c r="K392" s="61"/>
      <c r="L392" s="61" t="s">
        <v>445</v>
      </c>
      <c r="M392" s="42"/>
      <c r="N392" s="46" t="e">
        <f t="shared" si="17"/>
        <v>#DIV/0!</v>
      </c>
      <c r="O392" s="46" t="str">
        <f t="shared" si="18"/>
        <v/>
      </c>
      <c r="P392" s="46">
        <f t="shared" si="19"/>
        <v>1</v>
      </c>
      <c r="Q392" s="46"/>
      <c r="R392" s="45"/>
      <c r="S392" s="45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</row>
    <row r="393" spans="1:31" ht="14.25">
      <c r="A393" s="67" t="s">
        <v>647</v>
      </c>
      <c r="B393" s="68" t="s">
        <v>646</v>
      </c>
      <c r="C393" s="67" t="s">
        <v>439</v>
      </c>
      <c r="D393" s="75" t="n">
        <v>49.0</v>
      </c>
      <c r="E393" s="76" t="s">
        <v>0</v>
      </c>
      <c r="F393" s="57" t="str">
        <f>IFERROR(VLOOKUP(C393,$C$9:H392,4,FALSE),"")</f>
        <v/>
      </c>
      <c r="G393" s="61" t="s">
        <v>350</v>
      </c>
      <c r="H393" s="61" t="s">
        <v>404</v>
      </c>
      <c r="I393" s="61" t="s">
        <v>433</v>
      </c>
      <c r="J393" s="61" t="n">
        <v>49.0</v>
      </c>
      <c r="K393" s="61" t="s">
        <v>434</v>
      </c>
      <c r="L393" s="61" t="s">
        <v>435</v>
      </c>
      <c r="M393" s="42"/>
      <c r="N393" s="46" t="e">
        <f t="shared" si="17"/>
        <v>#DIV/0!</v>
      </c>
      <c r="O393" s="46" t="str">
        <f t="shared" si="18"/>
        <v/>
      </c>
      <c r="P393" s="46">
        <f t="shared" si="19"/>
        <v>1</v>
      </c>
      <c r="Q393" s="46"/>
      <c r="R393" s="45"/>
      <c r="S393" s="45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</row>
    <row r="394" spans="1:31" ht="14.25">
      <c r="A394" s="67" t="s">
        <v>647</v>
      </c>
      <c r="B394" s="68" t="s">
        <v>646</v>
      </c>
      <c r="C394" s="67" t="s">
        <v>442</v>
      </c>
      <c r="D394" s="75" t="n">
        <v>70.0</v>
      </c>
      <c r="E394" s="76" t="s">
        <v>0</v>
      </c>
      <c r="F394" s="57" t="str">
        <f>IFERROR(VLOOKUP(C394,$C$9:H393,4,FALSE),"")</f>
        <v/>
      </c>
      <c r="G394" s="61" t="str">
        <f>IFERROR(VLOOKUP(C394,$C$9:G393,5,FALSE),"")</f>
        <v/>
      </c>
      <c r="H394" s="61" t="str">
        <f>IFERROR(VLOOKUP(C394,$C$9:H393,6,FALSE),"")</f>
        <v/>
      </c>
      <c r="I394" s="61" t="s">
        <v>433</v>
      </c>
      <c r="J394" s="61" t="n">
        <v>70.0</v>
      </c>
      <c r="K394" s="61" t="s">
        <v>434</v>
      </c>
      <c r="L394" s="61" t="s">
        <v>435</v>
      </c>
      <c r="M394" s="42"/>
      <c r="N394" s="46" t="e">
        <f t="shared" ref="N394:N457" si="20">IF(OR(F394=$P$1,F394="",F394=0),D394/$B$2,IF(OR(F394=$P$2,F394=$P$3,F394=$P$4),D394/(O394*P394),D394/O394))</f>
        <v>#DIV/0!</v>
      </c>
      <c r="O394" s="46" t="str">
        <f t="shared" ref="O394:O457" si="21">IFERROR(VLOOKUP(F394,$P$1:$Q$4,2,0),F394)</f>
        <v/>
      </c>
      <c r="P394" s="46">
        <f t="shared" si="19"/>
        <v>1</v>
      </c>
      <c r="Q394" s="46"/>
      <c r="R394" s="45"/>
      <c r="S394" s="45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</row>
    <row r="395" spans="1:31" ht="14.25">
      <c r="A395" s="67" t="s">
        <v>647</v>
      </c>
      <c r="B395" s="68" t="s">
        <v>646</v>
      </c>
      <c r="C395" s="67" t="s">
        <v>442</v>
      </c>
      <c r="D395" s="75" t="n">
        <v>150.0</v>
      </c>
      <c r="E395" s="76" t="s">
        <v>0</v>
      </c>
      <c r="F395" s="57" t="str">
        <f>IFERROR(VLOOKUP(C395,$C$9:H394,4,FALSE),"")</f>
        <v/>
      </c>
      <c r="G395" s="61" t="str">
        <f>IFERROR(VLOOKUP(C395,$C$9:G394,5,FALSE),"")</f>
        <v/>
      </c>
      <c r="H395" s="61" t="str">
        <f>IFERROR(VLOOKUP(C395,$C$9:H394,6,FALSE),"")</f>
        <v/>
      </c>
      <c r="I395" s="61" t="s">
        <v>433</v>
      </c>
      <c r="J395" s="61" t="n">
        <v>150.0</v>
      </c>
      <c r="K395" s="61" t="s">
        <v>434</v>
      </c>
      <c r="L395" s="61" t="s">
        <v>435</v>
      </c>
      <c r="M395" s="42"/>
      <c r="N395" s="46" t="e">
        <f t="shared" si="20"/>
        <v>#DIV/0!</v>
      </c>
      <c r="O395" s="46" t="str">
        <f t="shared" si="21"/>
        <v/>
      </c>
      <c r="P395" s="46">
        <f t="shared" ref="P395:P458" si="22">IF(C395="",1,COUNTIFS($C$9:$C$1499,C395,$H$9:$H$1499,H395))</f>
        <v>1</v>
      </c>
      <c r="Q395" s="46"/>
      <c r="R395" s="45"/>
      <c r="S395" s="45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</row>
    <row r="396" spans="1:31" ht="14.25">
      <c r="A396" s="67" t="s">
        <v>645</v>
      </c>
      <c r="B396" s="68" t="s">
        <v>648</v>
      </c>
      <c r="C396" s="67" t="s">
        <v>444</v>
      </c>
      <c r="D396" s="75" t="n">
        <v>105.19</v>
      </c>
      <c r="E396" s="76" t="s">
        <v>0</v>
      </c>
      <c r="F396" s="57" t="str">
        <f>IFERROR(VLOOKUP(C396,$C$9:H395,4,FALSE),"")</f>
        <v/>
      </c>
      <c r="G396" s="61" t="str">
        <f>IFERROR(VLOOKUP(C396,$C$9:G395,5,FALSE),"")</f>
        <v/>
      </c>
      <c r="H396" s="61" t="str">
        <f>IFERROR(VLOOKUP(C396,$C$9:H395,6,FALSE),"")</f>
        <v/>
      </c>
      <c r="I396" s="61"/>
      <c r="J396" s="61" t="n">
        <v>0.0</v>
      </c>
      <c r="K396" s="61"/>
      <c r="L396" s="61" t="s">
        <v>445</v>
      </c>
      <c r="M396" s="42"/>
      <c r="N396" s="46" t="e">
        <f t="shared" si="20"/>
        <v>#DIV/0!</v>
      </c>
      <c r="O396" s="46" t="str">
        <f t="shared" si="21"/>
        <v/>
      </c>
      <c r="P396" s="46">
        <f t="shared" si="22"/>
        <v>1</v>
      </c>
      <c r="Q396" s="46"/>
      <c r="R396" s="45"/>
      <c r="S396" s="45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</row>
    <row r="397" spans="1:31" ht="14.25">
      <c r="A397" s="67" t="s">
        <v>645</v>
      </c>
      <c r="B397" s="68" t="s">
        <v>648</v>
      </c>
      <c r="C397" s="67" t="s">
        <v>446</v>
      </c>
      <c r="D397" s="75" t="n">
        <v>334.96</v>
      </c>
      <c r="E397" s="76" t="s">
        <v>0</v>
      </c>
      <c r="F397" s="57" t="str">
        <f>IFERROR(VLOOKUP(C397,$C$9:H396,4,FALSE),"")</f>
        <v/>
      </c>
      <c r="G397" s="61" t="str">
        <f>IFERROR(VLOOKUP(C397,$C$9:G396,5,FALSE),"")</f>
        <v/>
      </c>
      <c r="H397" s="61" t="str">
        <f>IFERROR(VLOOKUP(C397,$C$9:H396,6,FALSE),"")</f>
        <v/>
      </c>
      <c r="I397" s="61"/>
      <c r="J397" s="61" t="n">
        <v>0.0</v>
      </c>
      <c r="K397" s="61"/>
      <c r="L397" s="61" t="s">
        <v>445</v>
      </c>
      <c r="M397" s="42"/>
      <c r="N397" s="46" t="e">
        <f t="shared" si="20"/>
        <v>#DIV/0!</v>
      </c>
      <c r="O397" s="46" t="str">
        <f t="shared" si="21"/>
        <v/>
      </c>
      <c r="P397" s="46">
        <f t="shared" si="22"/>
        <v>1</v>
      </c>
      <c r="Q397" s="46"/>
      <c r="R397" s="45"/>
      <c r="S397" s="45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</row>
    <row r="398" spans="1:31" ht="14.25">
      <c r="A398" s="67" t="s">
        <v>645</v>
      </c>
      <c r="B398" s="68" t="s">
        <v>648</v>
      </c>
      <c r="C398" s="67" t="s">
        <v>452</v>
      </c>
      <c r="D398" s="75" t="n">
        <v>10633.51</v>
      </c>
      <c r="E398" s="76" t="s">
        <v>0</v>
      </c>
      <c r="F398" s="57" t="str">
        <f>IFERROR(VLOOKUP(C398,$C$9:H397,4,FALSE),"")</f>
        <v/>
      </c>
      <c r="G398" s="61" t="s">
        <v>414</v>
      </c>
      <c r="H398" s="61" t="s">
        <v>414</v>
      </c>
      <c r="I398" s="61"/>
      <c r="J398" s="61" t="n">
        <v>0.0</v>
      </c>
      <c r="K398" s="61"/>
      <c r="L398" s="61" t="s">
        <v>445</v>
      </c>
      <c r="M398" s="42"/>
      <c r="N398" s="46" t="e">
        <f t="shared" si="20"/>
        <v>#DIV/0!</v>
      </c>
      <c r="O398" s="46" t="str">
        <f t="shared" si="21"/>
        <v/>
      </c>
      <c r="P398" s="46">
        <f t="shared" si="22"/>
        <v>1</v>
      </c>
      <c r="Q398" s="46"/>
      <c r="R398" s="45"/>
      <c r="S398" s="45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</row>
    <row r="399" spans="1:31" ht="14.25">
      <c r="A399" s="67" t="s">
        <v>647</v>
      </c>
      <c r="B399" s="68" t="s">
        <v>648</v>
      </c>
      <c r="C399" s="67" t="s">
        <v>456</v>
      </c>
      <c r="D399" s="75" t="n">
        <v>-199.0</v>
      </c>
      <c r="E399" s="76" t="s">
        <v>0</v>
      </c>
      <c r="F399" s="57" t="str">
        <f>IFERROR(VLOOKUP(C399,$C$9:H398,4,FALSE),"")</f>
        <v/>
      </c>
      <c r="G399" s="61" t="str">
        <f>IFERROR(VLOOKUP(C399,$C$9:G398,5,FALSE),"")</f>
        <v/>
      </c>
      <c r="H399" s="61" t="str">
        <f>IFERROR(VLOOKUP(C399,$C$9:H398,6,FALSE),"")</f>
        <v/>
      </c>
      <c r="I399" s="61" t="s">
        <v>479</v>
      </c>
      <c r="J399" s="61" t="n">
        <v>199.0</v>
      </c>
      <c r="K399" s="61" t="s">
        <v>434</v>
      </c>
      <c r="L399" s="61" t="s">
        <v>435</v>
      </c>
      <c r="M399" s="42"/>
      <c r="N399" s="46" t="e">
        <f t="shared" si="20"/>
        <v>#DIV/0!</v>
      </c>
      <c r="O399" s="46" t="str">
        <f t="shared" si="21"/>
        <v/>
      </c>
      <c r="P399" s="46">
        <f t="shared" si="22"/>
        <v>1</v>
      </c>
      <c r="Q399" s="46"/>
      <c r="R399" s="45"/>
      <c r="S399" s="45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</row>
    <row r="400" spans="1:31" ht="14.25">
      <c r="A400" s="67" t="s">
        <v>647</v>
      </c>
      <c r="B400" s="68" t="s">
        <v>648</v>
      </c>
      <c r="C400" s="67" t="s">
        <v>649</v>
      </c>
      <c r="D400" s="75" t="n">
        <v>49.0</v>
      </c>
      <c r="E400" s="76" t="s">
        <v>0</v>
      </c>
      <c r="F400" s="57" t="str">
        <f>IFERROR(VLOOKUP(C400,$C$9:H399,4,FALSE),"")</f>
        <v/>
      </c>
      <c r="G400" s="61" t="str">
        <f>IFERROR(VLOOKUP(C400,$C$9:G399,5,FALSE),"")</f>
        <v/>
      </c>
      <c r="H400" s="61" t="str">
        <f>IFERROR(VLOOKUP(C400,$C$9:H399,6,FALSE),"")</f>
        <v/>
      </c>
      <c r="I400" s="61" t="s">
        <v>437</v>
      </c>
      <c r="J400" s="61" t="n">
        <v>49.0</v>
      </c>
      <c r="K400" s="61" t="s">
        <v>434</v>
      </c>
      <c r="L400" s="61" t="s">
        <v>435</v>
      </c>
      <c r="M400" s="42"/>
      <c r="N400" s="46" t="e">
        <f t="shared" si="20"/>
        <v>#DIV/0!</v>
      </c>
      <c r="O400" s="46" t="str">
        <f t="shared" si="21"/>
        <v/>
      </c>
      <c r="P400" s="46">
        <f t="shared" si="22"/>
        <v>1</v>
      </c>
      <c r="Q400" s="46"/>
      <c r="R400" s="45"/>
      <c r="S400" s="45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</row>
    <row r="401" spans="1:31" ht="14.25">
      <c r="A401" s="67" t="s">
        <v>647</v>
      </c>
      <c r="B401" s="78" t="s">
        <v>650</v>
      </c>
      <c r="C401" s="77" t="s">
        <v>651</v>
      </c>
      <c r="D401" s="75" t="n">
        <v>6.0</v>
      </c>
      <c r="E401" s="76" t="s">
        <v>0</v>
      </c>
      <c r="F401" s="57" t="str">
        <f>IFERROR(VLOOKUP(C401,$C$9:H400,4,FALSE),"")</f>
        <v/>
      </c>
      <c r="G401" s="61" t="str">
        <f>IFERROR(VLOOKUP(C401,$C$9:G400,5,FALSE),"")</f>
        <v/>
      </c>
      <c r="H401" s="61" t="str">
        <f>IFERROR(VLOOKUP(C401,$C$9:H400,6,FALSE),"")</f>
        <v/>
      </c>
      <c r="I401" s="61" t="s">
        <v>433</v>
      </c>
      <c r="J401" s="61" t="n">
        <v>6.0</v>
      </c>
      <c r="K401" s="61" t="s">
        <v>434</v>
      </c>
      <c r="L401" s="61" t="s">
        <v>435</v>
      </c>
      <c r="M401" s="42"/>
      <c r="N401" s="46" t="e">
        <f t="shared" si="20"/>
        <v>#DIV/0!</v>
      </c>
      <c r="O401" s="46" t="str">
        <f t="shared" si="21"/>
        <v/>
      </c>
      <c r="P401" s="46">
        <f t="shared" si="22"/>
        <v>1</v>
      </c>
      <c r="Q401" s="46"/>
      <c r="R401" s="45"/>
      <c r="S401" s="45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</row>
    <row r="402" spans="1:31" ht="14.25">
      <c r="A402" s="67" t="s">
        <v>478</v>
      </c>
      <c r="B402" s="78" t="s">
        <v>650</v>
      </c>
      <c r="C402" s="77" t="s">
        <v>581</v>
      </c>
      <c r="D402" s="75" t="n">
        <v>69.9</v>
      </c>
      <c r="E402" s="76" t="s">
        <v>0</v>
      </c>
      <c r="F402" s="57" t="str">
        <f>IFERROR(VLOOKUP(C402,$C$9:H401,4,FALSE),"")</f>
        <v/>
      </c>
      <c r="G402" s="61" t="s">
        <v>361</v>
      </c>
      <c r="H402" s="61" t="s">
        <v>331</v>
      </c>
      <c r="I402" s="61" t="s">
        <v>464</v>
      </c>
      <c r="J402" s="61" t="n">
        <v>69.9</v>
      </c>
      <c r="K402" s="61" t="s">
        <v>434</v>
      </c>
      <c r="L402" s="61" t="s">
        <v>435</v>
      </c>
      <c r="M402" s="42"/>
      <c r="N402" s="46" t="e">
        <f t="shared" si="20"/>
        <v>#DIV/0!</v>
      </c>
      <c r="O402" s="46" t="str">
        <f t="shared" si="21"/>
        <v/>
      </c>
      <c r="P402" s="46">
        <f t="shared" si="22"/>
        <v>1</v>
      </c>
      <c r="Q402" s="46"/>
      <c r="R402" s="45"/>
      <c r="S402" s="45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</row>
    <row r="403" spans="1:31" ht="14.25">
      <c r="A403" s="67" t="s">
        <v>645</v>
      </c>
      <c r="B403" s="68" t="s">
        <v>652</v>
      </c>
      <c r="C403" s="67" t="s">
        <v>452</v>
      </c>
      <c r="D403" s="75" t="n">
        <v>115.8</v>
      </c>
      <c r="E403" s="76" t="s">
        <v>0</v>
      </c>
      <c r="F403" s="57" t="str">
        <f>IFERROR(VLOOKUP(C403,$C$9:H402,4,FALSE),"")</f>
        <v/>
      </c>
      <c r="G403" s="61" t="s">
        <v>414</v>
      </c>
      <c r="H403" s="61" t="s">
        <v>414</v>
      </c>
      <c r="I403" s="61"/>
      <c r="J403" s="61" t="n">
        <v>0.0</v>
      </c>
      <c r="K403" s="61"/>
      <c r="L403" s="61" t="s">
        <v>445</v>
      </c>
      <c r="M403" s="42"/>
      <c r="N403" s="46" t="e">
        <f t="shared" si="20"/>
        <v>#DIV/0!</v>
      </c>
      <c r="O403" s="46" t="str">
        <f t="shared" si="21"/>
        <v/>
      </c>
      <c r="P403" s="46">
        <f t="shared" si="22"/>
        <v>1</v>
      </c>
      <c r="Q403" s="46"/>
      <c r="R403" s="45"/>
      <c r="S403" s="45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</row>
    <row r="404" spans="1:31" ht="14.25">
      <c r="A404" s="67" t="s">
        <v>647</v>
      </c>
      <c r="B404" s="68" t="s">
        <v>652</v>
      </c>
      <c r="C404" s="67" t="s">
        <v>460</v>
      </c>
      <c r="D404" s="75" t="n">
        <v>214.17</v>
      </c>
      <c r="E404" s="76" t="s">
        <v>0</v>
      </c>
      <c r="F404" s="57" t="str">
        <f>IFERROR(VLOOKUP(C404,$C$9:H403,4,FALSE),"")</f>
        <v/>
      </c>
      <c r="G404" s="61" t="str">
        <f>IFERROR(VLOOKUP(C404,$C$9:G403,5,FALSE),"")</f>
        <v/>
      </c>
      <c r="H404" s="61" t="str">
        <f>IFERROR(VLOOKUP(C404,$C$9:H403,6,FALSE),"")</f>
        <v/>
      </c>
      <c r="I404" s="61" t="s">
        <v>433</v>
      </c>
      <c r="J404" s="61" t="n">
        <v>214.17</v>
      </c>
      <c r="K404" s="61" t="s">
        <v>434</v>
      </c>
      <c r="L404" s="61" t="s">
        <v>435</v>
      </c>
      <c r="M404" s="42"/>
      <c r="N404" s="46" t="e">
        <f t="shared" si="20"/>
        <v>#DIV/0!</v>
      </c>
      <c r="O404" s="46" t="str">
        <f t="shared" si="21"/>
        <v/>
      </c>
      <c r="P404" s="46">
        <f t="shared" si="22"/>
        <v>1</v>
      </c>
      <c r="Q404" s="46"/>
      <c r="R404" s="45"/>
      <c r="S404" s="45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</row>
    <row r="405" spans="1:31" ht="14.25">
      <c r="A405" s="67" t="s">
        <v>645</v>
      </c>
      <c r="B405" s="68" t="s">
        <v>653</v>
      </c>
      <c r="C405" s="67" t="s">
        <v>590</v>
      </c>
      <c r="D405" s="75" t="n">
        <v>400.0</v>
      </c>
      <c r="E405" s="76" t="s">
        <v>1</v>
      </c>
      <c r="F405" s="57" t="str">
        <f>IFERROR(VLOOKUP(C405,$C$9:H404,4,FALSE),"")</f>
        <v/>
      </c>
      <c r="G405" s="61" t="str">
        <f>IFERROR(VLOOKUP(C405,$C$9:G404,5,FALSE),"")</f>
        <v/>
      </c>
      <c r="H405" s="61" t="str">
        <f>IFERROR(VLOOKUP(C405,$C$9:H404,6,FALSE),"")</f>
        <v/>
      </c>
      <c r="I405" s="61" t="s">
        <v>654</v>
      </c>
      <c r="J405" s="61" t="n">
        <v>0.0</v>
      </c>
      <c r="K405" s="61"/>
      <c r="L405" s="61" t="s">
        <v>445</v>
      </c>
      <c r="M405" s="42"/>
      <c r="N405" s="46" t="e">
        <f t="shared" si="20"/>
        <v>#DIV/0!</v>
      </c>
      <c r="O405" s="46" t="str">
        <f t="shared" si="21"/>
        <v/>
      </c>
      <c r="P405" s="46">
        <f t="shared" si="22"/>
        <v>1</v>
      </c>
      <c r="Q405" s="46"/>
      <c r="R405" s="45"/>
      <c r="S405" s="45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</row>
    <row r="406" spans="1:31" ht="14.25">
      <c r="A406" s="67" t="s">
        <v>645</v>
      </c>
      <c r="B406" s="68" t="s">
        <v>653</v>
      </c>
      <c r="C406" s="67" t="s">
        <v>547</v>
      </c>
      <c r="D406" s="75" t="n">
        <v>300.0</v>
      </c>
      <c r="E406" s="76" t="s">
        <v>1</v>
      </c>
      <c r="F406" s="57" t="str">
        <f>IFERROR(VLOOKUP(C406,$C$9:H405,4,FALSE),"")</f>
        <v/>
      </c>
      <c r="G406" s="61" t="str">
        <f>IFERROR(VLOOKUP(C406,$C$9:G405,5,FALSE),"")</f>
        <v/>
      </c>
      <c r="H406" s="61" t="str">
        <f>IFERROR(VLOOKUP(C406,$C$9:H405,6,FALSE),"")</f>
        <v/>
      </c>
      <c r="I406" s="61" t="s">
        <v>548</v>
      </c>
      <c r="J406" s="61" t="n">
        <v>0.0</v>
      </c>
      <c r="K406" s="61"/>
      <c r="L406" s="61" t="s">
        <v>445</v>
      </c>
      <c r="M406" s="42"/>
      <c r="N406" s="46" t="e">
        <f t="shared" si="20"/>
        <v>#DIV/0!</v>
      </c>
      <c r="O406" s="46" t="str">
        <f t="shared" si="21"/>
        <v/>
      </c>
      <c r="P406" s="46">
        <f t="shared" si="22"/>
        <v>1</v>
      </c>
      <c r="Q406" s="46"/>
      <c r="R406" s="45"/>
      <c r="S406" s="45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</row>
    <row r="407" spans="1:31" ht="14.25">
      <c r="A407" s="67" t="s">
        <v>647</v>
      </c>
      <c r="B407" s="68" t="s">
        <v>653</v>
      </c>
      <c r="C407" s="67" t="s">
        <v>655</v>
      </c>
      <c r="D407" s="75" t="n">
        <v>122.49</v>
      </c>
      <c r="E407" s="76" t="s">
        <v>0</v>
      </c>
      <c r="F407" s="57" t="str">
        <f>IFERROR(VLOOKUP(C407,$C$9:H406,4,FALSE),"")</f>
        <v/>
      </c>
      <c r="G407" s="61" t="str">
        <f>IFERROR(VLOOKUP(C407,$C$9:G406,5,FALSE),"")</f>
        <v/>
      </c>
      <c r="H407" s="61" t="str">
        <f>IFERROR(VLOOKUP(C407,$C$9:H406,6,FALSE),"")</f>
        <v/>
      </c>
      <c r="I407" s="61" t="s">
        <v>433</v>
      </c>
      <c r="J407" s="61" t="n">
        <v>122.49</v>
      </c>
      <c r="K407" s="61" t="s">
        <v>434</v>
      </c>
      <c r="L407" s="61" t="s">
        <v>435</v>
      </c>
      <c r="M407" s="42"/>
      <c r="N407" s="46" t="e">
        <f t="shared" si="20"/>
        <v>#DIV/0!</v>
      </c>
      <c r="O407" s="46" t="str">
        <f t="shared" si="21"/>
        <v/>
      </c>
      <c r="P407" s="46">
        <f t="shared" si="22"/>
        <v>1</v>
      </c>
      <c r="Q407" s="46"/>
      <c r="R407" s="45"/>
      <c r="S407" s="45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</row>
    <row r="408" spans="1:31" ht="14.25">
      <c r="A408" s="67" t="s">
        <v>647</v>
      </c>
      <c r="B408" s="68" t="s">
        <v>653</v>
      </c>
      <c r="C408" s="67" t="s">
        <v>543</v>
      </c>
      <c r="D408" s="75" t="n">
        <v>-150.0</v>
      </c>
      <c r="E408" s="76" t="s">
        <v>0</v>
      </c>
      <c r="F408" s="57" t="str">
        <f>IFERROR(VLOOKUP(C408,$C$9:H407,4,FALSE),"")</f>
        <v/>
      </c>
      <c r="G408" s="61" t="str">
        <f>IFERROR(VLOOKUP(C408,$C$9:G407,5,FALSE),"")</f>
        <v/>
      </c>
      <c r="H408" s="61" t="str">
        <f>IFERROR(VLOOKUP(C408,$C$9:H407,6,FALSE),"")</f>
        <v/>
      </c>
      <c r="I408" s="61" t="s">
        <v>479</v>
      </c>
      <c r="J408" s="61" t="n">
        <v>150.0</v>
      </c>
      <c r="K408" s="61" t="s">
        <v>434</v>
      </c>
      <c r="L408" s="61" t="s">
        <v>435</v>
      </c>
      <c r="M408" s="42"/>
      <c r="N408" s="46" t="e">
        <f t="shared" si="20"/>
        <v>#DIV/0!</v>
      </c>
      <c r="O408" s="46" t="str">
        <f t="shared" si="21"/>
        <v/>
      </c>
      <c r="P408" s="46">
        <f t="shared" si="22"/>
        <v>1</v>
      </c>
      <c r="Q408" s="46"/>
      <c r="R408" s="45"/>
      <c r="S408" s="45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</row>
    <row r="409" spans="1:31" ht="14.25">
      <c r="A409" s="67" t="s">
        <v>647</v>
      </c>
      <c r="B409" s="68" t="s">
        <v>656</v>
      </c>
      <c r="C409" s="67" t="s">
        <v>508</v>
      </c>
      <c r="D409" s="75" t="n">
        <v>110.0</v>
      </c>
      <c r="E409" s="76" t="s">
        <v>0</v>
      </c>
      <c r="F409" s="57" t="str">
        <f>IFERROR(VLOOKUP(C409,$C$9:H408,4,FALSE),"")</f>
        <v/>
      </c>
      <c r="G409" s="61" t="s">
        <v>354</v>
      </c>
      <c r="H409" s="61" t="s">
        <v>429</v>
      </c>
      <c r="I409" s="61" t="s">
        <v>433</v>
      </c>
      <c r="J409" s="61" t="n">
        <v>110.0</v>
      </c>
      <c r="K409" s="61" t="s">
        <v>434</v>
      </c>
      <c r="L409" s="61" t="s">
        <v>435</v>
      </c>
      <c r="M409" s="42"/>
      <c r="N409" s="46" t="e">
        <f t="shared" si="20"/>
        <v>#DIV/0!</v>
      </c>
      <c r="O409" s="46" t="str">
        <f t="shared" si="21"/>
        <v/>
      </c>
      <c r="P409" s="46">
        <f t="shared" si="22"/>
        <v>1</v>
      </c>
      <c r="Q409" s="46"/>
      <c r="R409" s="45"/>
      <c r="S409" s="45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</row>
    <row r="410" spans="1:31" ht="14.25">
      <c r="A410" s="67" t="s">
        <v>647</v>
      </c>
      <c r="B410" s="68" t="s">
        <v>656</v>
      </c>
      <c r="C410" s="67" t="s">
        <v>657</v>
      </c>
      <c r="D410" s="75" t="n">
        <v>70.0</v>
      </c>
      <c r="E410" s="76" t="s">
        <v>0</v>
      </c>
      <c r="F410" s="57" t="str">
        <f>IFERROR(VLOOKUP(C410,$C$9:H409,4,FALSE),"")</f>
        <v/>
      </c>
      <c r="G410" s="61" t="str">
        <f>IFERROR(VLOOKUP(C410,$C$9:G409,5,FALSE),"")</f>
        <v/>
      </c>
      <c r="H410" s="61" t="str">
        <f>IFERROR(VLOOKUP(C410,$C$9:H409,6,FALSE),"")</f>
        <v/>
      </c>
      <c r="I410" s="61" t="s">
        <v>433</v>
      </c>
      <c r="J410" s="61" t="n">
        <v>70.0</v>
      </c>
      <c r="K410" s="61" t="s">
        <v>434</v>
      </c>
      <c r="L410" s="61" t="s">
        <v>435</v>
      </c>
      <c r="M410" s="42"/>
      <c r="N410" s="46" t="e">
        <f t="shared" si="20"/>
        <v>#DIV/0!</v>
      </c>
      <c r="O410" s="46" t="str">
        <f t="shared" si="21"/>
        <v/>
      </c>
      <c r="P410" s="46">
        <f t="shared" si="22"/>
        <v>1</v>
      </c>
      <c r="Q410" s="46"/>
      <c r="R410" s="45"/>
      <c r="S410" s="45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</row>
    <row r="411" spans="1:31" ht="14.25">
      <c r="A411" s="67" t="s">
        <v>647</v>
      </c>
      <c r="B411" s="68" t="s">
        <v>656</v>
      </c>
      <c r="C411" s="67" t="s">
        <v>442</v>
      </c>
      <c r="D411" s="75" t="n">
        <v>67.0</v>
      </c>
      <c r="E411" s="76" t="s">
        <v>0</v>
      </c>
      <c r="F411" s="57" t="str">
        <f>IFERROR(VLOOKUP(C411,$C$9:H410,4,FALSE),"")</f>
        <v/>
      </c>
      <c r="G411" s="61" t="str">
        <f>IFERROR(VLOOKUP(C411,$C$9:G410,5,FALSE),"")</f>
        <v/>
      </c>
      <c r="H411" s="61" t="str">
        <f>IFERROR(VLOOKUP(C411,$C$9:H410,6,FALSE),"")</f>
        <v/>
      </c>
      <c r="I411" s="61" t="s">
        <v>433</v>
      </c>
      <c r="J411" s="61" t="n">
        <v>67.0</v>
      </c>
      <c r="K411" s="61" t="s">
        <v>434</v>
      </c>
      <c r="L411" s="61" t="s">
        <v>435</v>
      </c>
      <c r="M411" s="42"/>
      <c r="N411" s="46" t="e">
        <f t="shared" si="20"/>
        <v>#DIV/0!</v>
      </c>
      <c r="O411" s="46" t="str">
        <f t="shared" si="21"/>
        <v/>
      </c>
      <c r="P411" s="46">
        <f t="shared" si="22"/>
        <v>1</v>
      </c>
      <c r="Q411" s="46"/>
      <c r="R411" s="45"/>
      <c r="S411" s="45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</row>
    <row r="412" spans="1:31" ht="14.25">
      <c r="A412" s="67" t="s">
        <v>478</v>
      </c>
      <c r="B412" s="68" t="s">
        <v>656</v>
      </c>
      <c r="C412" s="67" t="s">
        <v>658</v>
      </c>
      <c r="D412" s="75" t="n">
        <v>19.3</v>
      </c>
      <c r="E412" s="76" t="s">
        <v>0</v>
      </c>
      <c r="F412" s="57" t="str">
        <f>IFERROR(VLOOKUP(C412,$C$9:H411,4,FALSE),"")</f>
        <v/>
      </c>
      <c r="G412" s="61" t="str">
        <f>IFERROR(VLOOKUP(C412,$C$9:G411,5,FALSE),"")</f>
        <v/>
      </c>
      <c r="H412" s="61" t="str">
        <f>IFERROR(VLOOKUP(C412,$C$9:H411,6,FALSE),"")</f>
        <v/>
      </c>
      <c r="I412" s="61" t="s">
        <v>433</v>
      </c>
      <c r="J412" s="61" t="n">
        <v>19.3</v>
      </c>
      <c r="K412" s="61" t="s">
        <v>434</v>
      </c>
      <c r="L412" s="61" t="s">
        <v>435</v>
      </c>
      <c r="M412" s="42"/>
      <c r="N412" s="46" t="e">
        <f t="shared" si="20"/>
        <v>#DIV/0!</v>
      </c>
      <c r="O412" s="46" t="str">
        <f t="shared" si="21"/>
        <v/>
      </c>
      <c r="P412" s="46">
        <f t="shared" si="22"/>
        <v>1</v>
      </c>
      <c r="Q412" s="46"/>
      <c r="R412" s="45"/>
      <c r="S412" s="45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</row>
    <row r="413" spans="1:31" ht="14.25">
      <c r="A413" s="67" t="s">
        <v>647</v>
      </c>
      <c r="B413" s="68" t="s">
        <v>659</v>
      </c>
      <c r="C413" s="67" t="s">
        <v>660</v>
      </c>
      <c r="D413" s="75" t="n">
        <v>96.0</v>
      </c>
      <c r="E413" s="76" t="s">
        <v>0</v>
      </c>
      <c r="F413" s="57" t="str">
        <f>IFERROR(VLOOKUP(C413,$C$9:H412,4,FALSE),"")</f>
        <v/>
      </c>
      <c r="G413" s="61" t="str">
        <f>IFERROR(VLOOKUP(C413,$C$9:G412,5,FALSE),"")</f>
        <v/>
      </c>
      <c r="H413" s="61" t="str">
        <f>IFERROR(VLOOKUP(C413,$C$9:H412,6,FALSE),"")</f>
        <v/>
      </c>
      <c r="I413" s="61" t="s">
        <v>433</v>
      </c>
      <c r="J413" s="61" t="n">
        <v>96.0</v>
      </c>
      <c r="K413" s="61" t="s">
        <v>434</v>
      </c>
      <c r="L413" s="61" t="s">
        <v>435</v>
      </c>
      <c r="M413" s="42"/>
      <c r="N413" s="46" t="e">
        <f t="shared" si="20"/>
        <v>#DIV/0!</v>
      </c>
      <c r="O413" s="46" t="str">
        <f t="shared" si="21"/>
        <v/>
      </c>
      <c r="P413" s="46">
        <f t="shared" si="22"/>
        <v>1</v>
      </c>
      <c r="Q413" s="46"/>
      <c r="R413" s="45"/>
      <c r="S413" s="45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</row>
    <row r="414" spans="1:31" ht="14.25">
      <c r="A414" s="67" t="s">
        <v>647</v>
      </c>
      <c r="B414" s="68" t="s">
        <v>659</v>
      </c>
      <c r="C414" s="67" t="s">
        <v>439</v>
      </c>
      <c r="D414" s="75" t="n">
        <v>186.6</v>
      </c>
      <c r="E414" s="76" t="s">
        <v>0</v>
      </c>
      <c r="F414" s="57" t="str">
        <f>IFERROR(VLOOKUP(C414,$C$9:H413,4,FALSE),"")</f>
        <v/>
      </c>
      <c r="G414" s="61" t="s">
        <v>350</v>
      </c>
      <c r="H414" s="61" t="s">
        <v>404</v>
      </c>
      <c r="I414" s="61" t="s">
        <v>433</v>
      </c>
      <c r="J414" s="61" t="n">
        <v>186.6</v>
      </c>
      <c r="K414" s="61" t="s">
        <v>434</v>
      </c>
      <c r="L414" s="61" t="s">
        <v>435</v>
      </c>
      <c r="M414" s="42"/>
      <c r="N414" s="46" t="e">
        <f t="shared" si="20"/>
        <v>#DIV/0!</v>
      </c>
      <c r="O414" s="46" t="str">
        <f t="shared" si="21"/>
        <v/>
      </c>
      <c r="P414" s="46">
        <f t="shared" si="22"/>
        <v>1</v>
      </c>
      <c r="Q414" s="46"/>
      <c r="R414" s="45"/>
      <c r="S414" s="45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</row>
    <row r="415" spans="1:31" ht="14.25">
      <c r="A415" s="67" t="s">
        <v>647</v>
      </c>
      <c r="B415" s="68" t="s">
        <v>659</v>
      </c>
      <c r="C415" s="67" t="s">
        <v>442</v>
      </c>
      <c r="D415" s="75" t="n">
        <v>190.0</v>
      </c>
      <c r="E415" s="76" t="s">
        <v>0</v>
      </c>
      <c r="F415" s="57" t="str">
        <f>IFERROR(VLOOKUP(C415,$C$9:H414,4,FALSE),"")</f>
        <v/>
      </c>
      <c r="G415" s="61" t="str">
        <f>IFERROR(VLOOKUP(C415,$C$9:G414,5,FALSE),"")</f>
        <v/>
      </c>
      <c r="H415" s="61" t="str">
        <f>IFERROR(VLOOKUP(C415,$C$9:H414,6,FALSE),"")</f>
        <v/>
      </c>
      <c r="I415" s="61" t="s">
        <v>433</v>
      </c>
      <c r="J415" s="61" t="n">
        <v>190.0</v>
      </c>
      <c r="K415" s="61" t="s">
        <v>434</v>
      </c>
      <c r="L415" s="61" t="s">
        <v>435</v>
      </c>
      <c r="M415" s="42"/>
      <c r="N415" s="46" t="e">
        <f t="shared" si="20"/>
        <v>#DIV/0!</v>
      </c>
      <c r="O415" s="46" t="str">
        <f t="shared" si="21"/>
        <v/>
      </c>
      <c r="P415" s="46">
        <f t="shared" si="22"/>
        <v>1</v>
      </c>
      <c r="Q415" s="46"/>
      <c r="R415" s="45"/>
      <c r="S415" s="45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</row>
    <row r="416" spans="1:31" ht="14.25">
      <c r="A416" s="67" t="s">
        <v>478</v>
      </c>
      <c r="B416" s="71" t="s">
        <v>659</v>
      </c>
      <c r="C416" s="67" t="s">
        <v>477</v>
      </c>
      <c r="D416" s="75" t="n">
        <v>49.9</v>
      </c>
      <c r="E416" s="76" t="s">
        <v>0</v>
      </c>
      <c r="F416" s="57" t="str">
        <f>IFERROR(VLOOKUP(C416,$C$9:H415,4,FALSE),"")</f>
        <v/>
      </c>
      <c r="G416" s="61" t="str">
        <f>IFERROR(VLOOKUP(C416,$C$9:G415,5,FALSE),"")</f>
        <v/>
      </c>
      <c r="H416" s="61" t="str">
        <f>IFERROR(VLOOKUP(C416,$C$9:H415,6,FALSE),"")</f>
        <v/>
      </c>
      <c r="I416" s="61" t="s">
        <v>464</v>
      </c>
      <c r="J416" s="61" t="n">
        <v>49.9</v>
      </c>
      <c r="K416" s="61" t="s">
        <v>434</v>
      </c>
      <c r="L416" s="61" t="s">
        <v>435</v>
      </c>
      <c r="M416" s="42"/>
      <c r="N416" s="46" t="e">
        <f t="shared" si="20"/>
        <v>#DIV/0!</v>
      </c>
      <c r="O416" s="46" t="str">
        <f t="shared" si="21"/>
        <v/>
      </c>
      <c r="P416" s="46">
        <f t="shared" si="22"/>
        <v>1</v>
      </c>
      <c r="Q416" s="46"/>
      <c r="R416" s="45"/>
      <c r="S416" s="45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</row>
    <row r="417" spans="1:31" ht="14.25">
      <c r="A417" s="67" t="s">
        <v>478</v>
      </c>
      <c r="B417" s="71" t="s">
        <v>659</v>
      </c>
      <c r="C417" s="67" t="s">
        <v>477</v>
      </c>
      <c r="D417" s="75" t="n">
        <v>-49.9</v>
      </c>
      <c r="E417" s="76" t="s">
        <v>0</v>
      </c>
      <c r="F417" s="57" t="str">
        <f>IFERROR(VLOOKUP(C417,$C$9:H416,4,FALSE),"")</f>
        <v/>
      </c>
      <c r="G417" s="61" t="str">
        <f>IFERROR(VLOOKUP(C417,$C$9:G416,5,FALSE),"")</f>
        <v/>
      </c>
      <c r="H417" s="61" t="str">
        <f>IFERROR(VLOOKUP(C417,$C$9:H416,6,FALSE),"")</f>
        <v/>
      </c>
      <c r="I417" s="61" t="s">
        <v>479</v>
      </c>
      <c r="J417" s="61" t="n">
        <v>49.9</v>
      </c>
      <c r="K417" s="61" t="s">
        <v>434</v>
      </c>
      <c r="L417" s="61" t="s">
        <v>435</v>
      </c>
      <c r="M417" s="42"/>
      <c r="N417" s="46" t="e">
        <f t="shared" si="20"/>
        <v>#DIV/0!</v>
      </c>
      <c r="O417" s="46" t="str">
        <f t="shared" si="21"/>
        <v/>
      </c>
      <c r="P417" s="46">
        <f t="shared" si="22"/>
        <v>1</v>
      </c>
      <c r="Q417" s="46"/>
      <c r="R417" s="45"/>
      <c r="S417" s="45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</row>
    <row r="418" spans="1:31" ht="14.25">
      <c r="A418" s="67" t="s">
        <v>645</v>
      </c>
      <c r="B418" s="68" t="s">
        <v>661</v>
      </c>
      <c r="C418" s="67" t="s">
        <v>465</v>
      </c>
      <c r="D418" s="75" t="n">
        <v>200.0</v>
      </c>
      <c r="E418" s="76" t="s">
        <v>1</v>
      </c>
      <c r="F418" s="57" t="str">
        <f>IFERROR(VLOOKUP(C418,$C$9:H417,4,FALSE),"")</f>
        <v/>
      </c>
      <c r="G418" s="61" t="str">
        <f>IFERROR(VLOOKUP(C418,$C$9:G417,5,FALSE),"")</f>
        <v/>
      </c>
      <c r="H418" s="61" t="str">
        <f>IFERROR(VLOOKUP(C418,$C$9:H417,6,FALSE),"")</f>
        <v/>
      </c>
      <c r="I418" s="61" t="s">
        <v>466</v>
      </c>
      <c r="J418" s="61" t="n">
        <v>0.0</v>
      </c>
      <c r="K418" s="61"/>
      <c r="L418" s="61" t="s">
        <v>445</v>
      </c>
      <c r="M418" s="42"/>
      <c r="N418" s="46" t="e">
        <f t="shared" si="20"/>
        <v>#DIV/0!</v>
      </c>
      <c r="O418" s="46" t="str">
        <f t="shared" si="21"/>
        <v/>
      </c>
      <c r="P418" s="46">
        <f t="shared" si="22"/>
        <v>1</v>
      </c>
      <c r="Q418" s="46"/>
      <c r="R418" s="45"/>
      <c r="S418" s="45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</row>
    <row r="419" spans="1:31" ht="14.25">
      <c r="A419" s="67" t="s">
        <v>645</v>
      </c>
      <c r="B419" s="68" t="s">
        <v>661</v>
      </c>
      <c r="C419" s="67" t="s">
        <v>465</v>
      </c>
      <c r="D419" s="75" t="n">
        <v>200.0</v>
      </c>
      <c r="E419" s="76" t="s">
        <v>1</v>
      </c>
      <c r="F419" s="57" t="str">
        <f>IFERROR(VLOOKUP(C419,$C$9:H418,4,FALSE),"")</f>
        <v/>
      </c>
      <c r="G419" s="61" t="str">
        <f>IFERROR(VLOOKUP(C419,$C$9:G418,5,FALSE),"")</f>
        <v/>
      </c>
      <c r="H419" s="61" t="str">
        <f>IFERROR(VLOOKUP(C419,$C$9:H418,6,FALSE),"")</f>
        <v/>
      </c>
      <c r="I419" s="61" t="s">
        <v>466</v>
      </c>
      <c r="J419" s="61" t="n">
        <v>0.0</v>
      </c>
      <c r="K419" s="61"/>
      <c r="L419" s="61" t="s">
        <v>445</v>
      </c>
      <c r="M419" s="42"/>
      <c r="N419" s="46" t="e">
        <f t="shared" si="20"/>
        <v>#DIV/0!</v>
      </c>
      <c r="O419" s="46" t="str">
        <f t="shared" si="21"/>
        <v/>
      </c>
      <c r="P419" s="46">
        <f t="shared" si="22"/>
        <v>1</v>
      </c>
      <c r="Q419" s="46"/>
      <c r="R419" s="45"/>
      <c r="S419" s="45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</row>
    <row r="420" spans="1:31" ht="14.25">
      <c r="A420" s="67" t="s">
        <v>647</v>
      </c>
      <c r="B420" s="68" t="s">
        <v>661</v>
      </c>
      <c r="C420" s="67" t="s">
        <v>470</v>
      </c>
      <c r="D420" s="75" t="n">
        <v>170.74</v>
      </c>
      <c r="E420" s="76" t="s">
        <v>0</v>
      </c>
      <c r="F420" s="57" t="str">
        <f>IFERROR(VLOOKUP(C420,$C$9:H419,4,FALSE),"")</f>
        <v/>
      </c>
      <c r="G420" s="61" t="str">
        <f>IFERROR(VLOOKUP(C420,$C$9:G419,5,FALSE),"")</f>
        <v/>
      </c>
      <c r="H420" s="61" t="str">
        <f>IFERROR(VLOOKUP(C420,$C$9:H419,6,FALSE),"")</f>
        <v/>
      </c>
      <c r="I420" s="61" t="s">
        <v>437</v>
      </c>
      <c r="J420" s="61" t="n">
        <v>170.74</v>
      </c>
      <c r="K420" s="61" t="s">
        <v>434</v>
      </c>
      <c r="L420" s="61" t="s">
        <v>435</v>
      </c>
      <c r="M420" s="42"/>
      <c r="N420" s="46" t="e">
        <f t="shared" si="20"/>
        <v>#DIV/0!</v>
      </c>
      <c r="O420" s="46" t="str">
        <f t="shared" si="21"/>
        <v/>
      </c>
      <c r="P420" s="46">
        <f t="shared" si="22"/>
        <v>1</v>
      </c>
      <c r="Q420" s="46"/>
      <c r="R420" s="45"/>
      <c r="S420" s="45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</row>
    <row r="421" spans="1:31" ht="14.25">
      <c r="A421" s="67" t="s">
        <v>647</v>
      </c>
      <c r="B421" s="68" t="s">
        <v>661</v>
      </c>
      <c r="C421" s="67" t="s">
        <v>439</v>
      </c>
      <c r="D421" s="75" t="n">
        <v>67.2</v>
      </c>
      <c r="E421" s="76" t="s">
        <v>0</v>
      </c>
      <c r="F421" s="57" t="str">
        <f>IFERROR(VLOOKUP(C421,$C$9:H420,4,FALSE),"")</f>
        <v/>
      </c>
      <c r="G421" s="61" t="s">
        <v>350</v>
      </c>
      <c r="H421" s="61" t="s">
        <v>404</v>
      </c>
      <c r="I421" s="61" t="s">
        <v>433</v>
      </c>
      <c r="J421" s="61" t="n">
        <v>67.2</v>
      </c>
      <c r="K421" s="61" t="s">
        <v>434</v>
      </c>
      <c r="L421" s="61" t="s">
        <v>435</v>
      </c>
      <c r="M421" s="42"/>
      <c r="N421" s="46" t="e">
        <f t="shared" si="20"/>
        <v>#DIV/0!</v>
      </c>
      <c r="O421" s="46" t="str">
        <f t="shared" si="21"/>
        <v/>
      </c>
      <c r="P421" s="46">
        <f t="shared" si="22"/>
        <v>1</v>
      </c>
      <c r="Q421" s="46"/>
      <c r="R421" s="45"/>
      <c r="S421" s="45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</row>
    <row r="422" spans="1:31" ht="14.25">
      <c r="A422" s="67" t="s">
        <v>478</v>
      </c>
      <c r="B422" s="68" t="s">
        <v>661</v>
      </c>
      <c r="C422" s="67" t="s">
        <v>496</v>
      </c>
      <c r="D422" s="75" t="n">
        <v>50.0</v>
      </c>
      <c r="E422" s="76" t="s">
        <v>0</v>
      </c>
      <c r="F422" s="57" t="str">
        <f>IFERROR(VLOOKUP(C422,$C$9:H421,4,FALSE),"")</f>
        <v/>
      </c>
      <c r="G422" s="61" t="str">
        <f>IFERROR(VLOOKUP(C422,$C$9:G421,5,FALSE),"")</f>
        <v/>
      </c>
      <c r="H422" s="61" t="str">
        <f>IFERROR(VLOOKUP(C422,$C$9:H421,6,FALSE),"")</f>
        <v/>
      </c>
      <c r="I422" s="61" t="s">
        <v>464</v>
      </c>
      <c r="J422" s="61" t="n">
        <v>50.0</v>
      </c>
      <c r="K422" s="61" t="s">
        <v>434</v>
      </c>
      <c r="L422" s="61" t="s">
        <v>435</v>
      </c>
      <c r="M422" s="42"/>
      <c r="N422" s="46" t="e">
        <f t="shared" si="20"/>
        <v>#DIV/0!</v>
      </c>
      <c r="O422" s="46" t="str">
        <f t="shared" si="21"/>
        <v/>
      </c>
      <c r="P422" s="46">
        <f t="shared" si="22"/>
        <v>1</v>
      </c>
      <c r="Q422" s="46"/>
      <c r="R422" s="45"/>
      <c r="S422" s="45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</row>
    <row r="423" spans="1:31" ht="14.25">
      <c r="A423" s="67" t="s">
        <v>645</v>
      </c>
      <c r="B423" s="78" t="s">
        <v>662</v>
      </c>
      <c r="C423" s="77" t="s">
        <v>489</v>
      </c>
      <c r="D423" s="75" t="n">
        <v>416.0</v>
      </c>
      <c r="E423" s="76" t="s">
        <v>0</v>
      </c>
      <c r="F423" s="57" t="str">
        <f>IFERROR(VLOOKUP(C423,$C$9:H422,4,FALSE),"")</f>
        <v/>
      </c>
      <c r="G423" s="61" t="str">
        <f>IFERROR(VLOOKUP(C423,$C$9:G422,5,FALSE),"")</f>
        <v/>
      </c>
      <c r="H423" s="61" t="str">
        <f>IFERROR(VLOOKUP(C423,$C$9:H422,6,FALSE),"")</f>
        <v/>
      </c>
      <c r="I423" s="61" t="s">
        <v>490</v>
      </c>
      <c r="J423" s="61" t="n">
        <v>0.0</v>
      </c>
      <c r="K423" s="61"/>
      <c r="L423" s="61" t="s">
        <v>445</v>
      </c>
      <c r="M423" s="42"/>
      <c r="N423" s="46" t="e">
        <f t="shared" si="20"/>
        <v>#DIV/0!</v>
      </c>
      <c r="O423" s="46" t="str">
        <f t="shared" si="21"/>
        <v/>
      </c>
      <c r="P423" s="46">
        <f t="shared" si="22"/>
        <v>1</v>
      </c>
      <c r="Q423" s="46"/>
      <c r="R423" s="45"/>
      <c r="S423" s="45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</row>
    <row r="424" spans="1:31" ht="14.25">
      <c r="A424" s="67" t="s">
        <v>645</v>
      </c>
      <c r="B424" s="68" t="s">
        <v>662</v>
      </c>
      <c r="C424" s="67" t="s">
        <v>452</v>
      </c>
      <c r="D424" s="75" t="n">
        <v>69.2</v>
      </c>
      <c r="E424" s="76" t="s">
        <v>0</v>
      </c>
      <c r="F424" s="57" t="str">
        <f>IFERROR(VLOOKUP(C424,$C$9:H423,4,FALSE),"")</f>
        <v/>
      </c>
      <c r="G424" s="61" t="s">
        <v>414</v>
      </c>
      <c r="H424" s="61" t="s">
        <v>414</v>
      </c>
      <c r="I424" s="61"/>
      <c r="J424" s="61" t="n">
        <v>0.0</v>
      </c>
      <c r="K424" s="61"/>
      <c r="L424" s="61" t="s">
        <v>445</v>
      </c>
      <c r="M424" s="42"/>
      <c r="N424" s="46" t="e">
        <f t="shared" si="20"/>
        <v>#DIV/0!</v>
      </c>
      <c r="O424" s="46" t="str">
        <f t="shared" si="21"/>
        <v/>
      </c>
      <c r="P424" s="46">
        <f t="shared" si="22"/>
        <v>1</v>
      </c>
      <c r="Q424" s="46"/>
      <c r="R424" s="45"/>
      <c r="S424" s="45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</row>
    <row r="425" spans="1:31" ht="14.25">
      <c r="A425" s="67" t="s">
        <v>647</v>
      </c>
      <c r="B425" s="68" t="s">
        <v>662</v>
      </c>
      <c r="C425" s="67" t="s">
        <v>481</v>
      </c>
      <c r="D425" s="75" t="n">
        <v>39.9</v>
      </c>
      <c r="E425" s="76" t="s">
        <v>0</v>
      </c>
      <c r="F425" s="57" t="str">
        <f>IFERROR(VLOOKUP(C425,$C$9:H424,4,FALSE),"")</f>
        <v/>
      </c>
      <c r="G425" s="61" t="str">
        <f>IFERROR(VLOOKUP(C425,$C$9:G424,5,FALSE),"")</f>
        <v/>
      </c>
      <c r="H425" s="61" t="str">
        <f>IFERROR(VLOOKUP(C425,$C$9:H424,6,FALSE),"")</f>
        <v/>
      </c>
      <c r="I425" s="61" t="s">
        <v>437</v>
      </c>
      <c r="J425" s="61" t="n">
        <v>39.9</v>
      </c>
      <c r="K425" s="61" t="s">
        <v>434</v>
      </c>
      <c r="L425" s="61" t="s">
        <v>435</v>
      </c>
      <c r="M425" s="42"/>
      <c r="N425" s="46" t="e">
        <f t="shared" si="20"/>
        <v>#DIV/0!</v>
      </c>
      <c r="O425" s="46" t="str">
        <f t="shared" si="21"/>
        <v/>
      </c>
      <c r="P425" s="46">
        <f t="shared" si="22"/>
        <v>1</v>
      </c>
      <c r="Q425" s="46"/>
      <c r="R425" s="45"/>
      <c r="S425" s="45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</row>
    <row r="426" spans="1:31" ht="14.25">
      <c r="A426" s="67" t="s">
        <v>647</v>
      </c>
      <c r="B426" s="68" t="s">
        <v>662</v>
      </c>
      <c r="C426" s="67" t="s">
        <v>439</v>
      </c>
      <c r="D426" s="75" t="n">
        <v>68.25</v>
      </c>
      <c r="E426" s="76" t="s">
        <v>0</v>
      </c>
      <c r="F426" s="57" t="str">
        <f>IFERROR(VLOOKUP(C426,$C$9:H425,4,FALSE),"")</f>
        <v/>
      </c>
      <c r="G426" s="61" t="s">
        <v>350</v>
      </c>
      <c r="H426" s="61" t="s">
        <v>404</v>
      </c>
      <c r="I426" s="61" t="s">
        <v>433</v>
      </c>
      <c r="J426" s="61" t="n">
        <v>68.25</v>
      </c>
      <c r="K426" s="61" t="s">
        <v>434</v>
      </c>
      <c r="L426" s="61" t="s">
        <v>435</v>
      </c>
      <c r="M426" s="42"/>
      <c r="N426" s="46" t="e">
        <f t="shared" si="20"/>
        <v>#DIV/0!</v>
      </c>
      <c r="O426" s="46" t="str">
        <f t="shared" si="21"/>
        <v/>
      </c>
      <c r="P426" s="46">
        <f t="shared" si="22"/>
        <v>1</v>
      </c>
      <c r="Q426" s="46"/>
      <c r="R426" s="45"/>
      <c r="S426" s="45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</row>
    <row r="427" spans="1:31" ht="14.25">
      <c r="A427" s="67" t="s">
        <v>645</v>
      </c>
      <c r="B427" s="68" t="s">
        <v>663</v>
      </c>
      <c r="C427" s="67" t="s">
        <v>452</v>
      </c>
      <c r="D427" s="75" t="n">
        <v>50.0</v>
      </c>
      <c r="E427" s="76" t="s">
        <v>0</v>
      </c>
      <c r="F427" s="57" t="str">
        <f>IFERROR(VLOOKUP(C427,$C$9:H426,4,FALSE),"")</f>
        <v/>
      </c>
      <c r="G427" s="61" t="s">
        <v>414</v>
      </c>
      <c r="H427" s="61" t="s">
        <v>414</v>
      </c>
      <c r="I427" s="61"/>
      <c r="J427" s="61" t="n">
        <v>0.0</v>
      </c>
      <c r="K427" s="61"/>
      <c r="L427" s="61" t="s">
        <v>445</v>
      </c>
      <c r="M427" s="42"/>
      <c r="N427" s="46" t="e">
        <f t="shared" si="20"/>
        <v>#DIV/0!</v>
      </c>
      <c r="O427" s="46" t="str">
        <f t="shared" si="21"/>
        <v/>
      </c>
      <c r="P427" s="46">
        <f t="shared" si="22"/>
        <v>1</v>
      </c>
      <c r="Q427" s="46"/>
      <c r="R427" s="45"/>
      <c r="S427" s="45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</row>
    <row r="428" spans="1:31" ht="14.25">
      <c r="A428" s="67" t="s">
        <v>645</v>
      </c>
      <c r="B428" s="68" t="s">
        <v>663</v>
      </c>
      <c r="C428" s="67" t="s">
        <v>664</v>
      </c>
      <c r="D428" s="75" t="n">
        <v>700.0</v>
      </c>
      <c r="E428" s="76" t="s">
        <v>1</v>
      </c>
      <c r="F428" s="57" t="str">
        <f>IFERROR(VLOOKUP(C428,$C$9:H427,4,FALSE),"")</f>
        <v/>
      </c>
      <c r="G428" s="61" t="str">
        <f>IFERROR(VLOOKUP(C428,$C$9:G427,5,FALSE),"")</f>
        <v/>
      </c>
      <c r="H428" s="61" t="str">
        <f>IFERROR(VLOOKUP(C428,$C$9:H427,6,FALSE),"")</f>
        <v/>
      </c>
      <c r="I428" s="61" t="s">
        <v>492</v>
      </c>
      <c r="J428" s="61" t="n">
        <v>0.0</v>
      </c>
      <c r="K428" s="61"/>
      <c r="L428" s="61" t="s">
        <v>445</v>
      </c>
      <c r="M428" s="42"/>
      <c r="N428" s="46" t="e">
        <f t="shared" si="20"/>
        <v>#DIV/0!</v>
      </c>
      <c r="O428" s="46" t="str">
        <f t="shared" si="21"/>
        <v/>
      </c>
      <c r="P428" s="46">
        <f t="shared" si="22"/>
        <v>1</v>
      </c>
      <c r="Q428" s="46"/>
      <c r="R428" s="45"/>
      <c r="S428" s="45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</row>
    <row r="429" spans="1:31" ht="14.25">
      <c r="A429" s="67" t="s">
        <v>647</v>
      </c>
      <c r="B429" s="68" t="s">
        <v>663</v>
      </c>
      <c r="C429" s="67" t="s">
        <v>560</v>
      </c>
      <c r="D429" s="75" t="n">
        <v>110.0</v>
      </c>
      <c r="E429" s="76" t="s">
        <v>0</v>
      </c>
      <c r="F429" s="57" t="str">
        <f>IFERROR(VLOOKUP(C429,$C$9:H428,4,FALSE),"")</f>
        <v/>
      </c>
      <c r="G429" s="61" t="str">
        <f>IFERROR(VLOOKUP(C429,$C$9:G428,5,FALSE),"")</f>
        <v/>
      </c>
      <c r="H429" s="61" t="str">
        <f>IFERROR(VLOOKUP(C429,$C$9:H428,6,FALSE),"")</f>
        <v/>
      </c>
      <c r="I429" s="61" t="s">
        <v>433</v>
      </c>
      <c r="J429" s="61" t="n">
        <v>110.0</v>
      </c>
      <c r="K429" s="61" t="s">
        <v>434</v>
      </c>
      <c r="L429" s="61" t="s">
        <v>435</v>
      </c>
      <c r="M429" s="42"/>
      <c r="N429" s="46" t="e">
        <f t="shared" si="20"/>
        <v>#DIV/0!</v>
      </c>
      <c r="O429" s="46" t="str">
        <f t="shared" si="21"/>
        <v/>
      </c>
      <c r="P429" s="46">
        <f t="shared" si="22"/>
        <v>1</v>
      </c>
      <c r="Q429" s="46"/>
      <c r="R429" s="45"/>
      <c r="S429" s="45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</row>
    <row r="430" spans="1:31" ht="14.25">
      <c r="A430" s="67" t="s">
        <v>647</v>
      </c>
      <c r="B430" s="68" t="s">
        <v>663</v>
      </c>
      <c r="C430" s="67" t="s">
        <v>476</v>
      </c>
      <c r="D430" s="75" t="n">
        <v>62.1</v>
      </c>
      <c r="E430" s="76" t="s">
        <v>0</v>
      </c>
      <c r="F430" s="57" t="str">
        <f>IFERROR(VLOOKUP(C430,$C$9:H429,4,FALSE),"")</f>
        <v/>
      </c>
      <c r="G430" s="61" t="str">
        <f>IFERROR(VLOOKUP(C430,$C$9:G429,5,FALSE),"")</f>
        <v/>
      </c>
      <c r="H430" s="61" t="str">
        <f>IFERROR(VLOOKUP(C430,$C$9:H429,6,FALSE),"")</f>
        <v/>
      </c>
      <c r="I430" s="61" t="s">
        <v>433</v>
      </c>
      <c r="J430" s="61" t="n">
        <v>62.1</v>
      </c>
      <c r="K430" s="61" t="s">
        <v>434</v>
      </c>
      <c r="L430" s="61" t="s">
        <v>435</v>
      </c>
      <c r="M430" s="42"/>
      <c r="N430" s="46" t="e">
        <f t="shared" si="20"/>
        <v>#DIV/0!</v>
      </c>
      <c r="O430" s="46" t="str">
        <f t="shared" si="21"/>
        <v/>
      </c>
      <c r="P430" s="46">
        <f t="shared" si="22"/>
        <v>1</v>
      </c>
      <c r="Q430" s="46"/>
      <c r="R430" s="45"/>
      <c r="S430" s="45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</row>
    <row r="431" spans="1:31" ht="14.25">
      <c r="A431" s="67" t="s">
        <v>647</v>
      </c>
      <c r="B431" s="68" t="s">
        <v>663</v>
      </c>
      <c r="C431" s="67" t="s">
        <v>439</v>
      </c>
      <c r="D431" s="75" t="n">
        <v>95.01</v>
      </c>
      <c r="E431" s="76" t="s">
        <v>0</v>
      </c>
      <c r="F431" s="57" t="str">
        <f>IFERROR(VLOOKUP(C431,$C$9:H430,4,FALSE),"")</f>
        <v/>
      </c>
      <c r="G431" s="61" t="s">
        <v>350</v>
      </c>
      <c r="H431" s="61" t="s">
        <v>404</v>
      </c>
      <c r="I431" s="61" t="s">
        <v>433</v>
      </c>
      <c r="J431" s="61" t="n">
        <v>95.01</v>
      </c>
      <c r="K431" s="61" t="s">
        <v>434</v>
      </c>
      <c r="L431" s="61" t="s">
        <v>435</v>
      </c>
      <c r="M431" s="42"/>
      <c r="N431" s="46" t="e">
        <f t="shared" si="20"/>
        <v>#DIV/0!</v>
      </c>
      <c r="O431" s="46" t="str">
        <f t="shared" si="21"/>
        <v/>
      </c>
      <c r="P431" s="46">
        <f t="shared" si="22"/>
        <v>1</v>
      </c>
      <c r="Q431" s="46"/>
      <c r="R431" s="45"/>
      <c r="S431" s="45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</row>
    <row r="432" spans="1:31" ht="14.25">
      <c r="A432" s="67" t="s">
        <v>647</v>
      </c>
      <c r="B432" s="68" t="s">
        <v>663</v>
      </c>
      <c r="C432" s="67" t="s">
        <v>483</v>
      </c>
      <c r="D432" s="75" t="n">
        <v>385.65</v>
      </c>
      <c r="E432" s="76" t="s">
        <v>0</v>
      </c>
      <c r="F432" s="57" t="str">
        <f>IFERROR(VLOOKUP(C432,$C$9:H431,4,FALSE),"")</f>
        <v/>
      </c>
      <c r="G432" s="61" t="s">
        <v>355</v>
      </c>
      <c r="H432" s="61" t="s">
        <v>13</v>
      </c>
      <c r="I432" s="61" t="s">
        <v>433</v>
      </c>
      <c r="J432" s="61" t="n">
        <v>385.65</v>
      </c>
      <c r="K432" s="61" t="s">
        <v>434</v>
      </c>
      <c r="L432" s="61" t="s">
        <v>435</v>
      </c>
      <c r="M432" s="42"/>
      <c r="N432" s="46" t="e">
        <f t="shared" si="20"/>
        <v>#DIV/0!</v>
      </c>
      <c r="O432" s="46" t="str">
        <f t="shared" si="21"/>
        <v/>
      </c>
      <c r="P432" s="46">
        <f t="shared" si="22"/>
        <v>1</v>
      </c>
      <c r="Q432" s="46"/>
      <c r="R432" s="45"/>
      <c r="S432" s="45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</row>
    <row r="433" spans="1:31" ht="14.25">
      <c r="A433" s="67" t="s">
        <v>647</v>
      </c>
      <c r="B433" s="68" t="s">
        <v>663</v>
      </c>
      <c r="C433" s="67" t="s">
        <v>442</v>
      </c>
      <c r="D433" s="75" t="n">
        <v>67.0</v>
      </c>
      <c r="E433" s="76" t="s">
        <v>0</v>
      </c>
      <c r="F433" s="57" t="str">
        <f>IFERROR(VLOOKUP(C433,$C$9:H432,4,FALSE),"")</f>
        <v/>
      </c>
      <c r="G433" s="61" t="str">
        <f>IFERROR(VLOOKUP(C433,$C$9:G432,5,FALSE),"")</f>
        <v/>
      </c>
      <c r="H433" s="61" t="str">
        <f>IFERROR(VLOOKUP(C433,$C$9:H432,6,FALSE),"")</f>
        <v/>
      </c>
      <c r="I433" s="61" t="s">
        <v>433</v>
      </c>
      <c r="J433" s="61" t="n">
        <v>67.0</v>
      </c>
      <c r="K433" s="61" t="s">
        <v>434</v>
      </c>
      <c r="L433" s="61" t="s">
        <v>435</v>
      </c>
      <c r="M433" s="42"/>
      <c r="N433" s="46" t="e">
        <f t="shared" si="20"/>
        <v>#DIV/0!</v>
      </c>
      <c r="O433" s="46" t="str">
        <f t="shared" si="21"/>
        <v/>
      </c>
      <c r="P433" s="46">
        <f t="shared" si="22"/>
        <v>1</v>
      </c>
      <c r="Q433" s="46"/>
      <c r="R433" s="45"/>
      <c r="S433" s="45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</row>
    <row r="434" spans="1:31" ht="14.25">
      <c r="A434" s="67" t="s">
        <v>647</v>
      </c>
      <c r="B434" s="68" t="s">
        <v>663</v>
      </c>
      <c r="C434" s="67" t="s">
        <v>442</v>
      </c>
      <c r="D434" s="75" t="n">
        <v>190.0</v>
      </c>
      <c r="E434" s="76" t="s">
        <v>0</v>
      </c>
      <c r="F434" s="57" t="str">
        <f>IFERROR(VLOOKUP(C434,$C$9:H433,4,FALSE),"")</f>
        <v/>
      </c>
      <c r="G434" s="61" t="str">
        <f>IFERROR(VLOOKUP(C434,$C$9:G433,5,FALSE),"")</f>
        <v/>
      </c>
      <c r="H434" s="61" t="str">
        <f>IFERROR(VLOOKUP(C434,$C$9:H433,6,FALSE),"")</f>
        <v/>
      </c>
      <c r="I434" s="61" t="s">
        <v>433</v>
      </c>
      <c r="J434" s="61" t="n">
        <v>190.0</v>
      </c>
      <c r="K434" s="61" t="s">
        <v>434</v>
      </c>
      <c r="L434" s="61" t="s">
        <v>435</v>
      </c>
      <c r="M434" s="42"/>
      <c r="N434" s="46" t="e">
        <f t="shared" si="20"/>
        <v>#DIV/0!</v>
      </c>
      <c r="O434" s="46" t="str">
        <f t="shared" si="21"/>
        <v/>
      </c>
      <c r="P434" s="46">
        <f t="shared" si="22"/>
        <v>1</v>
      </c>
      <c r="Q434" s="46"/>
      <c r="R434" s="45"/>
      <c r="S434" s="45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</row>
    <row r="435" spans="1:31" ht="14.25">
      <c r="A435" s="67" t="s">
        <v>478</v>
      </c>
      <c r="B435" s="68" t="s">
        <v>663</v>
      </c>
      <c r="C435" s="67" t="s">
        <v>658</v>
      </c>
      <c r="D435" s="75" t="n">
        <v>99.9</v>
      </c>
      <c r="E435" s="76" t="s">
        <v>0</v>
      </c>
      <c r="F435" s="57" t="str">
        <f>IFERROR(VLOOKUP(C435,$C$9:H434,4,FALSE),"")</f>
        <v/>
      </c>
      <c r="G435" s="61" t="str">
        <f>IFERROR(VLOOKUP(C435,$C$9:G434,5,FALSE),"")</f>
        <v/>
      </c>
      <c r="H435" s="61" t="str">
        <f>IFERROR(VLOOKUP(C435,$C$9:H434,6,FALSE),"")</f>
        <v/>
      </c>
      <c r="I435" s="61" t="s">
        <v>433</v>
      </c>
      <c r="J435" s="61" t="n">
        <v>99.9</v>
      </c>
      <c r="K435" s="61" t="s">
        <v>434</v>
      </c>
      <c r="L435" s="61" t="s">
        <v>435</v>
      </c>
      <c r="M435" s="42"/>
      <c r="N435" s="46" t="e">
        <f t="shared" si="20"/>
        <v>#DIV/0!</v>
      </c>
      <c r="O435" s="46" t="str">
        <f t="shared" si="21"/>
        <v/>
      </c>
      <c r="P435" s="46">
        <f t="shared" si="22"/>
        <v>1</v>
      </c>
      <c r="Q435" s="46"/>
      <c r="R435" s="45"/>
      <c r="S435" s="45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</row>
    <row r="436" spans="1:31" ht="14.25">
      <c r="A436" s="67" t="s">
        <v>647</v>
      </c>
      <c r="B436" s="78" t="s">
        <v>665</v>
      </c>
      <c r="C436" s="77" t="s">
        <v>439</v>
      </c>
      <c r="D436" s="75" t="n">
        <v>105.0</v>
      </c>
      <c r="E436" s="76" t="s">
        <v>0</v>
      </c>
      <c r="F436" s="57" t="str">
        <f>IFERROR(VLOOKUP(C436,$C$9:H435,4,FALSE),"")</f>
        <v/>
      </c>
      <c r="G436" s="61" t="s">
        <v>350</v>
      </c>
      <c r="H436" s="61" t="s">
        <v>404</v>
      </c>
      <c r="I436" s="61" t="s">
        <v>433</v>
      </c>
      <c r="J436" s="61" t="n">
        <v>105.0</v>
      </c>
      <c r="K436" s="61" t="s">
        <v>434</v>
      </c>
      <c r="L436" s="61" t="s">
        <v>435</v>
      </c>
      <c r="M436" s="42"/>
      <c r="N436" s="46" t="e">
        <f t="shared" si="20"/>
        <v>#DIV/0!</v>
      </c>
      <c r="O436" s="46" t="str">
        <f t="shared" si="21"/>
        <v/>
      </c>
      <c r="P436" s="46">
        <f t="shared" si="22"/>
        <v>1</v>
      </c>
      <c r="Q436" s="46"/>
      <c r="R436" s="45"/>
      <c r="S436" s="45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</row>
    <row r="437" spans="1:31" ht="14.25">
      <c r="A437" s="67" t="s">
        <v>647</v>
      </c>
      <c r="B437" s="71" t="s">
        <v>665</v>
      </c>
      <c r="C437" s="67" t="s">
        <v>666</v>
      </c>
      <c r="D437" s="75" t="n">
        <v>11.58</v>
      </c>
      <c r="E437" s="76" t="s">
        <v>0</v>
      </c>
      <c r="F437" s="57" t="str">
        <f>IFERROR(VLOOKUP(C437,$C$9:H436,4,FALSE),"")</f>
        <v/>
      </c>
      <c r="G437" s="61" t="str">
        <f>IFERROR(VLOOKUP(C437,$C$9:G436,5,FALSE),"")</f>
        <v/>
      </c>
      <c r="H437" s="61" t="str">
        <f>IFERROR(VLOOKUP(C437,$C$9:H436,6,FALSE),"")</f>
        <v/>
      </c>
      <c r="I437" s="61" t="s">
        <v>433</v>
      </c>
      <c r="J437" s="61" t="n">
        <v>12.0</v>
      </c>
      <c r="K437" s="61" t="s">
        <v>434</v>
      </c>
      <c r="L437" s="61" t="s">
        <v>435</v>
      </c>
      <c r="M437" s="42"/>
      <c r="N437" s="46" t="e">
        <f t="shared" si="20"/>
        <v>#DIV/0!</v>
      </c>
      <c r="O437" s="46" t="str">
        <f t="shared" si="21"/>
        <v/>
      </c>
      <c r="P437" s="46">
        <f t="shared" si="22"/>
        <v>1</v>
      </c>
      <c r="Q437" s="46"/>
      <c r="R437" s="45"/>
      <c r="S437" s="45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</row>
    <row r="438" spans="1:31" ht="14.25">
      <c r="A438" s="67" t="s">
        <v>647</v>
      </c>
      <c r="B438" s="68" t="s">
        <v>667</v>
      </c>
      <c r="C438" s="67" t="s">
        <v>439</v>
      </c>
      <c r="D438" s="75" t="n">
        <v>102.75</v>
      </c>
      <c r="E438" s="76" t="s">
        <v>0</v>
      </c>
      <c r="F438" s="57" t="str">
        <f>IFERROR(VLOOKUP(C438,$C$9:H437,4,FALSE),"")</f>
        <v/>
      </c>
      <c r="G438" s="61" t="s">
        <v>350</v>
      </c>
      <c r="H438" s="61" t="s">
        <v>404</v>
      </c>
      <c r="I438" s="61" t="s">
        <v>433</v>
      </c>
      <c r="J438" s="61" t="n">
        <v>102.75</v>
      </c>
      <c r="K438" s="61" t="s">
        <v>434</v>
      </c>
      <c r="L438" s="61" t="s">
        <v>435</v>
      </c>
      <c r="M438" s="42"/>
      <c r="N438" s="46" t="e">
        <f t="shared" si="20"/>
        <v>#DIV/0!</v>
      </c>
      <c r="O438" s="46" t="str">
        <f t="shared" si="21"/>
        <v/>
      </c>
      <c r="P438" s="46">
        <f t="shared" si="22"/>
        <v>1</v>
      </c>
      <c r="Q438" s="46"/>
      <c r="R438" s="45"/>
      <c r="S438" s="45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</row>
    <row r="439" spans="1:31" ht="14.25">
      <c r="A439" s="67" t="s">
        <v>647</v>
      </c>
      <c r="B439" s="68" t="s">
        <v>667</v>
      </c>
      <c r="C439" s="67" t="s">
        <v>439</v>
      </c>
      <c r="D439" s="75" t="n">
        <v>122.2</v>
      </c>
      <c r="E439" s="76" t="s">
        <v>0</v>
      </c>
      <c r="F439" s="57" t="str">
        <f>IFERROR(VLOOKUP(C439,$C$9:H438,4,FALSE),"")</f>
        <v/>
      </c>
      <c r="G439" s="61" t="s">
        <v>350</v>
      </c>
      <c r="H439" s="61" t="s">
        <v>404</v>
      </c>
      <c r="I439" s="61" t="s">
        <v>433</v>
      </c>
      <c r="J439" s="61" t="n">
        <v>122.2</v>
      </c>
      <c r="K439" s="61" t="s">
        <v>434</v>
      </c>
      <c r="L439" s="61" t="s">
        <v>435</v>
      </c>
      <c r="M439" s="42"/>
      <c r="N439" s="46" t="e">
        <f t="shared" si="20"/>
        <v>#DIV/0!</v>
      </c>
      <c r="O439" s="46" t="str">
        <f t="shared" si="21"/>
        <v/>
      </c>
      <c r="P439" s="46">
        <f t="shared" si="22"/>
        <v>1</v>
      </c>
      <c r="Q439" s="46"/>
      <c r="R439" s="45"/>
      <c r="S439" s="45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</row>
    <row r="440" spans="1:31" ht="14.25">
      <c r="A440" s="67" t="s">
        <v>478</v>
      </c>
      <c r="B440" s="68" t="s">
        <v>667</v>
      </c>
      <c r="C440" s="67" t="s">
        <v>658</v>
      </c>
      <c r="D440" s="75" t="n">
        <v>9.0</v>
      </c>
      <c r="E440" s="76" t="s">
        <v>0</v>
      </c>
      <c r="F440" s="57" t="str">
        <f>IFERROR(VLOOKUP(C440,$C$9:H439,4,FALSE),"")</f>
        <v/>
      </c>
      <c r="G440" s="61" t="str">
        <f>IFERROR(VLOOKUP(C440,$C$9:G439,5,FALSE),"")</f>
        <v/>
      </c>
      <c r="H440" s="61" t="str">
        <f>IFERROR(VLOOKUP(C440,$C$9:H439,6,FALSE),"")</f>
        <v/>
      </c>
      <c r="I440" s="61" t="s">
        <v>433</v>
      </c>
      <c r="J440" s="61" t="n">
        <v>9.0</v>
      </c>
      <c r="K440" s="61" t="s">
        <v>434</v>
      </c>
      <c r="L440" s="61" t="s">
        <v>435</v>
      </c>
      <c r="M440" s="42"/>
      <c r="N440" s="46" t="e">
        <f t="shared" si="20"/>
        <v>#DIV/0!</v>
      </c>
      <c r="O440" s="46" t="str">
        <f t="shared" si="21"/>
        <v/>
      </c>
      <c r="P440" s="46">
        <f t="shared" si="22"/>
        <v>1</v>
      </c>
      <c r="Q440" s="46"/>
      <c r="R440" s="45"/>
      <c r="S440" s="45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</row>
    <row r="441" spans="1:31" ht="14.25">
      <c r="A441" s="67" t="s">
        <v>645</v>
      </c>
      <c r="B441" s="68" t="s">
        <v>668</v>
      </c>
      <c r="C441" s="67" t="s">
        <v>506</v>
      </c>
      <c r="D441" s="75" t="n">
        <v>50.0</v>
      </c>
      <c r="E441" s="76" t="s">
        <v>0</v>
      </c>
      <c r="F441" s="57" t="str">
        <f>IFERROR(VLOOKUP(C441,$C$9:H440,4,FALSE),"")</f>
        <v/>
      </c>
      <c r="G441" s="61" t="str">
        <f>IFERROR(VLOOKUP(C441,$C$9:G440,5,FALSE),"")</f>
        <v/>
      </c>
      <c r="H441" s="61" t="str">
        <f>IFERROR(VLOOKUP(C441,$C$9:H440,6,FALSE),"")</f>
        <v/>
      </c>
      <c r="I441" s="61"/>
      <c r="J441" s="61" t="n">
        <v>0.0</v>
      </c>
      <c r="K441" s="61"/>
      <c r="L441" s="61" t="s">
        <v>445</v>
      </c>
      <c r="M441" s="42"/>
      <c r="N441" s="46" t="e">
        <f t="shared" si="20"/>
        <v>#DIV/0!</v>
      </c>
      <c r="O441" s="46" t="str">
        <f t="shared" si="21"/>
        <v/>
      </c>
      <c r="P441" s="46">
        <f t="shared" si="22"/>
        <v>1</v>
      </c>
      <c r="Q441" s="46"/>
      <c r="R441" s="45"/>
      <c r="S441" s="45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</row>
    <row r="442" spans="1:31" ht="14.25">
      <c r="A442" s="67" t="s">
        <v>647</v>
      </c>
      <c r="B442" s="78" t="s">
        <v>668</v>
      </c>
      <c r="C442" s="77" t="s">
        <v>543</v>
      </c>
      <c r="D442" s="75" t="n">
        <v>50.0</v>
      </c>
      <c r="E442" s="76" t="s">
        <v>0</v>
      </c>
      <c r="F442" s="57" t="str">
        <f>IFERROR(VLOOKUP(C442,$C$9:H441,4,FALSE),"")</f>
        <v/>
      </c>
      <c r="G442" s="61" t="str">
        <f>IFERROR(VLOOKUP(C442,$C$9:G441,5,FALSE),"")</f>
        <v/>
      </c>
      <c r="H442" s="61" t="str">
        <f>IFERROR(VLOOKUP(C442,$C$9:H441,6,FALSE),"")</f>
        <v/>
      </c>
      <c r="I442" s="61" t="s">
        <v>433</v>
      </c>
      <c r="J442" s="61" t="n">
        <v>50.0</v>
      </c>
      <c r="K442" s="61" t="s">
        <v>434</v>
      </c>
      <c r="L442" s="61" t="s">
        <v>435</v>
      </c>
      <c r="M442" s="42"/>
      <c r="N442" s="46" t="e">
        <f t="shared" si="20"/>
        <v>#DIV/0!</v>
      </c>
      <c r="O442" s="46" t="str">
        <f t="shared" si="21"/>
        <v/>
      </c>
      <c r="P442" s="46">
        <f t="shared" si="22"/>
        <v>1</v>
      </c>
      <c r="Q442" s="46"/>
      <c r="R442" s="45"/>
      <c r="S442" s="45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</row>
    <row r="443" spans="1:31" ht="14.25">
      <c r="A443" s="67" t="s">
        <v>647</v>
      </c>
      <c r="B443" s="78" t="s">
        <v>668</v>
      </c>
      <c r="C443" s="77" t="s">
        <v>439</v>
      </c>
      <c r="D443" s="75" t="n">
        <v>57.6</v>
      </c>
      <c r="E443" s="76" t="s">
        <v>0</v>
      </c>
      <c r="F443" s="57" t="str">
        <f>IFERROR(VLOOKUP(C443,$C$9:H442,4,FALSE),"")</f>
        <v/>
      </c>
      <c r="G443" s="61" t="s">
        <v>350</v>
      </c>
      <c r="H443" s="61" t="s">
        <v>404</v>
      </c>
      <c r="I443" s="61" t="s">
        <v>433</v>
      </c>
      <c r="J443" s="61" t="n">
        <v>57.6</v>
      </c>
      <c r="K443" s="61" t="s">
        <v>434</v>
      </c>
      <c r="L443" s="61" t="s">
        <v>435</v>
      </c>
      <c r="M443" s="42"/>
      <c r="N443" s="46" t="e">
        <f t="shared" si="20"/>
        <v>#DIV/0!</v>
      </c>
      <c r="O443" s="46" t="str">
        <f t="shared" si="21"/>
        <v/>
      </c>
      <c r="P443" s="46">
        <f t="shared" si="22"/>
        <v>1</v>
      </c>
      <c r="Q443" s="46"/>
      <c r="R443" s="45"/>
      <c r="S443" s="45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</row>
    <row r="444" spans="1:31" ht="14.25">
      <c r="A444" s="67" t="s">
        <v>647</v>
      </c>
      <c r="B444" s="68" t="s">
        <v>668</v>
      </c>
      <c r="C444" s="67" t="s">
        <v>499</v>
      </c>
      <c r="D444" s="75" t="n">
        <v>80.74</v>
      </c>
      <c r="E444" s="76" t="s">
        <v>0</v>
      </c>
      <c r="F444" s="57" t="str">
        <f>IFERROR(VLOOKUP(C444,$C$9:H443,4,FALSE),"")</f>
        <v/>
      </c>
      <c r="G444" s="61" t="str">
        <f>IFERROR(VLOOKUP(C444,$C$9:G443,5,FALSE),"")</f>
        <v/>
      </c>
      <c r="H444" s="61" t="str">
        <f>IFERROR(VLOOKUP(C444,$C$9:H443,6,FALSE),"")</f>
        <v/>
      </c>
      <c r="I444" s="61" t="s">
        <v>433</v>
      </c>
      <c r="J444" s="61" t="n">
        <v>80.74</v>
      </c>
      <c r="K444" s="61" t="s">
        <v>434</v>
      </c>
      <c r="L444" s="61" t="s">
        <v>435</v>
      </c>
      <c r="M444" s="42"/>
      <c r="N444" s="46" t="e">
        <f t="shared" si="20"/>
        <v>#DIV/0!</v>
      </c>
      <c r="O444" s="46" t="str">
        <f t="shared" si="21"/>
        <v/>
      </c>
      <c r="P444" s="46">
        <f t="shared" si="22"/>
        <v>1</v>
      </c>
      <c r="Q444" s="46"/>
      <c r="R444" s="45"/>
      <c r="S444" s="45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</row>
    <row r="445" spans="1:31" ht="14.25">
      <c r="A445" s="67" t="s">
        <v>647</v>
      </c>
      <c r="B445" s="68" t="s">
        <v>668</v>
      </c>
      <c r="C445" s="67" t="s">
        <v>439</v>
      </c>
      <c r="D445" s="75" t="n">
        <v>69.0</v>
      </c>
      <c r="E445" s="76" t="s">
        <v>0</v>
      </c>
      <c r="F445" s="57" t="str">
        <f>IFERROR(VLOOKUP(C445,$C$9:H444,4,FALSE),"")</f>
        <v/>
      </c>
      <c r="G445" s="61" t="s">
        <v>350</v>
      </c>
      <c r="H445" s="61" t="s">
        <v>404</v>
      </c>
      <c r="I445" s="61" t="s">
        <v>433</v>
      </c>
      <c r="J445" s="61" t="n">
        <v>69.0</v>
      </c>
      <c r="K445" s="61" t="s">
        <v>434</v>
      </c>
      <c r="L445" s="61" t="s">
        <v>435</v>
      </c>
      <c r="M445" s="42"/>
      <c r="N445" s="46" t="e">
        <f t="shared" si="20"/>
        <v>#DIV/0!</v>
      </c>
      <c r="O445" s="46" t="str">
        <f t="shared" si="21"/>
        <v/>
      </c>
      <c r="P445" s="46">
        <f t="shared" si="22"/>
        <v>1</v>
      </c>
      <c r="Q445" s="46"/>
      <c r="R445" s="45"/>
      <c r="S445" s="45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</row>
    <row r="446" spans="1:31" ht="14.25">
      <c r="A446" s="67" t="s">
        <v>647</v>
      </c>
      <c r="B446" s="68" t="s">
        <v>668</v>
      </c>
      <c r="C446" s="67" t="s">
        <v>442</v>
      </c>
      <c r="D446" s="75" t="n">
        <v>190.0</v>
      </c>
      <c r="E446" s="76" t="s">
        <v>0</v>
      </c>
      <c r="F446" s="57" t="str">
        <f>IFERROR(VLOOKUP(C446,$C$9:H445,4,FALSE),"")</f>
        <v/>
      </c>
      <c r="G446" s="61" t="str">
        <f>IFERROR(VLOOKUP(C446,$C$9:G445,5,FALSE),"")</f>
        <v/>
      </c>
      <c r="H446" s="61" t="str">
        <f>IFERROR(VLOOKUP(C446,$C$9:H445,6,FALSE),"")</f>
        <v/>
      </c>
      <c r="I446" s="61" t="s">
        <v>433</v>
      </c>
      <c r="J446" s="61" t="n">
        <v>190.0</v>
      </c>
      <c r="K446" s="61" t="s">
        <v>434</v>
      </c>
      <c r="L446" s="61" t="s">
        <v>435</v>
      </c>
      <c r="M446" s="42"/>
      <c r="N446" s="46" t="e">
        <f t="shared" si="20"/>
        <v>#DIV/0!</v>
      </c>
      <c r="O446" s="46" t="str">
        <f t="shared" si="21"/>
        <v/>
      </c>
      <c r="P446" s="46">
        <f t="shared" si="22"/>
        <v>1</v>
      </c>
      <c r="Q446" s="46"/>
      <c r="R446" s="45"/>
      <c r="S446" s="45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</row>
    <row r="447" spans="1:31" ht="14.25">
      <c r="A447" s="67" t="s">
        <v>645</v>
      </c>
      <c r="B447" s="68" t="s">
        <v>669</v>
      </c>
      <c r="C447" s="67" t="s">
        <v>453</v>
      </c>
      <c r="D447" s="75" t="n">
        <v>100.0</v>
      </c>
      <c r="E447" s="76" t="s">
        <v>0</v>
      </c>
      <c r="F447" s="57" t="str">
        <f>IFERROR(VLOOKUP(C447,$C$9:H446,4,FALSE),"")</f>
        <v/>
      </c>
      <c r="G447" s="61" t="str">
        <f>IFERROR(VLOOKUP(C447,$C$9:G446,5,FALSE),"")</f>
        <v/>
      </c>
      <c r="H447" s="61" t="str">
        <f>IFERROR(VLOOKUP(C447,$C$9:H446,6,FALSE),"")</f>
        <v/>
      </c>
      <c r="I447" s="61"/>
      <c r="J447" s="61" t="n">
        <v>0.0</v>
      </c>
      <c r="K447" s="61"/>
      <c r="L447" s="61" t="s">
        <v>445</v>
      </c>
      <c r="M447" s="42"/>
      <c r="N447" s="46" t="e">
        <f t="shared" si="20"/>
        <v>#DIV/0!</v>
      </c>
      <c r="O447" s="46" t="str">
        <f t="shared" si="21"/>
        <v/>
      </c>
      <c r="P447" s="46">
        <f t="shared" si="22"/>
        <v>1</v>
      </c>
      <c r="Q447" s="46"/>
      <c r="R447" s="45"/>
      <c r="S447" s="45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</row>
    <row r="448" spans="1:31" ht="14.25">
      <c r="A448" s="67" t="s">
        <v>645</v>
      </c>
      <c r="B448" s="68" t="s">
        <v>669</v>
      </c>
      <c r="C448" s="67" t="s">
        <v>465</v>
      </c>
      <c r="D448" s="75" t="n">
        <v>400.0</v>
      </c>
      <c r="E448" s="76" t="s">
        <v>1</v>
      </c>
      <c r="F448" s="57" t="str">
        <f>IFERROR(VLOOKUP(C448,$C$9:H447,4,FALSE),"")</f>
        <v/>
      </c>
      <c r="G448" s="61" t="str">
        <f>IFERROR(VLOOKUP(C448,$C$9:G447,5,FALSE),"")</f>
        <v/>
      </c>
      <c r="H448" s="61" t="str">
        <f>IFERROR(VLOOKUP(C448,$C$9:H447,6,FALSE),"")</f>
        <v/>
      </c>
      <c r="I448" s="61" t="s">
        <v>466</v>
      </c>
      <c r="J448" s="61" t="n">
        <v>0.0</v>
      </c>
      <c r="K448" s="61"/>
      <c r="L448" s="61" t="s">
        <v>445</v>
      </c>
      <c r="M448" s="42"/>
      <c r="N448" s="46" t="e">
        <f t="shared" si="20"/>
        <v>#DIV/0!</v>
      </c>
      <c r="O448" s="46" t="str">
        <f t="shared" si="21"/>
        <v/>
      </c>
      <c r="P448" s="46">
        <f t="shared" si="22"/>
        <v>1</v>
      </c>
      <c r="Q448" s="46"/>
      <c r="R448" s="45"/>
      <c r="S448" s="45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</row>
    <row r="449" spans="1:31" ht="14.25">
      <c r="A449" s="67" t="s">
        <v>647</v>
      </c>
      <c r="B449" s="68" t="s">
        <v>669</v>
      </c>
      <c r="C449" s="67" t="s">
        <v>460</v>
      </c>
      <c r="D449" s="75" t="n">
        <v>108.89</v>
      </c>
      <c r="E449" s="76" t="s">
        <v>0</v>
      </c>
      <c r="F449" s="57" t="str">
        <f>IFERROR(VLOOKUP(C449,$C$9:H448,4,FALSE),"")</f>
        <v/>
      </c>
      <c r="G449" s="61" t="str">
        <f>IFERROR(VLOOKUP(C449,$C$9:G448,5,FALSE),"")</f>
        <v/>
      </c>
      <c r="H449" s="61" t="str">
        <f>IFERROR(VLOOKUP(C449,$C$9:H448,6,FALSE),"")</f>
        <v/>
      </c>
      <c r="I449" s="61" t="s">
        <v>433</v>
      </c>
      <c r="J449" s="61" t="n">
        <v>108.89</v>
      </c>
      <c r="K449" s="61" t="s">
        <v>434</v>
      </c>
      <c r="L449" s="61" t="s">
        <v>435</v>
      </c>
      <c r="M449" s="42"/>
      <c r="N449" s="46" t="e">
        <f t="shared" si="20"/>
        <v>#DIV/0!</v>
      </c>
      <c r="O449" s="46" t="str">
        <f t="shared" si="21"/>
        <v/>
      </c>
      <c r="P449" s="46">
        <f t="shared" si="22"/>
        <v>1</v>
      </c>
      <c r="Q449" s="46"/>
      <c r="R449" s="45"/>
      <c r="S449" s="45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</row>
    <row r="450" spans="1:31" ht="14.25">
      <c r="A450" s="67" t="s">
        <v>647</v>
      </c>
      <c r="B450" s="68" t="s">
        <v>669</v>
      </c>
      <c r="C450" s="67" t="s">
        <v>533</v>
      </c>
      <c r="D450" s="75" t="n">
        <v>20.0</v>
      </c>
      <c r="E450" s="76" t="s">
        <v>0</v>
      </c>
      <c r="F450" s="57" t="str">
        <f>IFERROR(VLOOKUP(C450,$C$9:H449,4,FALSE),"")</f>
        <v/>
      </c>
      <c r="G450" s="61" t="str">
        <f>IFERROR(VLOOKUP(C450,$C$9:G449,5,FALSE),"")</f>
        <v/>
      </c>
      <c r="H450" s="61" t="str">
        <f>IFERROR(VLOOKUP(C450,$C$9:H449,6,FALSE),"")</f>
        <v/>
      </c>
      <c r="I450" s="61" t="s">
        <v>433</v>
      </c>
      <c r="J450" s="61" t="n">
        <v>20.0</v>
      </c>
      <c r="K450" s="61" t="s">
        <v>434</v>
      </c>
      <c r="L450" s="61" t="s">
        <v>435</v>
      </c>
      <c r="M450" s="42"/>
      <c r="N450" s="46" t="e">
        <f t="shared" si="20"/>
        <v>#DIV/0!</v>
      </c>
      <c r="O450" s="46" t="str">
        <f t="shared" si="21"/>
        <v/>
      </c>
      <c r="P450" s="46">
        <f t="shared" si="22"/>
        <v>1</v>
      </c>
      <c r="Q450" s="46"/>
      <c r="R450" s="45"/>
      <c r="S450" s="45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</row>
    <row r="451" spans="1:31" ht="14.25">
      <c r="A451" s="67" t="s">
        <v>647</v>
      </c>
      <c r="B451" s="68" t="s">
        <v>669</v>
      </c>
      <c r="C451" s="67" t="s">
        <v>531</v>
      </c>
      <c r="D451" s="75" t="n">
        <v>-98.0</v>
      </c>
      <c r="E451" s="76" t="s">
        <v>0</v>
      </c>
      <c r="F451" s="57" t="str">
        <f>IFERROR(VLOOKUP(C451,$C$9:H450,4,FALSE),"")</f>
        <v/>
      </c>
      <c r="G451" s="61" t="str">
        <f>IFERROR(VLOOKUP(C451,$C$9:G450,5,FALSE),"")</f>
        <v/>
      </c>
      <c r="H451" s="61" t="str">
        <f>IFERROR(VLOOKUP(C451,$C$9:H450,6,FALSE),"")</f>
        <v/>
      </c>
      <c r="I451" s="61" t="s">
        <v>479</v>
      </c>
      <c r="J451" s="61" t="n">
        <v>98.0</v>
      </c>
      <c r="K451" s="61" t="s">
        <v>434</v>
      </c>
      <c r="L451" s="61" t="s">
        <v>435</v>
      </c>
      <c r="M451" s="42"/>
      <c r="N451" s="46" t="e">
        <f t="shared" si="20"/>
        <v>#DIV/0!</v>
      </c>
      <c r="O451" s="46" t="str">
        <f t="shared" si="21"/>
        <v/>
      </c>
      <c r="P451" s="46">
        <f t="shared" si="22"/>
        <v>1</v>
      </c>
      <c r="Q451" s="46"/>
      <c r="R451" s="45"/>
      <c r="S451" s="45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</row>
    <row r="452" spans="1:31" ht="14.25">
      <c r="A452" s="67" t="s">
        <v>647</v>
      </c>
      <c r="B452" s="68" t="s">
        <v>669</v>
      </c>
      <c r="C452" s="67" t="s">
        <v>439</v>
      </c>
      <c r="D452" s="75" t="n">
        <v>110.7</v>
      </c>
      <c r="E452" s="76" t="s">
        <v>0</v>
      </c>
      <c r="F452" s="57" t="str">
        <f>IFERROR(VLOOKUP(C452,$C$9:H451,4,FALSE),"")</f>
        <v/>
      </c>
      <c r="G452" s="61" t="s">
        <v>350</v>
      </c>
      <c r="H452" s="61" t="s">
        <v>404</v>
      </c>
      <c r="I452" s="61" t="s">
        <v>433</v>
      </c>
      <c r="J452" s="61" t="n">
        <v>110.7</v>
      </c>
      <c r="K452" s="61" t="s">
        <v>434</v>
      </c>
      <c r="L452" s="61" t="s">
        <v>435</v>
      </c>
      <c r="M452" s="42"/>
      <c r="N452" s="46" t="e">
        <f t="shared" si="20"/>
        <v>#DIV/0!</v>
      </c>
      <c r="O452" s="46" t="str">
        <f t="shared" si="21"/>
        <v/>
      </c>
      <c r="P452" s="46">
        <f t="shared" si="22"/>
        <v>1</v>
      </c>
      <c r="Q452" s="46"/>
      <c r="R452" s="45"/>
      <c r="S452" s="45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</row>
    <row r="453" spans="1:31" ht="14.25">
      <c r="A453" s="67" t="s">
        <v>647</v>
      </c>
      <c r="B453" s="68" t="s">
        <v>669</v>
      </c>
      <c r="C453" s="67" t="s">
        <v>513</v>
      </c>
      <c r="D453" s="75" t="n">
        <v>120.0</v>
      </c>
      <c r="E453" s="76" t="s">
        <v>0</v>
      </c>
      <c r="F453" s="57" t="str">
        <f>IFERROR(VLOOKUP(C453,$C$9:H452,4,FALSE),"")</f>
        <v/>
      </c>
      <c r="G453" s="61" t="str">
        <f>IFERROR(VLOOKUP(C453,$C$9:G452,5,FALSE),"")</f>
        <v/>
      </c>
      <c r="H453" s="61" t="str">
        <f>IFERROR(VLOOKUP(C453,$C$9:H452,6,FALSE),"")</f>
        <v/>
      </c>
      <c r="I453" s="61" t="s">
        <v>670</v>
      </c>
      <c r="J453" s="61" t="n">
        <v>120.0</v>
      </c>
      <c r="K453" s="61" t="s">
        <v>434</v>
      </c>
      <c r="L453" s="61" t="s">
        <v>435</v>
      </c>
      <c r="M453" s="42"/>
      <c r="N453" s="46" t="e">
        <f t="shared" si="20"/>
        <v>#DIV/0!</v>
      </c>
      <c r="O453" s="46" t="str">
        <f t="shared" si="21"/>
        <v/>
      </c>
      <c r="P453" s="46">
        <f t="shared" si="22"/>
        <v>1</v>
      </c>
      <c r="Q453" s="46"/>
      <c r="R453" s="45"/>
      <c r="S453" s="45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</row>
    <row r="454" spans="1:31" ht="14.25">
      <c r="A454" s="67" t="s">
        <v>645</v>
      </c>
      <c r="B454" s="68" t="s">
        <v>671</v>
      </c>
      <c r="C454" s="67" t="s">
        <v>452</v>
      </c>
      <c r="D454" s="75" t="n">
        <v>108.9</v>
      </c>
      <c r="E454" s="76" t="s">
        <v>0</v>
      </c>
      <c r="F454" s="57" t="str">
        <f>IFERROR(VLOOKUP(C454,$C$9:H453,4,FALSE),"")</f>
        <v/>
      </c>
      <c r="G454" s="61" t="s">
        <v>414</v>
      </c>
      <c r="H454" s="61" t="s">
        <v>414</v>
      </c>
      <c r="I454" s="61"/>
      <c r="J454" s="61" t="n">
        <v>0.0</v>
      </c>
      <c r="K454" s="61"/>
      <c r="L454" s="61" t="s">
        <v>445</v>
      </c>
      <c r="M454" s="42"/>
      <c r="N454" s="46" t="e">
        <f t="shared" si="20"/>
        <v>#DIV/0!</v>
      </c>
      <c r="O454" s="46" t="str">
        <f t="shared" si="21"/>
        <v/>
      </c>
      <c r="P454" s="46">
        <f t="shared" si="22"/>
        <v>1</v>
      </c>
      <c r="Q454" s="46"/>
      <c r="R454" s="45"/>
      <c r="S454" s="45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</row>
    <row r="455" spans="1:31" ht="14.25">
      <c r="A455" s="67" t="s">
        <v>645</v>
      </c>
      <c r="B455" s="68" t="s">
        <v>671</v>
      </c>
      <c r="C455" s="67" t="s">
        <v>672</v>
      </c>
      <c r="D455" s="75" t="n">
        <v>500.0</v>
      </c>
      <c r="E455" s="76" t="s">
        <v>0</v>
      </c>
      <c r="F455" s="57" t="str">
        <f>IFERROR(VLOOKUP(C455,$C$9:H454,4,FALSE),"")</f>
        <v/>
      </c>
      <c r="G455" s="61" t="str">
        <f>IFERROR(VLOOKUP(C455,$C$9:G454,5,FALSE),"")</f>
        <v/>
      </c>
      <c r="H455" s="61" t="str">
        <f>IFERROR(VLOOKUP(C455,$C$9:H454,6,FALSE),"")</f>
        <v/>
      </c>
      <c r="I455" s="61"/>
      <c r="J455" s="61" t="n">
        <v>0.0</v>
      </c>
      <c r="K455" s="61"/>
      <c r="L455" s="61" t="s">
        <v>445</v>
      </c>
      <c r="M455" s="42"/>
      <c r="N455" s="46" t="e">
        <f t="shared" si="20"/>
        <v>#DIV/0!</v>
      </c>
      <c r="O455" s="46" t="str">
        <f t="shared" si="21"/>
        <v/>
      </c>
      <c r="P455" s="46">
        <f t="shared" si="22"/>
        <v>1</v>
      </c>
      <c r="Q455" s="46"/>
      <c r="R455" s="45"/>
      <c r="S455" s="45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</row>
    <row r="456" spans="1:31" ht="14.25">
      <c r="A456" s="67" t="s">
        <v>645</v>
      </c>
      <c r="B456" s="68" t="s">
        <v>671</v>
      </c>
      <c r="C456" s="67" t="s">
        <v>5</v>
      </c>
      <c r="D456" s="75" t="n">
        <v>115.0</v>
      </c>
      <c r="E456" s="76" t="s">
        <v>1</v>
      </c>
      <c r="F456" s="57" t="str">
        <f>IFERROR(VLOOKUP(C456,$C$9:H455,4,FALSE),"")</f>
        <v/>
      </c>
      <c r="G456" s="61" t="s">
        <v>346</v>
      </c>
      <c r="H456" s="61" t="s">
        <v>5</v>
      </c>
      <c r="I456" s="61" t="s">
        <v>490</v>
      </c>
      <c r="J456" s="61" t="n">
        <v>0.0</v>
      </c>
      <c r="K456" s="61"/>
      <c r="L456" s="61" t="s">
        <v>445</v>
      </c>
      <c r="M456" s="42"/>
      <c r="N456" s="46" t="e">
        <f t="shared" si="20"/>
        <v>#DIV/0!</v>
      </c>
      <c r="O456" s="46" t="str">
        <f t="shared" si="21"/>
        <v/>
      </c>
      <c r="P456" s="46">
        <f t="shared" si="22"/>
        <v>1</v>
      </c>
      <c r="Q456" s="46"/>
      <c r="R456" s="45"/>
      <c r="S456" s="45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</row>
    <row r="457" spans="1:31" ht="14.25">
      <c r="A457" s="67" t="s">
        <v>645</v>
      </c>
      <c r="B457" s="68" t="s">
        <v>671</v>
      </c>
      <c r="C457" s="67" t="s">
        <v>673</v>
      </c>
      <c r="D457" s="75" t="n">
        <v>500.0</v>
      </c>
      <c r="E457" s="76" t="s">
        <v>1</v>
      </c>
      <c r="F457" s="57" t="str">
        <f>IFERROR(VLOOKUP(C457,$C$9:H456,4,FALSE),"")</f>
        <v/>
      </c>
      <c r="G457" s="61" t="str">
        <f>IFERROR(VLOOKUP(C457,$C$9:G456,5,FALSE),"")</f>
        <v/>
      </c>
      <c r="H457" s="61" t="str">
        <f>IFERROR(VLOOKUP(C457,$C$9:H456,6,FALSE),"")</f>
        <v/>
      </c>
      <c r="I457" s="61" t="s">
        <v>674</v>
      </c>
      <c r="J457" s="61" t="n">
        <v>0.0</v>
      </c>
      <c r="K457" s="61"/>
      <c r="L457" s="61" t="s">
        <v>445</v>
      </c>
      <c r="M457" s="42"/>
      <c r="N457" s="46" t="e">
        <f t="shared" si="20"/>
        <v>#DIV/0!</v>
      </c>
      <c r="O457" s="46" t="str">
        <f t="shared" si="21"/>
        <v/>
      </c>
      <c r="P457" s="46">
        <f t="shared" si="22"/>
        <v>1</v>
      </c>
      <c r="Q457" s="46"/>
      <c r="R457" s="45"/>
      <c r="S457" s="45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</row>
    <row r="458" spans="1:31" ht="14.25">
      <c r="A458" s="67" t="s">
        <v>647</v>
      </c>
      <c r="B458" s="68" t="s">
        <v>671</v>
      </c>
      <c r="C458" s="67" t="s">
        <v>457</v>
      </c>
      <c r="D458" s="75" t="n">
        <v>17.03</v>
      </c>
      <c r="E458" s="76" t="s">
        <v>0</v>
      </c>
      <c r="F458" s="57" t="str">
        <f>IFERROR(VLOOKUP(C458,$C$9:H457,4,FALSE),"")</f>
        <v/>
      </c>
      <c r="G458" s="61" t="s">
        <v>352</v>
      </c>
      <c r="H458" s="61" t="s">
        <v>293</v>
      </c>
      <c r="I458" s="61" t="s">
        <v>433</v>
      </c>
      <c r="J458" s="61" t="n">
        <v>17.03</v>
      </c>
      <c r="K458" s="61" t="s">
        <v>434</v>
      </c>
      <c r="L458" s="61" t="s">
        <v>435</v>
      </c>
      <c r="M458" s="42"/>
      <c r="N458" s="46" t="e">
        <f t="shared" ref="N458:N521" si="23">IF(OR(F458=$P$1,F458="",F458=0),D458/$B$2,IF(OR(F458=$P$2,F458=$P$3,F458=$P$4),D458/(O458*P458),D458/O458))</f>
        <v>#DIV/0!</v>
      </c>
      <c r="O458" s="46" t="str">
        <f t="shared" ref="O458:O521" si="24">IFERROR(VLOOKUP(F458,$P$1:$Q$4,2,0),F458)</f>
        <v/>
      </c>
      <c r="P458" s="46">
        <f t="shared" si="22"/>
        <v>1</v>
      </c>
      <c r="Q458" s="46"/>
      <c r="R458" s="45"/>
      <c r="S458" s="45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</row>
    <row r="459" spans="1:31" ht="14.25">
      <c r="A459" s="67" t="s">
        <v>647</v>
      </c>
      <c r="B459" s="68" t="s">
        <v>671</v>
      </c>
      <c r="C459" s="67" t="s">
        <v>675</v>
      </c>
      <c r="D459" s="75" t="n">
        <v>7.0</v>
      </c>
      <c r="E459" s="76" t="s">
        <v>0</v>
      </c>
      <c r="F459" s="57" t="str">
        <f>IFERROR(VLOOKUP(C459,$C$9:H458,4,FALSE),"")</f>
        <v/>
      </c>
      <c r="G459" s="61" t="str">
        <f>IFERROR(VLOOKUP(C459,$C$9:G458,5,FALSE),"")</f>
        <v/>
      </c>
      <c r="H459" s="61" t="str">
        <f>IFERROR(VLOOKUP(C459,$C$9:H458,6,FALSE),"")</f>
        <v/>
      </c>
      <c r="I459" s="61" t="s">
        <v>433</v>
      </c>
      <c r="J459" s="61" t="n">
        <v>7.0</v>
      </c>
      <c r="K459" s="61" t="s">
        <v>434</v>
      </c>
      <c r="L459" s="61" t="s">
        <v>435</v>
      </c>
      <c r="M459" s="42"/>
      <c r="N459" s="46" t="e">
        <f t="shared" si="23"/>
        <v>#DIV/0!</v>
      </c>
      <c r="O459" s="46" t="str">
        <f t="shared" si="24"/>
        <v/>
      </c>
      <c r="P459" s="46">
        <f t="shared" ref="P459:P522" si="25">IF(C459="",1,COUNTIFS($C$9:$C$1499,C459,$H$9:$H$1499,H459))</f>
        <v>1</v>
      </c>
      <c r="Q459" s="46"/>
      <c r="R459" s="45"/>
      <c r="S459" s="45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</row>
    <row r="460" spans="1:31" ht="14.25">
      <c r="A460" s="67" t="s">
        <v>647</v>
      </c>
      <c r="B460" s="68" t="s">
        <v>671</v>
      </c>
      <c r="C460" s="67" t="s">
        <v>675</v>
      </c>
      <c r="D460" s="75" t="n">
        <v>34.0</v>
      </c>
      <c r="E460" s="76" t="s">
        <v>0</v>
      </c>
      <c r="F460" s="57" t="str">
        <f>IFERROR(VLOOKUP(C460,$C$9:H459,4,FALSE),"")</f>
        <v/>
      </c>
      <c r="G460" s="61" t="str">
        <f>IFERROR(VLOOKUP(C460,$C$9:G459,5,FALSE),"")</f>
        <v/>
      </c>
      <c r="H460" s="61" t="str">
        <f>IFERROR(VLOOKUP(C460,$C$9:H459,6,FALSE),"")</f>
        <v/>
      </c>
      <c r="I460" s="61" t="s">
        <v>433</v>
      </c>
      <c r="J460" s="61" t="n">
        <v>34.0</v>
      </c>
      <c r="K460" s="61" t="s">
        <v>434</v>
      </c>
      <c r="L460" s="61" t="s">
        <v>435</v>
      </c>
      <c r="M460" s="42"/>
      <c r="N460" s="46" t="e">
        <f t="shared" si="23"/>
        <v>#DIV/0!</v>
      </c>
      <c r="O460" s="46" t="str">
        <f t="shared" si="24"/>
        <v/>
      </c>
      <c r="P460" s="46">
        <f t="shared" si="25"/>
        <v>1</v>
      </c>
      <c r="Q460" s="46"/>
      <c r="R460" s="45"/>
      <c r="S460" s="45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</row>
    <row r="461" spans="1:31" ht="14.25">
      <c r="A461" s="67" t="s">
        <v>647</v>
      </c>
      <c r="B461" s="68" t="s">
        <v>671</v>
      </c>
      <c r="C461" s="67" t="s">
        <v>458</v>
      </c>
      <c r="D461" s="75" t="n">
        <v>14.0</v>
      </c>
      <c r="E461" s="76" t="s">
        <v>0</v>
      </c>
      <c r="F461" s="57" t="str">
        <f>IFERROR(VLOOKUP(C461,$C$9:H460,4,FALSE),"")</f>
        <v/>
      </c>
      <c r="G461" s="61" t="s">
        <v>350</v>
      </c>
      <c r="H461" s="61" t="s">
        <v>404</v>
      </c>
      <c r="I461" s="61" t="s">
        <v>433</v>
      </c>
      <c r="J461" s="61" t="n">
        <v>14.0</v>
      </c>
      <c r="K461" s="61" t="s">
        <v>434</v>
      </c>
      <c r="L461" s="61" t="s">
        <v>435</v>
      </c>
      <c r="M461" s="42"/>
      <c r="N461" s="46" t="e">
        <f t="shared" si="23"/>
        <v>#DIV/0!</v>
      </c>
      <c r="O461" s="46" t="str">
        <f t="shared" si="24"/>
        <v/>
      </c>
      <c r="P461" s="46">
        <f t="shared" si="25"/>
        <v>1</v>
      </c>
      <c r="Q461" s="46"/>
      <c r="R461" s="45"/>
      <c r="S461" s="45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</row>
    <row r="462" spans="1:31" ht="14.25">
      <c r="A462" s="67" t="s">
        <v>647</v>
      </c>
      <c r="B462" s="68" t="s">
        <v>671</v>
      </c>
      <c r="C462" s="67" t="s">
        <v>676</v>
      </c>
      <c r="D462" s="75" t="n">
        <v>25.0</v>
      </c>
      <c r="E462" s="76" t="s">
        <v>0</v>
      </c>
      <c r="F462" s="57" t="str">
        <f>IFERROR(VLOOKUP(C462,$C$9:H461,4,FALSE),"")</f>
        <v/>
      </c>
      <c r="G462" s="61" t="str">
        <f>IFERROR(VLOOKUP(C462,$C$9:G461,5,FALSE),"")</f>
        <v/>
      </c>
      <c r="H462" s="61" t="str">
        <f>IFERROR(VLOOKUP(C462,$C$9:H461,6,FALSE),"")</f>
        <v/>
      </c>
      <c r="I462" s="61" t="s">
        <v>433</v>
      </c>
      <c r="J462" s="61" t="n">
        <v>25.0</v>
      </c>
      <c r="K462" s="61" t="s">
        <v>434</v>
      </c>
      <c r="L462" s="61" t="s">
        <v>435</v>
      </c>
      <c r="M462" s="42"/>
      <c r="N462" s="46" t="e">
        <f t="shared" si="23"/>
        <v>#DIV/0!</v>
      </c>
      <c r="O462" s="46" t="str">
        <f t="shared" si="24"/>
        <v/>
      </c>
      <c r="P462" s="46">
        <f t="shared" si="25"/>
        <v>1</v>
      </c>
      <c r="Q462" s="46"/>
      <c r="R462" s="45"/>
      <c r="S462" s="45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</row>
    <row r="463" spans="1:31" ht="14.25">
      <c r="A463" s="67" t="s">
        <v>647</v>
      </c>
      <c r="B463" s="68" t="s">
        <v>671</v>
      </c>
      <c r="C463" s="67" t="s">
        <v>513</v>
      </c>
      <c r="D463" s="75" t="n">
        <v>50.0</v>
      </c>
      <c r="E463" s="76" t="s">
        <v>0</v>
      </c>
      <c r="F463" s="57" t="str">
        <f>IFERROR(VLOOKUP(C463,$C$9:H462,4,FALSE),"")</f>
        <v/>
      </c>
      <c r="G463" s="61" t="str">
        <f>IFERROR(VLOOKUP(C463,$C$9:G462,5,FALSE),"")</f>
        <v/>
      </c>
      <c r="H463" s="61" t="str">
        <f>IFERROR(VLOOKUP(C463,$C$9:H462,6,FALSE),"")</f>
        <v/>
      </c>
      <c r="I463" s="61" t="s">
        <v>677</v>
      </c>
      <c r="J463" s="61" t="n">
        <v>50.0</v>
      </c>
      <c r="K463" s="61" t="s">
        <v>434</v>
      </c>
      <c r="L463" s="61" t="s">
        <v>435</v>
      </c>
      <c r="M463" s="42"/>
      <c r="N463" s="46" t="e">
        <f t="shared" si="23"/>
        <v>#DIV/0!</v>
      </c>
      <c r="O463" s="46" t="str">
        <f t="shared" si="24"/>
        <v/>
      </c>
      <c r="P463" s="46">
        <f t="shared" si="25"/>
        <v>1</v>
      </c>
      <c r="Q463" s="46"/>
      <c r="R463" s="45"/>
      <c r="S463" s="45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</row>
    <row r="464" spans="1:31" ht="14.25">
      <c r="A464" s="67" t="s">
        <v>647</v>
      </c>
      <c r="B464" s="68" t="s">
        <v>671</v>
      </c>
      <c r="C464" s="67" t="s">
        <v>513</v>
      </c>
      <c r="D464" s="75" t="n">
        <v>15.0</v>
      </c>
      <c r="E464" s="76" t="s">
        <v>0</v>
      </c>
      <c r="F464" s="57" t="str">
        <f>IFERROR(VLOOKUP(C464,$C$9:H463,4,FALSE),"")</f>
        <v/>
      </c>
      <c r="G464" s="61" t="str">
        <f>IFERROR(VLOOKUP(C464,$C$9:G463,5,FALSE),"")</f>
        <v/>
      </c>
      <c r="H464" s="61" t="str">
        <f>IFERROR(VLOOKUP(C464,$C$9:H463,6,FALSE),"")</f>
        <v/>
      </c>
      <c r="I464" s="61" t="s">
        <v>677</v>
      </c>
      <c r="J464" s="61" t="n">
        <v>15.0</v>
      </c>
      <c r="K464" s="61" t="s">
        <v>434</v>
      </c>
      <c r="L464" s="61" t="s">
        <v>435</v>
      </c>
      <c r="M464" s="42"/>
      <c r="N464" s="46" t="e">
        <f t="shared" si="23"/>
        <v>#DIV/0!</v>
      </c>
      <c r="O464" s="46" t="str">
        <f t="shared" si="24"/>
        <v/>
      </c>
      <c r="P464" s="46">
        <f t="shared" si="25"/>
        <v>1</v>
      </c>
      <c r="Q464" s="46"/>
      <c r="R464" s="45"/>
      <c r="S464" s="45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</row>
    <row r="465" spans="1:31" ht="14.25">
      <c r="A465" s="67" t="s">
        <v>647</v>
      </c>
      <c r="B465" s="68" t="s">
        <v>678</v>
      </c>
      <c r="C465" s="67" t="s">
        <v>456</v>
      </c>
      <c r="D465" s="75" t="n">
        <v>38.0</v>
      </c>
      <c r="E465" s="76" t="s">
        <v>0</v>
      </c>
      <c r="F465" s="57" t="str">
        <f>IFERROR(VLOOKUP(C465,$C$9:H464,4,FALSE),"")</f>
        <v/>
      </c>
      <c r="G465" s="61" t="str">
        <f>IFERROR(VLOOKUP(C465,$C$9:G464,5,FALSE),"")</f>
        <v/>
      </c>
      <c r="H465" s="61" t="str">
        <f>IFERROR(VLOOKUP(C465,$C$9:H464,6,FALSE),"")</f>
        <v/>
      </c>
      <c r="I465" s="61" t="s">
        <v>433</v>
      </c>
      <c r="J465" s="61" t="n">
        <v>38.0</v>
      </c>
      <c r="K465" s="61" t="s">
        <v>434</v>
      </c>
      <c r="L465" s="61" t="s">
        <v>435</v>
      </c>
      <c r="M465" s="42"/>
      <c r="N465" s="46" t="e">
        <f t="shared" si="23"/>
        <v>#DIV/0!</v>
      </c>
      <c r="O465" s="46" t="str">
        <f t="shared" si="24"/>
        <v/>
      </c>
      <c r="P465" s="46">
        <f t="shared" si="25"/>
        <v>1</v>
      </c>
      <c r="Q465" s="46"/>
      <c r="R465" s="45"/>
      <c r="S465" s="45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</row>
    <row r="466" spans="1:31" ht="14.25">
      <c r="A466" s="67" t="s">
        <v>647</v>
      </c>
      <c r="B466" s="68" t="s">
        <v>678</v>
      </c>
      <c r="C466" s="67" t="s">
        <v>589</v>
      </c>
      <c r="D466" s="75" t="n">
        <v>23.3</v>
      </c>
      <c r="E466" s="76" t="s">
        <v>0</v>
      </c>
      <c r="F466" s="57" t="str">
        <f>IFERROR(VLOOKUP(C466,$C$9:H465,4,FALSE),"")</f>
        <v/>
      </c>
      <c r="G466" s="61" t="s">
        <v>350</v>
      </c>
      <c r="H466" s="61" t="s">
        <v>404</v>
      </c>
      <c r="I466" s="61" t="s">
        <v>433</v>
      </c>
      <c r="J466" s="61" t="n">
        <v>23.3</v>
      </c>
      <c r="K466" s="61" t="s">
        <v>434</v>
      </c>
      <c r="L466" s="61" t="s">
        <v>435</v>
      </c>
      <c r="M466" s="42"/>
      <c r="N466" s="46" t="e">
        <f t="shared" si="23"/>
        <v>#DIV/0!</v>
      </c>
      <c r="O466" s="46" t="str">
        <f t="shared" si="24"/>
        <v/>
      </c>
      <c r="P466" s="46">
        <f t="shared" si="25"/>
        <v>1</v>
      </c>
      <c r="Q466" s="46"/>
      <c r="R466" s="45"/>
      <c r="S466" s="45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</row>
    <row r="467" spans="1:31" ht="14.25">
      <c r="A467" s="67" t="s">
        <v>647</v>
      </c>
      <c r="B467" s="68" t="s">
        <v>678</v>
      </c>
      <c r="C467" s="67" t="s">
        <v>679</v>
      </c>
      <c r="D467" s="75" t="n">
        <v>15.0</v>
      </c>
      <c r="E467" s="76" t="s">
        <v>0</v>
      </c>
      <c r="F467" s="57" t="str">
        <f>IFERROR(VLOOKUP(C467,$C$9:H466,4,FALSE),"")</f>
        <v/>
      </c>
      <c r="G467" s="61" t="str">
        <f>IFERROR(VLOOKUP(C467,$C$9:G466,5,FALSE),"")</f>
        <v/>
      </c>
      <c r="H467" s="61" t="str">
        <f>IFERROR(VLOOKUP(C467,$C$9:H466,6,FALSE),"")</f>
        <v/>
      </c>
      <c r="I467" s="61" t="s">
        <v>433</v>
      </c>
      <c r="J467" s="61" t="n">
        <v>15.0</v>
      </c>
      <c r="K467" s="61" t="s">
        <v>434</v>
      </c>
      <c r="L467" s="61" t="s">
        <v>435</v>
      </c>
      <c r="M467" s="42"/>
      <c r="N467" s="46" t="e">
        <f t="shared" si="23"/>
        <v>#DIV/0!</v>
      </c>
      <c r="O467" s="46" t="str">
        <f t="shared" si="24"/>
        <v/>
      </c>
      <c r="P467" s="46">
        <f t="shared" si="25"/>
        <v>1</v>
      </c>
      <c r="Q467" s="46"/>
      <c r="R467" s="45"/>
      <c r="S467" s="45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</row>
    <row r="468" spans="1:31" ht="14.25">
      <c r="A468" s="67" t="s">
        <v>647</v>
      </c>
      <c r="B468" s="68" t="s">
        <v>678</v>
      </c>
      <c r="C468" s="67" t="s">
        <v>675</v>
      </c>
      <c r="D468" s="75" t="n">
        <v>7.0</v>
      </c>
      <c r="E468" s="76" t="s">
        <v>0</v>
      </c>
      <c r="F468" s="57" t="str">
        <f>IFERROR(VLOOKUP(C468,$C$9:H467,4,FALSE),"")</f>
        <v/>
      </c>
      <c r="G468" s="61" t="str">
        <f>IFERROR(VLOOKUP(C468,$C$9:G467,5,FALSE),"")</f>
        <v/>
      </c>
      <c r="H468" s="61" t="str">
        <f>IFERROR(VLOOKUP(C468,$C$9:H467,6,FALSE),"")</f>
        <v/>
      </c>
      <c r="I468" s="61" t="s">
        <v>433</v>
      </c>
      <c r="J468" s="61" t="n">
        <v>7.0</v>
      </c>
      <c r="K468" s="61" t="s">
        <v>434</v>
      </c>
      <c r="L468" s="61" t="s">
        <v>435</v>
      </c>
      <c r="M468" s="42"/>
      <c r="N468" s="46" t="e">
        <f t="shared" si="23"/>
        <v>#DIV/0!</v>
      </c>
      <c r="O468" s="46" t="str">
        <f t="shared" si="24"/>
        <v/>
      </c>
      <c r="P468" s="46">
        <f t="shared" si="25"/>
        <v>1</v>
      </c>
      <c r="Q468" s="46"/>
      <c r="R468" s="45"/>
      <c r="S468" s="45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</row>
    <row r="469" spans="1:31" ht="14.25">
      <c r="A469" s="67" t="s">
        <v>647</v>
      </c>
      <c r="B469" s="71" t="s">
        <v>678</v>
      </c>
      <c r="C469" s="67" t="s">
        <v>432</v>
      </c>
      <c r="D469" s="75" t="n">
        <v>22.0</v>
      </c>
      <c r="E469" s="76" t="s">
        <v>0</v>
      </c>
      <c r="F469" s="57" t="str">
        <f>IFERROR(VLOOKUP(C469,$C$9:H468,4,FALSE),"")</f>
        <v/>
      </c>
      <c r="G469" s="61" t="s">
        <v>350</v>
      </c>
      <c r="H469" s="61" t="s">
        <v>404</v>
      </c>
      <c r="I469" s="61" t="s">
        <v>433</v>
      </c>
      <c r="J469" s="61" t="n">
        <v>22.0</v>
      </c>
      <c r="K469" s="61" t="s">
        <v>434</v>
      </c>
      <c r="L469" s="61" t="s">
        <v>435</v>
      </c>
      <c r="M469" s="42"/>
      <c r="N469" s="46" t="e">
        <f t="shared" si="23"/>
        <v>#DIV/0!</v>
      </c>
      <c r="O469" s="46" t="str">
        <f t="shared" si="24"/>
        <v/>
      </c>
      <c r="P469" s="46">
        <f t="shared" si="25"/>
        <v>1</v>
      </c>
      <c r="Q469" s="46"/>
      <c r="R469" s="45"/>
      <c r="S469" s="45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</row>
    <row r="470" spans="1:31" ht="14.25">
      <c r="A470" s="67" t="s">
        <v>647</v>
      </c>
      <c r="B470" s="68" t="s">
        <v>678</v>
      </c>
      <c r="C470" s="67" t="s">
        <v>439</v>
      </c>
      <c r="D470" s="75" t="n">
        <v>148.18</v>
      </c>
      <c r="E470" s="76" t="s">
        <v>0</v>
      </c>
      <c r="F470" s="57" t="str">
        <f>IFERROR(VLOOKUP(C470,$C$9:H469,4,FALSE),"")</f>
        <v/>
      </c>
      <c r="G470" s="61" t="s">
        <v>350</v>
      </c>
      <c r="H470" s="61" t="s">
        <v>404</v>
      </c>
      <c r="I470" s="61" t="s">
        <v>433</v>
      </c>
      <c r="J470" s="61" t="n">
        <v>148.18</v>
      </c>
      <c r="K470" s="61" t="s">
        <v>434</v>
      </c>
      <c r="L470" s="61" t="s">
        <v>435</v>
      </c>
      <c r="M470" s="42"/>
      <c r="N470" s="46" t="e">
        <f t="shared" si="23"/>
        <v>#DIV/0!</v>
      </c>
      <c r="O470" s="46" t="str">
        <f t="shared" si="24"/>
        <v/>
      </c>
      <c r="P470" s="46">
        <f t="shared" si="25"/>
        <v>1</v>
      </c>
      <c r="Q470" s="46"/>
      <c r="R470" s="45"/>
      <c r="S470" s="45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</row>
    <row r="471" spans="1:31" ht="14.25">
      <c r="A471" s="67" t="s">
        <v>647</v>
      </c>
      <c r="B471" s="68" t="s">
        <v>678</v>
      </c>
      <c r="C471" s="67" t="s">
        <v>439</v>
      </c>
      <c r="D471" s="75" t="n">
        <v>115.5</v>
      </c>
      <c r="E471" s="76" t="s">
        <v>0</v>
      </c>
      <c r="F471" s="57" t="str">
        <f>IFERROR(VLOOKUP(C471,$C$9:H470,4,FALSE),"")</f>
        <v/>
      </c>
      <c r="G471" s="61" t="s">
        <v>350</v>
      </c>
      <c r="H471" s="61" t="s">
        <v>404</v>
      </c>
      <c r="I471" s="61" t="s">
        <v>433</v>
      </c>
      <c r="J471" s="61" t="n">
        <v>115.5</v>
      </c>
      <c r="K471" s="61" t="s">
        <v>434</v>
      </c>
      <c r="L471" s="61" t="s">
        <v>435</v>
      </c>
      <c r="M471" s="42"/>
      <c r="N471" s="46" t="e">
        <f t="shared" si="23"/>
        <v>#DIV/0!</v>
      </c>
      <c r="O471" s="46" t="str">
        <f t="shared" si="24"/>
        <v/>
      </c>
      <c r="P471" s="46">
        <f t="shared" si="25"/>
        <v>1</v>
      </c>
      <c r="Q471" s="46"/>
      <c r="R471" s="45"/>
      <c r="S471" s="45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</row>
    <row r="472" spans="1:31" ht="14.25">
      <c r="A472" s="67" t="s">
        <v>647</v>
      </c>
      <c r="B472" s="68" t="s">
        <v>678</v>
      </c>
      <c r="C472" s="67" t="s">
        <v>439</v>
      </c>
      <c r="D472" s="75" t="n">
        <v>106.0</v>
      </c>
      <c r="E472" s="76" t="s">
        <v>0</v>
      </c>
      <c r="F472" s="57" t="str">
        <f>IFERROR(VLOOKUP(C472,$C$9:H471,4,FALSE),"")</f>
        <v/>
      </c>
      <c r="G472" s="61" t="s">
        <v>350</v>
      </c>
      <c r="H472" s="61" t="s">
        <v>404</v>
      </c>
      <c r="I472" s="61" t="s">
        <v>433</v>
      </c>
      <c r="J472" s="61" t="n">
        <v>106.0</v>
      </c>
      <c r="K472" s="61" t="s">
        <v>434</v>
      </c>
      <c r="L472" s="61" t="s">
        <v>435</v>
      </c>
      <c r="M472" s="42"/>
      <c r="N472" s="46" t="e">
        <f t="shared" si="23"/>
        <v>#DIV/0!</v>
      </c>
      <c r="O472" s="46" t="str">
        <f t="shared" si="24"/>
        <v/>
      </c>
      <c r="P472" s="46">
        <f t="shared" si="25"/>
        <v>1</v>
      </c>
      <c r="Q472" s="46"/>
      <c r="R472" s="45"/>
      <c r="S472" s="45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</row>
    <row r="473" spans="1:31" ht="14.25">
      <c r="A473" s="67" t="s">
        <v>647</v>
      </c>
      <c r="B473" s="68" t="s">
        <v>678</v>
      </c>
      <c r="C473" s="67" t="s">
        <v>441</v>
      </c>
      <c r="D473" s="75" t="n">
        <v>15.0</v>
      </c>
      <c r="E473" s="76" t="s">
        <v>0</v>
      </c>
      <c r="F473" s="57" t="str">
        <f>IFERROR(VLOOKUP(C473,$C$9:H472,4,FALSE),"")</f>
        <v/>
      </c>
      <c r="G473" s="61" t="str">
        <f>IFERROR(VLOOKUP(C473,$C$9:G472,5,FALSE),"")</f>
        <v/>
      </c>
      <c r="H473" s="61" t="str">
        <f>IFERROR(VLOOKUP(C473,$C$9:H472,6,FALSE),"")</f>
        <v/>
      </c>
      <c r="I473" s="61" t="s">
        <v>433</v>
      </c>
      <c r="J473" s="61" t="n">
        <v>15.0</v>
      </c>
      <c r="K473" s="61" t="s">
        <v>434</v>
      </c>
      <c r="L473" s="61" t="s">
        <v>435</v>
      </c>
      <c r="M473" s="42"/>
      <c r="N473" s="46" t="e">
        <f t="shared" si="23"/>
        <v>#DIV/0!</v>
      </c>
      <c r="O473" s="46" t="str">
        <f t="shared" si="24"/>
        <v/>
      </c>
      <c r="P473" s="46">
        <f t="shared" si="25"/>
        <v>1</v>
      </c>
      <c r="Q473" s="46"/>
      <c r="R473" s="45"/>
      <c r="S473" s="45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</row>
    <row r="474" spans="1:31" ht="14.25">
      <c r="A474" s="67" t="s">
        <v>647</v>
      </c>
      <c r="B474" s="68" t="s">
        <v>678</v>
      </c>
      <c r="C474" s="67" t="s">
        <v>442</v>
      </c>
      <c r="D474" s="75" t="n">
        <v>190.0</v>
      </c>
      <c r="E474" s="76" t="s">
        <v>0</v>
      </c>
      <c r="F474" s="57" t="str">
        <f>IFERROR(VLOOKUP(C474,$C$9:H473,4,FALSE),"")</f>
        <v/>
      </c>
      <c r="G474" s="61" t="str">
        <f>IFERROR(VLOOKUP(C474,$C$9:G473,5,FALSE),"")</f>
        <v/>
      </c>
      <c r="H474" s="61" t="str">
        <f>IFERROR(VLOOKUP(C474,$C$9:H473,6,FALSE),"")</f>
        <v/>
      </c>
      <c r="I474" s="61" t="s">
        <v>433</v>
      </c>
      <c r="J474" s="61" t="n">
        <v>190.0</v>
      </c>
      <c r="K474" s="61" t="s">
        <v>434</v>
      </c>
      <c r="L474" s="61" t="s">
        <v>435</v>
      </c>
      <c r="M474" s="42"/>
      <c r="N474" s="46" t="e">
        <f t="shared" si="23"/>
        <v>#DIV/0!</v>
      </c>
      <c r="O474" s="46" t="str">
        <f t="shared" si="24"/>
        <v/>
      </c>
      <c r="P474" s="46">
        <f t="shared" si="25"/>
        <v>1</v>
      </c>
      <c r="Q474" s="46"/>
      <c r="R474" s="45"/>
      <c r="S474" s="45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</row>
    <row r="475" spans="1:31" ht="14.25">
      <c r="A475" s="67" t="s">
        <v>478</v>
      </c>
      <c r="B475" s="68" t="s">
        <v>678</v>
      </c>
      <c r="C475" s="67" t="s">
        <v>516</v>
      </c>
      <c r="D475" s="75" t="n">
        <v>49.9</v>
      </c>
      <c r="E475" s="76" t="s">
        <v>0</v>
      </c>
      <c r="F475" s="57" t="str">
        <f>IFERROR(VLOOKUP(C475,$C$9:H474,4,FALSE),"")</f>
        <v/>
      </c>
      <c r="G475" s="61" t="str">
        <f>IFERROR(VLOOKUP(C475,$C$9:G474,5,FALSE),"")</f>
        <v/>
      </c>
      <c r="H475" s="61" t="str">
        <f>IFERROR(VLOOKUP(C475,$C$9:H474,6,FALSE),"")</f>
        <v/>
      </c>
      <c r="I475" s="61" t="s">
        <v>464</v>
      </c>
      <c r="J475" s="61" t="n">
        <v>49.9</v>
      </c>
      <c r="K475" s="61" t="s">
        <v>434</v>
      </c>
      <c r="L475" s="61" t="s">
        <v>435</v>
      </c>
      <c r="M475" s="42"/>
      <c r="N475" s="46" t="e">
        <f t="shared" si="23"/>
        <v>#DIV/0!</v>
      </c>
      <c r="O475" s="46" t="str">
        <f t="shared" si="24"/>
        <v/>
      </c>
      <c r="P475" s="46">
        <f t="shared" si="25"/>
        <v>1</v>
      </c>
      <c r="Q475" s="46"/>
      <c r="R475" s="45"/>
      <c r="S475" s="45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</row>
    <row r="476" spans="1:31" ht="14.25">
      <c r="A476" s="67" t="s">
        <v>645</v>
      </c>
      <c r="B476" s="68" t="s">
        <v>680</v>
      </c>
      <c r="C476" s="67" t="s">
        <v>452</v>
      </c>
      <c r="D476" s="75" t="n">
        <v>49.9</v>
      </c>
      <c r="E476" s="76" t="s">
        <v>0</v>
      </c>
      <c r="F476" s="57" t="str">
        <f>IFERROR(VLOOKUP(C476,$C$9:H475,4,FALSE),"")</f>
        <v/>
      </c>
      <c r="G476" s="61" t="s">
        <v>414</v>
      </c>
      <c r="H476" s="61" t="s">
        <v>414</v>
      </c>
      <c r="I476" s="61"/>
      <c r="J476" s="61" t="n">
        <v>0.0</v>
      </c>
      <c r="K476" s="61"/>
      <c r="L476" s="61" t="s">
        <v>445</v>
      </c>
      <c r="M476" s="42"/>
      <c r="N476" s="46" t="e">
        <f t="shared" si="23"/>
        <v>#DIV/0!</v>
      </c>
      <c r="O476" s="46" t="str">
        <f t="shared" si="24"/>
        <v/>
      </c>
      <c r="P476" s="46">
        <f t="shared" si="25"/>
        <v>1</v>
      </c>
      <c r="Q476" s="46"/>
      <c r="R476" s="45"/>
      <c r="S476" s="45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</row>
    <row r="477" spans="1:31" ht="14.25">
      <c r="A477" s="67" t="s">
        <v>647</v>
      </c>
      <c r="B477" s="68" t="s">
        <v>680</v>
      </c>
      <c r="C477" s="67" t="s">
        <v>681</v>
      </c>
      <c r="D477" s="75" t="n">
        <v>76.7</v>
      </c>
      <c r="E477" s="76" t="s">
        <v>0</v>
      </c>
      <c r="F477" s="57" t="str">
        <f>IFERROR(VLOOKUP(C477,$C$9:H476,4,FALSE),"")</f>
        <v/>
      </c>
      <c r="G477" s="61" t="str">
        <f>IFERROR(VLOOKUP(C477,$C$9:G476,5,FALSE),"")</f>
        <v/>
      </c>
      <c r="H477" s="61" t="str">
        <f>IFERROR(VLOOKUP(C477,$C$9:H476,6,FALSE),"")</f>
        <v/>
      </c>
      <c r="I477" s="61" t="s">
        <v>433</v>
      </c>
      <c r="J477" s="61" t="n">
        <v>76.7</v>
      </c>
      <c r="K477" s="61" t="s">
        <v>434</v>
      </c>
      <c r="L477" s="61" t="s">
        <v>435</v>
      </c>
      <c r="M477" s="42"/>
      <c r="N477" s="46" t="e">
        <f t="shared" si="23"/>
        <v>#DIV/0!</v>
      </c>
      <c r="O477" s="46" t="str">
        <f t="shared" si="24"/>
        <v/>
      </c>
      <c r="P477" s="46">
        <f t="shared" si="25"/>
        <v>1</v>
      </c>
      <c r="Q477" s="46"/>
      <c r="R477" s="45"/>
      <c r="S477" s="45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</row>
    <row r="478" spans="1:31" ht="14.25">
      <c r="A478" s="67" t="s">
        <v>647</v>
      </c>
      <c r="B478" s="68" t="s">
        <v>680</v>
      </c>
      <c r="C478" s="67" t="s">
        <v>439</v>
      </c>
      <c r="D478" s="75" t="n">
        <v>117.6</v>
      </c>
      <c r="E478" s="76" t="s">
        <v>0</v>
      </c>
      <c r="F478" s="57" t="str">
        <f>IFERROR(VLOOKUP(C478,$C$9:H477,4,FALSE),"")</f>
        <v/>
      </c>
      <c r="G478" s="61" t="s">
        <v>350</v>
      </c>
      <c r="H478" s="61" t="s">
        <v>404</v>
      </c>
      <c r="I478" s="61" t="s">
        <v>433</v>
      </c>
      <c r="J478" s="61" t="n">
        <v>117.6</v>
      </c>
      <c r="K478" s="61" t="s">
        <v>434</v>
      </c>
      <c r="L478" s="61" t="s">
        <v>435</v>
      </c>
      <c r="M478" s="42"/>
      <c r="N478" s="46" t="e">
        <f t="shared" si="23"/>
        <v>#DIV/0!</v>
      </c>
      <c r="O478" s="46" t="str">
        <f t="shared" si="24"/>
        <v/>
      </c>
      <c r="P478" s="46">
        <f t="shared" si="25"/>
        <v>1</v>
      </c>
      <c r="Q478" s="46"/>
      <c r="R478" s="45"/>
      <c r="S478" s="45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</row>
    <row r="479" spans="1:31" ht="14.25">
      <c r="A479" s="67" t="s">
        <v>478</v>
      </c>
      <c r="B479" s="71" t="s">
        <v>680</v>
      </c>
      <c r="C479" s="67" t="s">
        <v>682</v>
      </c>
      <c r="D479" s="75" t="n">
        <v>3.9</v>
      </c>
      <c r="E479" s="76" t="s">
        <v>0</v>
      </c>
      <c r="F479" s="57" t="str">
        <f>IFERROR(VLOOKUP(C479,$C$9:H478,4,FALSE),"")</f>
        <v/>
      </c>
      <c r="G479" s="61" t="s">
        <v>361</v>
      </c>
      <c r="H479" s="61" t="s">
        <v>331</v>
      </c>
      <c r="I479" s="61" t="s">
        <v>464</v>
      </c>
      <c r="J479" s="61" t="n">
        <v>3.9</v>
      </c>
      <c r="K479" s="61" t="s">
        <v>434</v>
      </c>
      <c r="L479" s="61" t="s">
        <v>435</v>
      </c>
      <c r="M479" s="42"/>
      <c r="N479" s="46" t="e">
        <f t="shared" si="23"/>
        <v>#DIV/0!</v>
      </c>
      <c r="O479" s="46" t="str">
        <f t="shared" si="24"/>
        <v/>
      </c>
      <c r="P479" s="46">
        <f t="shared" si="25"/>
        <v>1</v>
      </c>
      <c r="Q479" s="46"/>
      <c r="R479" s="45"/>
      <c r="S479" s="45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</row>
    <row r="480" spans="1:31" ht="14.25">
      <c r="A480" s="67" t="s">
        <v>647</v>
      </c>
      <c r="B480" s="68" t="s">
        <v>683</v>
      </c>
      <c r="C480" s="67" t="s">
        <v>684</v>
      </c>
      <c r="D480" s="75" t="n">
        <v>100.0</v>
      </c>
      <c r="E480" s="76" t="s">
        <v>0</v>
      </c>
      <c r="F480" s="57" t="str">
        <f>IFERROR(VLOOKUP(C480,$C$9:H479,4,FALSE),"")</f>
        <v/>
      </c>
      <c r="G480" s="61" t="s">
        <v>350</v>
      </c>
      <c r="H480" s="61" t="s">
        <v>404</v>
      </c>
      <c r="I480" s="61" t="s">
        <v>433</v>
      </c>
      <c r="J480" s="61" t="n">
        <v>100.0</v>
      </c>
      <c r="K480" s="61" t="s">
        <v>434</v>
      </c>
      <c r="L480" s="61" t="s">
        <v>435</v>
      </c>
      <c r="M480" s="42"/>
      <c r="N480" s="46" t="e">
        <f t="shared" si="23"/>
        <v>#DIV/0!</v>
      </c>
      <c r="O480" s="46" t="str">
        <f t="shared" si="24"/>
        <v/>
      </c>
      <c r="P480" s="46">
        <f t="shared" si="25"/>
        <v>1</v>
      </c>
      <c r="Q480" s="46"/>
      <c r="R480" s="45"/>
      <c r="S480" s="45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</row>
    <row r="481" spans="1:31" ht="14.25">
      <c r="A481" s="67" t="s">
        <v>647</v>
      </c>
      <c r="B481" s="68" t="s">
        <v>683</v>
      </c>
      <c r="C481" s="67" t="s">
        <v>685</v>
      </c>
      <c r="D481" s="75" t="n">
        <v>9.0</v>
      </c>
      <c r="E481" s="76" t="s">
        <v>0</v>
      </c>
      <c r="F481" s="57" t="str">
        <f>IFERROR(VLOOKUP(C481,$C$9:H480,4,FALSE),"")</f>
        <v/>
      </c>
      <c r="G481" s="61" t="str">
        <f>IFERROR(VLOOKUP(C481,$C$9:G480,5,FALSE),"")</f>
        <v/>
      </c>
      <c r="H481" s="61" t="str">
        <f>IFERROR(VLOOKUP(C481,$C$9:H480,6,FALSE),"")</f>
        <v/>
      </c>
      <c r="I481" s="61" t="s">
        <v>433</v>
      </c>
      <c r="J481" s="61" t="n">
        <v>9.0</v>
      </c>
      <c r="K481" s="61" t="s">
        <v>434</v>
      </c>
      <c r="L481" s="61" t="s">
        <v>435</v>
      </c>
      <c r="M481" s="42"/>
      <c r="N481" s="46" t="e">
        <f t="shared" si="23"/>
        <v>#DIV/0!</v>
      </c>
      <c r="O481" s="46" t="str">
        <f t="shared" si="24"/>
        <v/>
      </c>
      <c r="P481" s="46">
        <f t="shared" si="25"/>
        <v>1</v>
      </c>
      <c r="Q481" s="46"/>
      <c r="R481" s="45"/>
      <c r="S481" s="45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</row>
    <row r="482" spans="1:31" ht="14.25">
      <c r="A482" s="67" t="s">
        <v>647</v>
      </c>
      <c r="B482" s="68" t="s">
        <v>683</v>
      </c>
      <c r="C482" s="67" t="s">
        <v>441</v>
      </c>
      <c r="D482" s="75" t="n">
        <v>24.0</v>
      </c>
      <c r="E482" s="76" t="s">
        <v>0</v>
      </c>
      <c r="F482" s="57" t="str">
        <f>IFERROR(VLOOKUP(C482,$C$9:H481,4,FALSE),"")</f>
        <v/>
      </c>
      <c r="G482" s="61" t="str">
        <f>IFERROR(VLOOKUP(C482,$C$9:G481,5,FALSE),"")</f>
        <v/>
      </c>
      <c r="H482" s="61" t="str">
        <f>IFERROR(VLOOKUP(C482,$C$9:H481,6,FALSE),"")</f>
        <v/>
      </c>
      <c r="I482" s="61" t="s">
        <v>433</v>
      </c>
      <c r="J482" s="61" t="n">
        <v>24.0</v>
      </c>
      <c r="K482" s="61" t="s">
        <v>434</v>
      </c>
      <c r="L482" s="61" t="s">
        <v>435</v>
      </c>
      <c r="M482" s="42"/>
      <c r="N482" s="46" t="e">
        <f t="shared" si="23"/>
        <v>#DIV/0!</v>
      </c>
      <c r="O482" s="46" t="str">
        <f t="shared" si="24"/>
        <v/>
      </c>
      <c r="P482" s="46">
        <f t="shared" si="25"/>
        <v>1</v>
      </c>
      <c r="Q482" s="46"/>
      <c r="R482" s="45"/>
      <c r="S482" s="45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</row>
    <row r="483" spans="1:31" ht="14.25">
      <c r="A483" s="67" t="s">
        <v>647</v>
      </c>
      <c r="B483" s="68" t="s">
        <v>683</v>
      </c>
      <c r="C483" s="67" t="s">
        <v>439</v>
      </c>
      <c r="D483" s="75" t="n">
        <v>93.8</v>
      </c>
      <c r="E483" s="76" t="s">
        <v>0</v>
      </c>
      <c r="F483" s="57" t="str">
        <f>IFERROR(VLOOKUP(C483,$C$9:H482,4,FALSE),"")</f>
        <v/>
      </c>
      <c r="G483" s="61" t="s">
        <v>350</v>
      </c>
      <c r="H483" s="61" t="s">
        <v>404</v>
      </c>
      <c r="I483" s="61" t="s">
        <v>433</v>
      </c>
      <c r="J483" s="61" t="n">
        <v>93.8</v>
      </c>
      <c r="K483" s="61" t="s">
        <v>434</v>
      </c>
      <c r="L483" s="61" t="s">
        <v>435</v>
      </c>
      <c r="M483" s="42"/>
      <c r="N483" s="46" t="e">
        <f t="shared" si="23"/>
        <v>#DIV/0!</v>
      </c>
      <c r="O483" s="46" t="str">
        <f t="shared" si="24"/>
        <v/>
      </c>
      <c r="P483" s="46">
        <f t="shared" si="25"/>
        <v>1</v>
      </c>
      <c r="Q483" s="46"/>
      <c r="R483" s="45"/>
      <c r="S483" s="45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</row>
    <row r="484" spans="1:31" ht="14.25">
      <c r="A484" s="67" t="s">
        <v>478</v>
      </c>
      <c r="B484" s="78" t="s">
        <v>683</v>
      </c>
      <c r="C484" s="77" t="s">
        <v>686</v>
      </c>
      <c r="D484" s="75" t="n">
        <v>110.1</v>
      </c>
      <c r="E484" s="76" t="s">
        <v>0</v>
      </c>
      <c r="F484" s="57" t="str">
        <f>IFERROR(VLOOKUP(C484,$C$9:H483,4,FALSE),"")</f>
        <v/>
      </c>
      <c r="G484" s="61" t="str">
        <f>IFERROR(VLOOKUP(C484,$C$9:G483,5,FALSE),"")</f>
        <v/>
      </c>
      <c r="H484" s="61" t="str">
        <f>IFERROR(VLOOKUP(C484,$C$9:H483,6,FALSE),"")</f>
        <v/>
      </c>
      <c r="I484" s="61" t="s">
        <v>464</v>
      </c>
      <c r="J484" s="61" t="n">
        <v>110.1</v>
      </c>
      <c r="K484" s="61" t="s">
        <v>434</v>
      </c>
      <c r="L484" s="61" t="s">
        <v>435</v>
      </c>
      <c r="M484" s="42"/>
      <c r="N484" s="46" t="e">
        <f t="shared" si="23"/>
        <v>#DIV/0!</v>
      </c>
      <c r="O484" s="46" t="str">
        <f t="shared" si="24"/>
        <v/>
      </c>
      <c r="P484" s="46">
        <f t="shared" si="25"/>
        <v>1</v>
      </c>
      <c r="Q484" s="46"/>
      <c r="R484" s="45"/>
      <c r="S484" s="45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</row>
    <row r="485" spans="1:31" ht="14.25">
      <c r="A485" s="67" t="s">
        <v>647</v>
      </c>
      <c r="B485" s="78" t="s">
        <v>687</v>
      </c>
      <c r="C485" s="77" t="s">
        <v>589</v>
      </c>
      <c r="D485" s="75" t="n">
        <v>100.0</v>
      </c>
      <c r="E485" s="76" t="s">
        <v>0</v>
      </c>
      <c r="F485" s="57" t="str">
        <f>IFERROR(VLOOKUP(C485,$C$9:H484,4,FALSE),"")</f>
        <v/>
      </c>
      <c r="G485" s="61" t="s">
        <v>350</v>
      </c>
      <c r="H485" s="61" t="s">
        <v>404</v>
      </c>
      <c r="I485" s="61" t="s">
        <v>433</v>
      </c>
      <c r="J485" s="61" t="n">
        <v>100.0</v>
      </c>
      <c r="K485" s="61" t="s">
        <v>434</v>
      </c>
      <c r="L485" s="61" t="s">
        <v>435</v>
      </c>
      <c r="M485" s="42"/>
      <c r="N485" s="46" t="e">
        <f t="shared" si="23"/>
        <v>#DIV/0!</v>
      </c>
      <c r="O485" s="46" t="str">
        <f t="shared" si="24"/>
        <v/>
      </c>
      <c r="P485" s="46">
        <f t="shared" si="25"/>
        <v>1</v>
      </c>
      <c r="Q485" s="46"/>
      <c r="R485" s="45"/>
      <c r="S485" s="45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</row>
    <row r="486" spans="1:31" ht="14.25">
      <c r="A486" s="67" t="s">
        <v>647</v>
      </c>
      <c r="B486" s="68" t="s">
        <v>687</v>
      </c>
      <c r="C486" s="67" t="s">
        <v>688</v>
      </c>
      <c r="D486" s="75" t="n">
        <v>157.58</v>
      </c>
      <c r="E486" s="76" t="s">
        <v>0</v>
      </c>
      <c r="F486" s="57" t="str">
        <f>IFERROR(VLOOKUP(C486,$C$9:H485,4,FALSE),"")</f>
        <v/>
      </c>
      <c r="G486" s="61" t="str">
        <f>IFERROR(VLOOKUP(C486,$C$9:G485,5,FALSE),"")</f>
        <v/>
      </c>
      <c r="H486" s="61" t="str">
        <f>IFERROR(VLOOKUP(C486,$C$9:H485,6,FALSE),"")</f>
        <v/>
      </c>
      <c r="I486" s="61" t="s">
        <v>433</v>
      </c>
      <c r="J486" s="61" t="n">
        <v>157.58</v>
      </c>
      <c r="K486" s="61" t="s">
        <v>434</v>
      </c>
      <c r="L486" s="61" t="s">
        <v>435</v>
      </c>
      <c r="M486" s="42"/>
      <c r="N486" s="46" t="e">
        <f t="shared" si="23"/>
        <v>#DIV/0!</v>
      </c>
      <c r="O486" s="46" t="str">
        <f t="shared" si="24"/>
        <v/>
      </c>
      <c r="P486" s="46">
        <f t="shared" si="25"/>
        <v>1</v>
      </c>
      <c r="Q486" s="46"/>
      <c r="R486" s="45"/>
      <c r="S486" s="45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</row>
    <row r="487" spans="1:31" ht="14.25">
      <c r="A487" s="67" t="s">
        <v>647</v>
      </c>
      <c r="B487" s="71" t="s">
        <v>687</v>
      </c>
      <c r="C487" s="67" t="s">
        <v>439</v>
      </c>
      <c r="D487" s="75" t="n">
        <v>52.4</v>
      </c>
      <c r="E487" s="76" t="s">
        <v>0</v>
      </c>
      <c r="F487" s="57" t="str">
        <f>IFERROR(VLOOKUP(C487,$C$9:H486,4,FALSE),"")</f>
        <v/>
      </c>
      <c r="G487" s="61" t="s">
        <v>350</v>
      </c>
      <c r="H487" s="61" t="s">
        <v>404</v>
      </c>
      <c r="I487" s="61" t="s">
        <v>433</v>
      </c>
      <c r="J487" s="61" t="n">
        <v>52.4</v>
      </c>
      <c r="K487" s="61" t="s">
        <v>434</v>
      </c>
      <c r="L487" s="61" t="s">
        <v>435</v>
      </c>
      <c r="M487" s="42"/>
      <c r="N487" s="46" t="e">
        <f t="shared" si="23"/>
        <v>#DIV/0!</v>
      </c>
      <c r="O487" s="46" t="str">
        <f t="shared" si="24"/>
        <v/>
      </c>
      <c r="P487" s="46">
        <f t="shared" si="25"/>
        <v>1</v>
      </c>
      <c r="Q487" s="46"/>
      <c r="R487" s="45"/>
      <c r="S487" s="45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</row>
    <row r="488" spans="1:31" ht="14.25">
      <c r="A488" s="67" t="s">
        <v>647</v>
      </c>
      <c r="B488" s="68" t="s">
        <v>687</v>
      </c>
      <c r="C488" s="67" t="s">
        <v>439</v>
      </c>
      <c r="D488" s="75" t="n">
        <v>129.2</v>
      </c>
      <c r="E488" s="76" t="s">
        <v>0</v>
      </c>
      <c r="F488" s="57" t="str">
        <f>IFERROR(VLOOKUP(C488,$C$9:H487,4,FALSE),"")</f>
        <v/>
      </c>
      <c r="G488" s="61" t="s">
        <v>350</v>
      </c>
      <c r="H488" s="61" t="s">
        <v>404</v>
      </c>
      <c r="I488" s="61" t="s">
        <v>433</v>
      </c>
      <c r="J488" s="61" t="n">
        <v>129.2</v>
      </c>
      <c r="K488" s="61" t="s">
        <v>434</v>
      </c>
      <c r="L488" s="61" t="s">
        <v>435</v>
      </c>
      <c r="M488" s="42"/>
      <c r="N488" s="46" t="e">
        <f t="shared" si="23"/>
        <v>#DIV/0!</v>
      </c>
      <c r="O488" s="46" t="str">
        <f t="shared" si="24"/>
        <v/>
      </c>
      <c r="P488" s="46">
        <f t="shared" si="25"/>
        <v>1</v>
      </c>
      <c r="Q488" s="46"/>
      <c r="R488" s="45"/>
      <c r="S488" s="45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</row>
    <row r="489" spans="1:31" ht="14.25">
      <c r="A489" s="67" t="s">
        <v>647</v>
      </c>
      <c r="B489" s="68" t="s">
        <v>687</v>
      </c>
      <c r="C489" s="67" t="s">
        <v>442</v>
      </c>
      <c r="D489" s="75" t="n">
        <v>190.0</v>
      </c>
      <c r="E489" s="76" t="s">
        <v>0</v>
      </c>
      <c r="F489" s="57" t="str">
        <f>IFERROR(VLOOKUP(C489,$C$9:H488,4,FALSE),"")</f>
        <v/>
      </c>
      <c r="G489" s="61" t="str">
        <f>IFERROR(VLOOKUP(C489,$C$9:G488,5,FALSE),"")</f>
        <v/>
      </c>
      <c r="H489" s="61" t="str">
        <f>IFERROR(VLOOKUP(C489,$C$9:H488,6,FALSE),"")</f>
        <v/>
      </c>
      <c r="I489" s="61" t="s">
        <v>433</v>
      </c>
      <c r="J489" s="61" t="n">
        <v>190.0</v>
      </c>
      <c r="K489" s="61" t="s">
        <v>434</v>
      </c>
      <c r="L489" s="61" t="s">
        <v>435</v>
      </c>
      <c r="M489" s="42"/>
      <c r="N489" s="46" t="e">
        <f t="shared" si="23"/>
        <v>#DIV/0!</v>
      </c>
      <c r="O489" s="46" t="str">
        <f t="shared" si="24"/>
        <v/>
      </c>
      <c r="P489" s="46">
        <f t="shared" si="25"/>
        <v>1</v>
      </c>
      <c r="Q489" s="46"/>
      <c r="R489" s="45"/>
      <c r="S489" s="45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</row>
    <row r="490" spans="1:31" ht="14.25">
      <c r="A490" s="67" t="s">
        <v>647</v>
      </c>
      <c r="B490" s="68" t="s">
        <v>687</v>
      </c>
      <c r="C490" s="67" t="s">
        <v>438</v>
      </c>
      <c r="D490" s="75" t="n">
        <v>69.0</v>
      </c>
      <c r="E490" s="76" t="s">
        <v>0</v>
      </c>
      <c r="F490" s="57" t="str">
        <f>IFERROR(VLOOKUP(C490,$C$9:H489,4,FALSE),"")</f>
        <v/>
      </c>
      <c r="G490" s="61" t="str">
        <f>IFERROR(VLOOKUP(C490,$C$9:G489,5,FALSE),"")</f>
        <v/>
      </c>
      <c r="H490" s="61" t="str">
        <f>IFERROR(VLOOKUP(C490,$C$9:H489,6,FALSE),"")</f>
        <v/>
      </c>
      <c r="I490" s="61" t="s">
        <v>433</v>
      </c>
      <c r="J490" s="61" t="n">
        <v>69.0</v>
      </c>
      <c r="K490" s="61" t="s">
        <v>434</v>
      </c>
      <c r="L490" s="61" t="s">
        <v>435</v>
      </c>
      <c r="M490" s="42"/>
      <c r="N490" s="46" t="e">
        <f t="shared" si="23"/>
        <v>#DIV/0!</v>
      </c>
      <c r="O490" s="46" t="str">
        <f t="shared" si="24"/>
        <v/>
      </c>
      <c r="P490" s="46">
        <f t="shared" si="25"/>
        <v>1</v>
      </c>
      <c r="Q490" s="46"/>
      <c r="R490" s="45"/>
      <c r="S490" s="45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</row>
    <row r="491" spans="1:31" ht="14.25">
      <c r="A491" s="67" t="s">
        <v>647</v>
      </c>
      <c r="B491" s="68" t="s">
        <v>689</v>
      </c>
      <c r="C491" s="67" t="s">
        <v>525</v>
      </c>
      <c r="D491" s="75" t="n">
        <v>55.8</v>
      </c>
      <c r="E491" s="76" t="s">
        <v>0</v>
      </c>
      <c r="F491" s="57" t="str">
        <f>IFERROR(VLOOKUP(C491,$C$9:H490,4,FALSE),"")</f>
        <v/>
      </c>
      <c r="G491" s="61" t="s">
        <v>352</v>
      </c>
      <c r="H491" s="61" t="s">
        <v>293</v>
      </c>
      <c r="I491" s="61" t="s">
        <v>433</v>
      </c>
      <c r="J491" s="61" t="n">
        <v>55.8</v>
      </c>
      <c r="K491" s="61" t="s">
        <v>434</v>
      </c>
      <c r="L491" s="61" t="s">
        <v>435</v>
      </c>
      <c r="M491" s="42"/>
      <c r="N491" s="46" t="e">
        <f t="shared" si="23"/>
        <v>#DIV/0!</v>
      </c>
      <c r="O491" s="46" t="str">
        <f t="shared" si="24"/>
        <v/>
      </c>
      <c r="P491" s="46">
        <f t="shared" si="25"/>
        <v>1</v>
      </c>
      <c r="Q491" s="46"/>
      <c r="R491" s="45"/>
      <c r="S491" s="45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</row>
    <row r="492" spans="1:31" ht="14.25">
      <c r="A492" s="67" t="s">
        <v>647</v>
      </c>
      <c r="B492" s="68" t="s">
        <v>689</v>
      </c>
      <c r="C492" s="67" t="s">
        <v>432</v>
      </c>
      <c r="D492" s="75" t="n">
        <v>22.0</v>
      </c>
      <c r="E492" s="76" t="s">
        <v>0</v>
      </c>
      <c r="F492" s="57" t="str">
        <f>IFERROR(VLOOKUP(C492,$C$9:H491,4,FALSE),"")</f>
        <v/>
      </c>
      <c r="G492" s="61" t="s">
        <v>350</v>
      </c>
      <c r="H492" s="61" t="s">
        <v>404</v>
      </c>
      <c r="I492" s="61" t="s">
        <v>433</v>
      </c>
      <c r="J492" s="61" t="n">
        <v>22.0</v>
      </c>
      <c r="K492" s="61" t="s">
        <v>434</v>
      </c>
      <c r="L492" s="61" t="s">
        <v>435</v>
      </c>
      <c r="M492" s="42"/>
      <c r="N492" s="46" t="e">
        <f t="shared" si="23"/>
        <v>#DIV/0!</v>
      </c>
      <c r="O492" s="46" t="str">
        <f t="shared" si="24"/>
        <v/>
      </c>
      <c r="P492" s="46">
        <f t="shared" si="25"/>
        <v>1</v>
      </c>
      <c r="Q492" s="46"/>
      <c r="R492" s="45"/>
      <c r="S492" s="45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</row>
    <row r="493" spans="1:31" ht="14.25">
      <c r="A493" s="67" t="s">
        <v>647</v>
      </c>
      <c r="B493" s="68" t="s">
        <v>689</v>
      </c>
      <c r="C493" s="67" t="s">
        <v>441</v>
      </c>
      <c r="D493" s="75" t="n">
        <v>15.0</v>
      </c>
      <c r="E493" s="76" t="s">
        <v>0</v>
      </c>
      <c r="F493" s="57" t="str">
        <f>IFERROR(VLOOKUP(C493,$C$9:H492,4,FALSE),"")</f>
        <v/>
      </c>
      <c r="G493" s="61" t="str">
        <f>IFERROR(VLOOKUP(C493,$C$9:G492,5,FALSE),"")</f>
        <v/>
      </c>
      <c r="H493" s="61" t="str">
        <f>IFERROR(VLOOKUP(C493,$C$9:H492,6,FALSE),"")</f>
        <v/>
      </c>
      <c r="I493" s="61" t="s">
        <v>433</v>
      </c>
      <c r="J493" s="61" t="n">
        <v>15.0</v>
      </c>
      <c r="K493" s="61" t="s">
        <v>434</v>
      </c>
      <c r="L493" s="61" t="s">
        <v>435</v>
      </c>
      <c r="M493" s="42"/>
      <c r="N493" s="46" t="e">
        <f t="shared" si="23"/>
        <v>#DIV/0!</v>
      </c>
      <c r="O493" s="46" t="str">
        <f t="shared" si="24"/>
        <v/>
      </c>
      <c r="P493" s="46">
        <f t="shared" si="25"/>
        <v>1</v>
      </c>
      <c r="Q493" s="46"/>
      <c r="R493" s="45"/>
      <c r="S493" s="45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</row>
    <row r="494" spans="1:31" ht="14.25">
      <c r="A494" s="67" t="s">
        <v>645</v>
      </c>
      <c r="B494" s="68" t="s">
        <v>690</v>
      </c>
      <c r="C494" s="67" t="s">
        <v>452</v>
      </c>
      <c r="D494" s="75" t="n">
        <v>114.0</v>
      </c>
      <c r="E494" s="76" t="s">
        <v>0</v>
      </c>
      <c r="F494" s="57" t="str">
        <f>IFERROR(VLOOKUP(C494,$C$9:H493,4,FALSE),"")</f>
        <v/>
      </c>
      <c r="G494" s="61" t="s">
        <v>414</v>
      </c>
      <c r="H494" s="61" t="s">
        <v>414</v>
      </c>
      <c r="I494" s="61"/>
      <c r="J494" s="61" t="n">
        <v>0.0</v>
      </c>
      <c r="K494" s="61"/>
      <c r="L494" s="61" t="s">
        <v>445</v>
      </c>
      <c r="M494" s="42"/>
      <c r="N494" s="46" t="e">
        <f t="shared" si="23"/>
        <v>#DIV/0!</v>
      </c>
      <c r="O494" s="46" t="str">
        <f t="shared" si="24"/>
        <v/>
      </c>
      <c r="P494" s="46">
        <f t="shared" si="25"/>
        <v>1</v>
      </c>
      <c r="Q494" s="46"/>
      <c r="R494" s="45"/>
      <c r="S494" s="45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</row>
    <row r="495" spans="1:31" ht="14.25">
      <c r="A495" s="67" t="s">
        <v>647</v>
      </c>
      <c r="B495" s="68" t="s">
        <v>690</v>
      </c>
      <c r="C495" s="67" t="s">
        <v>438</v>
      </c>
      <c r="D495" s="75" t="n">
        <v>16.0</v>
      </c>
      <c r="E495" s="76" t="s">
        <v>0</v>
      </c>
      <c r="F495" s="57" t="str">
        <f>IFERROR(VLOOKUP(C495,$C$9:H494,4,FALSE),"")</f>
        <v/>
      </c>
      <c r="G495" s="61" t="str">
        <f>IFERROR(VLOOKUP(C495,$C$9:G494,5,FALSE),"")</f>
        <v/>
      </c>
      <c r="H495" s="61" t="str">
        <f>IFERROR(VLOOKUP(C495,$C$9:H494,6,FALSE),"")</f>
        <v/>
      </c>
      <c r="I495" s="61" t="s">
        <v>433</v>
      </c>
      <c r="J495" s="61" t="n">
        <v>16.0</v>
      </c>
      <c r="K495" s="61" t="s">
        <v>434</v>
      </c>
      <c r="L495" s="61" t="s">
        <v>435</v>
      </c>
      <c r="M495" s="42"/>
      <c r="N495" s="46" t="e">
        <f t="shared" si="23"/>
        <v>#DIV/0!</v>
      </c>
      <c r="O495" s="46" t="str">
        <f t="shared" si="24"/>
        <v/>
      </c>
      <c r="P495" s="46">
        <f t="shared" si="25"/>
        <v>1</v>
      </c>
      <c r="Q495" s="46"/>
      <c r="R495" s="45"/>
      <c r="S495" s="45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</row>
    <row r="496" spans="1:31" ht="14.25">
      <c r="A496" s="67" t="s">
        <v>647</v>
      </c>
      <c r="B496" s="68" t="s">
        <v>690</v>
      </c>
      <c r="C496" s="67" t="s">
        <v>441</v>
      </c>
      <c r="D496" s="75" t="n">
        <v>15.0</v>
      </c>
      <c r="E496" s="76" t="s">
        <v>0</v>
      </c>
      <c r="F496" s="57" t="str">
        <f>IFERROR(VLOOKUP(C496,$C$9:H495,4,FALSE),"")</f>
        <v/>
      </c>
      <c r="G496" s="61" t="str">
        <f>IFERROR(VLOOKUP(C496,$C$9:G495,5,FALSE),"")</f>
        <v/>
      </c>
      <c r="H496" s="61" t="str">
        <f>IFERROR(VLOOKUP(C496,$C$9:H495,6,FALSE),"")</f>
        <v/>
      </c>
      <c r="I496" s="61" t="s">
        <v>433</v>
      </c>
      <c r="J496" s="61" t="n">
        <v>15.0</v>
      </c>
      <c r="K496" s="61" t="s">
        <v>434</v>
      </c>
      <c r="L496" s="61" t="s">
        <v>435</v>
      </c>
      <c r="M496" s="42"/>
      <c r="N496" s="46" t="e">
        <f t="shared" si="23"/>
        <v>#DIV/0!</v>
      </c>
      <c r="O496" s="46" t="str">
        <f t="shared" si="24"/>
        <v/>
      </c>
      <c r="P496" s="46">
        <f t="shared" si="25"/>
        <v>1</v>
      </c>
      <c r="Q496" s="46"/>
      <c r="R496" s="45"/>
      <c r="S496" s="45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</row>
    <row r="497" spans="1:31" ht="14.25">
      <c r="A497" s="67" t="s">
        <v>647</v>
      </c>
      <c r="B497" s="68" t="s">
        <v>690</v>
      </c>
      <c r="C497" s="67" t="s">
        <v>441</v>
      </c>
      <c r="D497" s="75" t="n">
        <v>130.0</v>
      </c>
      <c r="E497" s="76" t="s">
        <v>0</v>
      </c>
      <c r="F497" s="57" t="str">
        <f>IFERROR(VLOOKUP(C497,$C$9:H496,4,FALSE),"")</f>
        <v/>
      </c>
      <c r="G497" s="61" t="str">
        <f>IFERROR(VLOOKUP(C497,$C$9:G496,5,FALSE),"")</f>
        <v/>
      </c>
      <c r="H497" s="61" t="str">
        <f>IFERROR(VLOOKUP(C497,$C$9:H496,6,FALSE),"")</f>
        <v/>
      </c>
      <c r="I497" s="61" t="s">
        <v>433</v>
      </c>
      <c r="J497" s="61" t="n">
        <v>130.0</v>
      </c>
      <c r="K497" s="61" t="s">
        <v>434</v>
      </c>
      <c r="L497" s="61" t="s">
        <v>435</v>
      </c>
      <c r="M497" s="42"/>
      <c r="N497" s="46" t="e">
        <f t="shared" si="23"/>
        <v>#DIV/0!</v>
      </c>
      <c r="O497" s="46" t="str">
        <f t="shared" si="24"/>
        <v/>
      </c>
      <c r="P497" s="46">
        <f t="shared" si="25"/>
        <v>1</v>
      </c>
      <c r="Q497" s="46"/>
      <c r="R497" s="45"/>
      <c r="S497" s="45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</row>
    <row r="498" spans="1:31" ht="14.25">
      <c r="A498" s="67" t="s">
        <v>647</v>
      </c>
      <c r="B498" s="68" t="s">
        <v>690</v>
      </c>
      <c r="C498" s="67" t="s">
        <v>458</v>
      </c>
      <c r="D498" s="75" t="n">
        <v>9.0</v>
      </c>
      <c r="E498" s="76" t="s">
        <v>0</v>
      </c>
      <c r="F498" s="57" t="str">
        <f>IFERROR(VLOOKUP(C498,$C$9:H497,4,FALSE),"")</f>
        <v/>
      </c>
      <c r="G498" s="61" t="s">
        <v>350</v>
      </c>
      <c r="H498" s="61" t="s">
        <v>404</v>
      </c>
      <c r="I498" s="61" t="s">
        <v>433</v>
      </c>
      <c r="J498" s="61" t="n">
        <v>9.0</v>
      </c>
      <c r="K498" s="61" t="s">
        <v>434</v>
      </c>
      <c r="L498" s="61" t="s">
        <v>435</v>
      </c>
      <c r="M498" s="42"/>
      <c r="N498" s="46" t="e">
        <f t="shared" si="23"/>
        <v>#DIV/0!</v>
      </c>
      <c r="O498" s="46" t="str">
        <f t="shared" si="24"/>
        <v/>
      </c>
      <c r="P498" s="46">
        <f t="shared" si="25"/>
        <v>1</v>
      </c>
      <c r="Q498" s="46"/>
      <c r="R498" s="45"/>
      <c r="S498" s="45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</row>
    <row r="499" spans="1:31" ht="14.25">
      <c r="A499" s="67" t="s">
        <v>647</v>
      </c>
      <c r="B499" s="68" t="s">
        <v>690</v>
      </c>
      <c r="C499" s="67" t="s">
        <v>691</v>
      </c>
      <c r="D499" s="75" t="n">
        <v>15.0</v>
      </c>
      <c r="E499" s="76" t="s">
        <v>0</v>
      </c>
      <c r="F499" s="57" t="str">
        <f>IFERROR(VLOOKUP(C499,$C$9:H498,4,FALSE),"")</f>
        <v/>
      </c>
      <c r="G499" s="61" t="s">
        <v>347</v>
      </c>
      <c r="H499" s="61" t="s">
        <v>299</v>
      </c>
      <c r="I499" s="61" t="s">
        <v>433</v>
      </c>
      <c r="J499" s="61" t="n">
        <v>15.0</v>
      </c>
      <c r="K499" s="61" t="s">
        <v>434</v>
      </c>
      <c r="L499" s="61" t="s">
        <v>435</v>
      </c>
      <c r="M499" s="42"/>
      <c r="N499" s="46" t="e">
        <f t="shared" si="23"/>
        <v>#DIV/0!</v>
      </c>
      <c r="O499" s="46" t="str">
        <f t="shared" si="24"/>
        <v/>
      </c>
      <c r="P499" s="46">
        <f t="shared" si="25"/>
        <v>1</v>
      </c>
      <c r="Q499" s="46"/>
      <c r="R499" s="45"/>
      <c r="S499" s="45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</row>
    <row r="500" spans="1:31" ht="14.25">
      <c r="A500" s="67" t="s">
        <v>645</v>
      </c>
      <c r="B500" s="78" t="s">
        <v>692</v>
      </c>
      <c r="C500" s="77" t="s">
        <v>465</v>
      </c>
      <c r="D500" s="75" t="n">
        <v>170.0</v>
      </c>
      <c r="E500" s="76" t="s">
        <v>1</v>
      </c>
      <c r="F500" s="57" t="str">
        <f>IFERROR(VLOOKUP(C500,$C$9:H499,4,FALSE),"")</f>
        <v/>
      </c>
      <c r="G500" s="61" t="str">
        <f>IFERROR(VLOOKUP(C500,$C$9:G499,5,FALSE),"")</f>
        <v/>
      </c>
      <c r="H500" s="61" t="str">
        <f>IFERROR(VLOOKUP(C500,$C$9:H499,6,FALSE),"")</f>
        <v/>
      </c>
      <c r="I500" s="61" t="s">
        <v>466</v>
      </c>
      <c r="J500" s="61" t="n">
        <v>0.0</v>
      </c>
      <c r="K500" s="61"/>
      <c r="L500" s="61" t="s">
        <v>445</v>
      </c>
      <c r="M500" s="42"/>
      <c r="N500" s="46" t="e">
        <f t="shared" si="23"/>
        <v>#DIV/0!</v>
      </c>
      <c r="O500" s="46" t="str">
        <f t="shared" si="24"/>
        <v/>
      </c>
      <c r="P500" s="46">
        <f t="shared" si="25"/>
        <v>1</v>
      </c>
      <c r="Q500" s="46"/>
      <c r="R500" s="45"/>
      <c r="S500" s="45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</row>
    <row r="501" spans="1:31" ht="14.25">
      <c r="A501" s="67" t="s">
        <v>647</v>
      </c>
      <c r="B501" s="68" t="s">
        <v>692</v>
      </c>
      <c r="C501" s="67" t="s">
        <v>537</v>
      </c>
      <c r="D501" s="75" t="n">
        <v>120.0</v>
      </c>
      <c r="E501" s="76" t="s">
        <v>0</v>
      </c>
      <c r="F501" s="57" t="str">
        <f>IFERROR(VLOOKUP(C501,$C$9:H500,4,FALSE),"")</f>
        <v/>
      </c>
      <c r="G501" s="61" t="s">
        <v>350</v>
      </c>
      <c r="H501" s="61" t="s">
        <v>340</v>
      </c>
      <c r="I501" s="61" t="s">
        <v>437</v>
      </c>
      <c r="J501" s="61" t="n">
        <v>120.0</v>
      </c>
      <c r="K501" s="61" t="s">
        <v>434</v>
      </c>
      <c r="L501" s="61" t="s">
        <v>435</v>
      </c>
      <c r="M501" s="42"/>
      <c r="N501" s="46" t="e">
        <f t="shared" si="23"/>
        <v>#DIV/0!</v>
      </c>
      <c r="O501" s="46" t="str">
        <f t="shared" si="24"/>
        <v/>
      </c>
      <c r="P501" s="46">
        <f t="shared" si="25"/>
        <v>1</v>
      </c>
      <c r="Q501" s="46"/>
      <c r="R501" s="45"/>
      <c r="S501" s="45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</row>
    <row r="502" spans="1:31" ht="14.25">
      <c r="A502" s="67" t="s">
        <v>647</v>
      </c>
      <c r="B502" s="68" t="s">
        <v>692</v>
      </c>
      <c r="C502" s="67" t="s">
        <v>693</v>
      </c>
      <c r="D502" s="75" t="n">
        <v>40.0</v>
      </c>
      <c r="E502" s="76" t="s">
        <v>0</v>
      </c>
      <c r="F502" s="57" t="str">
        <f>IFERROR(VLOOKUP(C502,$C$9:H501,4,FALSE),"")</f>
        <v/>
      </c>
      <c r="G502" s="61" t="str">
        <f>IFERROR(VLOOKUP(C502,$C$9:G501,5,FALSE),"")</f>
        <v/>
      </c>
      <c r="H502" s="61" t="str">
        <f>IFERROR(VLOOKUP(C502,$C$9:H501,6,FALSE),"")</f>
        <v/>
      </c>
      <c r="I502" s="61" t="s">
        <v>433</v>
      </c>
      <c r="J502" s="61" t="n">
        <v>40.0</v>
      </c>
      <c r="K502" s="61" t="s">
        <v>434</v>
      </c>
      <c r="L502" s="61" t="s">
        <v>435</v>
      </c>
      <c r="M502" s="42"/>
      <c r="N502" s="46" t="e">
        <f t="shared" si="23"/>
        <v>#DIV/0!</v>
      </c>
      <c r="O502" s="46" t="str">
        <f t="shared" si="24"/>
        <v/>
      </c>
      <c r="P502" s="46">
        <f t="shared" si="25"/>
        <v>1</v>
      </c>
      <c r="Q502" s="46"/>
      <c r="R502" s="45"/>
      <c r="S502" s="45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</row>
    <row r="503" spans="1:31" ht="14.25">
      <c r="A503" s="67" t="s">
        <v>647</v>
      </c>
      <c r="B503" s="68" t="s">
        <v>692</v>
      </c>
      <c r="C503" s="67" t="s">
        <v>693</v>
      </c>
      <c r="D503" s="75" t="n">
        <v>322.0</v>
      </c>
      <c r="E503" s="76" t="s">
        <v>0</v>
      </c>
      <c r="F503" s="57" t="str">
        <f>IFERROR(VLOOKUP(C503,$C$9:H502,4,FALSE),"")</f>
        <v/>
      </c>
      <c r="G503" s="61" t="str">
        <f>IFERROR(VLOOKUP(C503,$C$9:G502,5,FALSE),"")</f>
        <v/>
      </c>
      <c r="H503" s="61" t="str">
        <f>IFERROR(VLOOKUP(C503,$C$9:H502,6,FALSE),"")</f>
        <v/>
      </c>
      <c r="I503" s="61" t="s">
        <v>433</v>
      </c>
      <c r="J503" s="61" t="n">
        <v>322.0</v>
      </c>
      <c r="K503" s="61" t="s">
        <v>434</v>
      </c>
      <c r="L503" s="61" t="s">
        <v>435</v>
      </c>
      <c r="M503" s="42"/>
      <c r="N503" s="46" t="e">
        <f t="shared" si="23"/>
        <v>#DIV/0!</v>
      </c>
      <c r="O503" s="46" t="str">
        <f t="shared" si="24"/>
        <v/>
      </c>
      <c r="P503" s="46">
        <f t="shared" si="25"/>
        <v>1</v>
      </c>
      <c r="Q503" s="46"/>
      <c r="R503" s="45"/>
      <c r="S503" s="45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</row>
    <row r="504" spans="1:31" ht="14.25">
      <c r="A504" s="67" t="s">
        <v>647</v>
      </c>
      <c r="B504" s="68" t="s">
        <v>692</v>
      </c>
      <c r="C504" s="67" t="s">
        <v>518</v>
      </c>
      <c r="D504" s="75" t="n">
        <v>550.0</v>
      </c>
      <c r="E504" s="76" t="s">
        <v>0</v>
      </c>
      <c r="F504" s="57" t="str">
        <f>IFERROR(VLOOKUP(C504,$C$9:H503,4,FALSE),"")</f>
        <v/>
      </c>
      <c r="G504" s="61" t="str">
        <f>IFERROR(VLOOKUP(C504,$C$9:G503,5,FALSE),"")</f>
        <v/>
      </c>
      <c r="H504" s="61" t="str">
        <f>IFERROR(VLOOKUP(C504,$C$9:H503,6,FALSE),"")</f>
        <v/>
      </c>
      <c r="I504" s="61" t="s">
        <v>694</v>
      </c>
      <c r="J504" s="61" t="n">
        <v>550.0</v>
      </c>
      <c r="K504" s="61" t="s">
        <v>434</v>
      </c>
      <c r="L504" s="61" t="s">
        <v>435</v>
      </c>
      <c r="M504" s="42"/>
      <c r="N504" s="46" t="e">
        <f t="shared" si="23"/>
        <v>#DIV/0!</v>
      </c>
      <c r="O504" s="46" t="str">
        <f t="shared" si="24"/>
        <v/>
      </c>
      <c r="P504" s="46">
        <f t="shared" si="25"/>
        <v>1</v>
      </c>
      <c r="Q504" s="46"/>
      <c r="R504" s="45"/>
      <c r="S504" s="45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</row>
    <row r="505" spans="1:31" ht="14.25">
      <c r="A505" s="67" t="s">
        <v>647</v>
      </c>
      <c r="B505" s="68" t="s">
        <v>692</v>
      </c>
      <c r="C505" s="67" t="s">
        <v>439</v>
      </c>
      <c r="D505" s="75" t="n">
        <v>68.25</v>
      </c>
      <c r="E505" s="76" t="s">
        <v>0</v>
      </c>
      <c r="F505" s="57" t="str">
        <f>IFERROR(VLOOKUP(C505,$C$9:H504,4,FALSE),"")</f>
        <v/>
      </c>
      <c r="G505" s="61" t="s">
        <v>350</v>
      </c>
      <c r="H505" s="61" t="s">
        <v>404</v>
      </c>
      <c r="I505" s="61" t="s">
        <v>433</v>
      </c>
      <c r="J505" s="61" t="n">
        <v>68.25</v>
      </c>
      <c r="K505" s="61" t="s">
        <v>434</v>
      </c>
      <c r="L505" s="61" t="s">
        <v>435</v>
      </c>
      <c r="M505" s="42"/>
      <c r="N505" s="46" t="e">
        <f t="shared" si="23"/>
        <v>#DIV/0!</v>
      </c>
      <c r="O505" s="46" t="str">
        <f t="shared" si="24"/>
        <v/>
      </c>
      <c r="P505" s="46">
        <f t="shared" si="25"/>
        <v>1</v>
      </c>
      <c r="Q505" s="46"/>
      <c r="R505" s="45"/>
      <c r="S505" s="45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</row>
    <row r="506" spans="1:31" ht="14.25">
      <c r="A506" s="67" t="s">
        <v>647</v>
      </c>
      <c r="B506" s="68" t="s">
        <v>692</v>
      </c>
      <c r="C506" s="67" t="s">
        <v>439</v>
      </c>
      <c r="D506" s="75" t="n">
        <v>84.42</v>
      </c>
      <c r="E506" s="76" t="s">
        <v>0</v>
      </c>
      <c r="F506" s="57" t="str">
        <f>IFERROR(VLOOKUP(C506,$C$9:H505,4,FALSE),"")</f>
        <v/>
      </c>
      <c r="G506" s="61" t="s">
        <v>350</v>
      </c>
      <c r="H506" s="61" t="s">
        <v>404</v>
      </c>
      <c r="I506" s="61" t="s">
        <v>433</v>
      </c>
      <c r="J506" s="61" t="n">
        <v>84.42</v>
      </c>
      <c r="K506" s="61" t="s">
        <v>434</v>
      </c>
      <c r="L506" s="61" t="s">
        <v>435</v>
      </c>
      <c r="M506" s="42"/>
      <c r="N506" s="46" t="e">
        <f t="shared" si="23"/>
        <v>#DIV/0!</v>
      </c>
      <c r="O506" s="46" t="str">
        <f t="shared" si="24"/>
        <v/>
      </c>
      <c r="P506" s="46">
        <f t="shared" si="25"/>
        <v>1</v>
      </c>
      <c r="Q506" s="46"/>
      <c r="R506" s="45"/>
      <c r="S506" s="45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</row>
    <row r="507" spans="1:31" ht="14.25">
      <c r="A507" s="67" t="s">
        <v>645</v>
      </c>
      <c r="B507" s="68" t="s">
        <v>695</v>
      </c>
      <c r="C507" s="67" t="s">
        <v>546</v>
      </c>
      <c r="D507" s="75" t="n">
        <v>3820.0</v>
      </c>
      <c r="E507" s="76" t="s">
        <v>1</v>
      </c>
      <c r="F507" s="57" t="str">
        <f>IFERROR(VLOOKUP(C507,$C$9:H506,4,FALSE),"")</f>
        <v/>
      </c>
      <c r="G507" s="61" t="str">
        <f>IFERROR(VLOOKUP(C507,$C$9:G506,5,FALSE),"")</f>
        <v/>
      </c>
      <c r="H507" s="61" t="str">
        <f>IFERROR(VLOOKUP(C507,$C$9:H506,6,FALSE),"")</f>
        <v/>
      </c>
      <c r="I507" s="61" t="s">
        <v>490</v>
      </c>
      <c r="J507" s="61" t="n">
        <v>0.0</v>
      </c>
      <c r="K507" s="61"/>
      <c r="L507" s="61" t="s">
        <v>445</v>
      </c>
      <c r="M507" s="42"/>
      <c r="N507" s="46" t="e">
        <f t="shared" si="23"/>
        <v>#DIV/0!</v>
      </c>
      <c r="O507" s="46" t="str">
        <f t="shared" si="24"/>
        <v/>
      </c>
      <c r="P507" s="46">
        <f t="shared" si="25"/>
        <v>1</v>
      </c>
      <c r="Q507" s="46"/>
      <c r="R507" s="45"/>
      <c r="S507" s="45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</row>
    <row r="508" spans="1:31" ht="14.25">
      <c r="A508" s="67" t="s">
        <v>645</v>
      </c>
      <c r="B508" s="68" t="s">
        <v>695</v>
      </c>
      <c r="C508" s="67" t="s">
        <v>546</v>
      </c>
      <c r="D508" s="75" t="n">
        <v>5802.0</v>
      </c>
      <c r="E508" s="76" t="s">
        <v>1</v>
      </c>
      <c r="F508" s="57" t="str">
        <f>IFERROR(VLOOKUP(C508,$C$9:H507,4,FALSE),"")</f>
        <v/>
      </c>
      <c r="G508" s="61" t="str">
        <f>IFERROR(VLOOKUP(C508,$C$9:G507,5,FALSE),"")</f>
        <v/>
      </c>
      <c r="H508" s="61" t="str">
        <f>IFERROR(VLOOKUP(C508,$C$9:H507,6,FALSE),"")</f>
        <v/>
      </c>
      <c r="I508" s="61" t="s">
        <v>490</v>
      </c>
      <c r="J508" s="61" t="n">
        <v>0.0</v>
      </c>
      <c r="K508" s="61"/>
      <c r="L508" s="61" t="s">
        <v>445</v>
      </c>
      <c r="M508" s="42"/>
      <c r="N508" s="46" t="e">
        <f t="shared" si="23"/>
        <v>#DIV/0!</v>
      </c>
      <c r="O508" s="46" t="str">
        <f t="shared" si="24"/>
        <v/>
      </c>
      <c r="P508" s="46">
        <f t="shared" si="25"/>
        <v>1</v>
      </c>
      <c r="Q508" s="46"/>
      <c r="R508" s="45"/>
      <c r="S508" s="45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</row>
    <row r="509" spans="1:31" ht="14.25">
      <c r="A509" s="67" t="s">
        <v>647</v>
      </c>
      <c r="B509" s="68" t="s">
        <v>695</v>
      </c>
      <c r="C509" s="67" t="s">
        <v>541</v>
      </c>
      <c r="D509" s="75" t="n">
        <v>216.64</v>
      </c>
      <c r="E509" s="76" t="s">
        <v>0</v>
      </c>
      <c r="F509" s="57" t="str">
        <f>IFERROR(VLOOKUP(C509,$C$9:H508,4,FALSE),"")</f>
        <v/>
      </c>
      <c r="G509" s="61" t="s">
        <v>354</v>
      </c>
      <c r="H509" s="61" t="s">
        <v>400</v>
      </c>
      <c r="I509" s="61" t="s">
        <v>437</v>
      </c>
      <c r="J509" s="61" t="n">
        <v>216.64</v>
      </c>
      <c r="K509" s="61" t="s">
        <v>434</v>
      </c>
      <c r="L509" s="61" t="s">
        <v>435</v>
      </c>
      <c r="M509" s="42"/>
      <c r="N509" s="46" t="e">
        <f t="shared" si="23"/>
        <v>#DIV/0!</v>
      </c>
      <c r="O509" s="46" t="str">
        <f t="shared" si="24"/>
        <v/>
      </c>
      <c r="P509" s="46">
        <f t="shared" si="25"/>
        <v>1</v>
      </c>
      <c r="Q509" s="46"/>
      <c r="R509" s="45"/>
      <c r="S509" s="45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</row>
    <row r="510" spans="1:31" ht="14.25">
      <c r="A510" s="67" t="s">
        <v>647</v>
      </c>
      <c r="B510" s="68" t="s">
        <v>695</v>
      </c>
      <c r="C510" s="67" t="s">
        <v>432</v>
      </c>
      <c r="D510" s="75" t="n">
        <v>22.0</v>
      </c>
      <c r="E510" s="76" t="s">
        <v>0</v>
      </c>
      <c r="F510" s="57" t="str">
        <f>IFERROR(VLOOKUP(C510,$C$9:H509,4,FALSE),"")</f>
        <v/>
      </c>
      <c r="G510" s="61" t="s">
        <v>350</v>
      </c>
      <c r="H510" s="61" t="s">
        <v>404</v>
      </c>
      <c r="I510" s="61" t="s">
        <v>433</v>
      </c>
      <c r="J510" s="61" t="n">
        <v>22.0</v>
      </c>
      <c r="K510" s="61" t="s">
        <v>434</v>
      </c>
      <c r="L510" s="61" t="s">
        <v>435</v>
      </c>
      <c r="M510" s="42"/>
      <c r="N510" s="46" t="e">
        <f t="shared" si="23"/>
        <v>#DIV/0!</v>
      </c>
      <c r="O510" s="46" t="str">
        <f t="shared" si="24"/>
        <v/>
      </c>
      <c r="P510" s="46">
        <f t="shared" si="25"/>
        <v>1</v>
      </c>
      <c r="Q510" s="46"/>
      <c r="R510" s="45"/>
      <c r="S510" s="45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</row>
    <row r="511" spans="1:31" ht="14.25">
      <c r="A511" s="67" t="s">
        <v>647</v>
      </c>
      <c r="B511" s="68" t="s">
        <v>695</v>
      </c>
      <c r="C511" s="67" t="s">
        <v>440</v>
      </c>
      <c r="D511" s="75" t="n">
        <v>37.5</v>
      </c>
      <c r="E511" s="76" t="s">
        <v>0</v>
      </c>
      <c r="F511" s="57" t="str">
        <f>IFERROR(VLOOKUP(C511,$C$9:H510,4,FALSE),"")</f>
        <v/>
      </c>
      <c r="G511" s="61" t="str">
        <f>IFERROR(VLOOKUP(C511,$C$9:G510,5,FALSE),"")</f>
        <v/>
      </c>
      <c r="H511" s="61" t="str">
        <f>IFERROR(VLOOKUP(C511,$C$9:H510,6,FALSE),"")</f>
        <v/>
      </c>
      <c r="I511" s="61" t="s">
        <v>433</v>
      </c>
      <c r="J511" s="61" t="n">
        <v>37.5</v>
      </c>
      <c r="K511" s="61" t="s">
        <v>434</v>
      </c>
      <c r="L511" s="61" t="s">
        <v>435</v>
      </c>
      <c r="M511" s="42"/>
      <c r="N511" s="46" t="e">
        <f t="shared" si="23"/>
        <v>#DIV/0!</v>
      </c>
      <c r="O511" s="46" t="str">
        <f t="shared" si="24"/>
        <v/>
      </c>
      <c r="P511" s="46">
        <f t="shared" si="25"/>
        <v>1</v>
      </c>
      <c r="Q511" s="46"/>
      <c r="R511" s="45"/>
      <c r="S511" s="45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</row>
    <row r="512" spans="1:31" ht="14.25">
      <c r="A512" s="67" t="s">
        <v>647</v>
      </c>
      <c r="B512" s="68" t="s">
        <v>695</v>
      </c>
      <c r="C512" s="67" t="s">
        <v>439</v>
      </c>
      <c r="D512" s="75" t="n">
        <v>166.9</v>
      </c>
      <c r="E512" s="76" t="s">
        <v>0</v>
      </c>
      <c r="F512" s="57" t="str">
        <f>IFERROR(VLOOKUP(C512,$C$9:H511,4,FALSE),"")</f>
        <v/>
      </c>
      <c r="G512" s="61" t="s">
        <v>350</v>
      </c>
      <c r="H512" s="61" t="s">
        <v>404</v>
      </c>
      <c r="I512" s="61" t="s">
        <v>433</v>
      </c>
      <c r="J512" s="61" t="n">
        <v>166.9</v>
      </c>
      <c r="K512" s="61" t="s">
        <v>434</v>
      </c>
      <c r="L512" s="61" t="s">
        <v>435</v>
      </c>
      <c r="M512" s="42"/>
      <c r="N512" s="46" t="e">
        <f t="shared" si="23"/>
        <v>#DIV/0!</v>
      </c>
      <c r="O512" s="46" t="str">
        <f t="shared" si="24"/>
        <v/>
      </c>
      <c r="P512" s="46">
        <f t="shared" si="25"/>
        <v>1</v>
      </c>
      <c r="Q512" s="46"/>
      <c r="R512" s="45"/>
      <c r="S512" s="45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</row>
    <row r="513" spans="1:31" ht="14.25">
      <c r="A513" s="67" t="s">
        <v>647</v>
      </c>
      <c r="B513" s="68" t="s">
        <v>696</v>
      </c>
      <c r="C513" s="67" t="s">
        <v>442</v>
      </c>
      <c r="D513" s="75" t="n">
        <v>190.0</v>
      </c>
      <c r="E513" s="76" t="s">
        <v>0</v>
      </c>
      <c r="F513" s="57" t="str">
        <f>IFERROR(VLOOKUP(C513,$C$9:H512,4,FALSE),"")</f>
        <v/>
      </c>
      <c r="G513" s="61" t="str">
        <f>IFERROR(VLOOKUP(C513,$C$9:G512,5,FALSE),"")</f>
        <v/>
      </c>
      <c r="H513" s="61" t="str">
        <f>IFERROR(VLOOKUP(C513,$C$9:H512,6,FALSE),"")</f>
        <v/>
      </c>
      <c r="I513" s="61" t="s">
        <v>433</v>
      </c>
      <c r="J513" s="61" t="n">
        <v>190.0</v>
      </c>
      <c r="K513" s="61" t="s">
        <v>434</v>
      </c>
      <c r="L513" s="61" t="s">
        <v>435</v>
      </c>
      <c r="M513" s="42"/>
      <c r="N513" s="46" t="e">
        <f t="shared" si="23"/>
        <v>#DIV/0!</v>
      </c>
      <c r="O513" s="46" t="str">
        <f t="shared" si="24"/>
        <v/>
      </c>
      <c r="P513" s="46">
        <f t="shared" si="25"/>
        <v>1</v>
      </c>
      <c r="Q513" s="46"/>
      <c r="R513" s="45"/>
      <c r="S513" s="45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</row>
    <row r="514" spans="1:31" ht="14.25">
      <c r="A514" s="67" t="s">
        <v>647</v>
      </c>
      <c r="B514" s="68" t="s">
        <v>696</v>
      </c>
      <c r="C514" s="67" t="s">
        <v>439</v>
      </c>
      <c r="D514" s="75" t="n">
        <v>67.28</v>
      </c>
      <c r="E514" s="76" t="s">
        <v>0</v>
      </c>
      <c r="F514" s="57" t="str">
        <f>IFERROR(VLOOKUP(C514,$C$9:H513,4,FALSE),"")</f>
        <v/>
      </c>
      <c r="G514" s="61" t="s">
        <v>350</v>
      </c>
      <c r="H514" s="61" t="s">
        <v>404</v>
      </c>
      <c r="I514" s="61" t="s">
        <v>433</v>
      </c>
      <c r="J514" s="61" t="n">
        <v>67.28</v>
      </c>
      <c r="K514" s="61" t="s">
        <v>434</v>
      </c>
      <c r="L514" s="61" t="s">
        <v>435</v>
      </c>
      <c r="M514" s="42"/>
      <c r="N514" s="46" t="e">
        <f t="shared" si="23"/>
        <v>#DIV/0!</v>
      </c>
      <c r="O514" s="46" t="str">
        <f t="shared" si="24"/>
        <v/>
      </c>
      <c r="P514" s="46">
        <f t="shared" si="25"/>
        <v>1</v>
      </c>
      <c r="Q514" s="46"/>
      <c r="R514" s="45"/>
      <c r="S514" s="45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</row>
    <row r="515" spans="1:31" ht="14.25">
      <c r="A515" s="67" t="s">
        <v>647</v>
      </c>
      <c r="B515" s="68" t="s">
        <v>696</v>
      </c>
      <c r="C515" s="67" t="s">
        <v>513</v>
      </c>
      <c r="D515" s="75" t="n">
        <v>20.0</v>
      </c>
      <c r="E515" s="76" t="s">
        <v>0</v>
      </c>
      <c r="F515" s="57" t="str">
        <f>IFERROR(VLOOKUP(C515,$C$9:H514,4,FALSE),"")</f>
        <v/>
      </c>
      <c r="G515" s="61" t="str">
        <f>IFERROR(VLOOKUP(C515,$C$9:G514,5,FALSE),"")</f>
        <v/>
      </c>
      <c r="H515" s="61" t="str">
        <f>IFERROR(VLOOKUP(C515,$C$9:H514,6,FALSE),"")</f>
        <v/>
      </c>
      <c r="I515" s="61" t="s">
        <v>677</v>
      </c>
      <c r="J515" s="61" t="n">
        <v>20.0</v>
      </c>
      <c r="K515" s="61" t="s">
        <v>434</v>
      </c>
      <c r="L515" s="61" t="s">
        <v>435</v>
      </c>
      <c r="M515" s="42"/>
      <c r="N515" s="46" t="e">
        <f t="shared" si="23"/>
        <v>#DIV/0!</v>
      </c>
      <c r="O515" s="46" t="str">
        <f t="shared" si="24"/>
        <v/>
      </c>
      <c r="P515" s="46">
        <f t="shared" si="25"/>
        <v>1</v>
      </c>
      <c r="Q515" s="46"/>
      <c r="R515" s="45"/>
      <c r="S515" s="45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</row>
    <row r="516" spans="1:31" ht="14.25">
      <c r="A516" s="67" t="s">
        <v>478</v>
      </c>
      <c r="B516" s="78" t="s">
        <v>696</v>
      </c>
      <c r="C516" s="77" t="s">
        <v>697</v>
      </c>
      <c r="D516" s="75" t="n">
        <v>19.26</v>
      </c>
      <c r="E516" s="76" t="s">
        <v>0</v>
      </c>
      <c r="F516" s="57" t="str">
        <f>IFERROR(VLOOKUP(C516,$C$9:H515,4,FALSE),"")</f>
        <v/>
      </c>
      <c r="G516" s="61" t="str">
        <f>IFERROR(VLOOKUP(C516,$C$9:G515,5,FALSE),"")</f>
        <v/>
      </c>
      <c r="H516" s="61" t="str">
        <f>IFERROR(VLOOKUP(C516,$C$9:H515,6,FALSE),"")</f>
        <v/>
      </c>
      <c r="I516" s="61" t="s">
        <v>433</v>
      </c>
      <c r="J516" s="61" t="n">
        <v>5.99</v>
      </c>
      <c r="K516" s="61" t="s">
        <v>434</v>
      </c>
      <c r="L516" s="61" t="s">
        <v>435</v>
      </c>
      <c r="M516" s="42"/>
      <c r="N516" s="46" t="e">
        <f t="shared" si="23"/>
        <v>#DIV/0!</v>
      </c>
      <c r="O516" s="46" t="str">
        <f t="shared" si="24"/>
        <v/>
      </c>
      <c r="P516" s="46">
        <f t="shared" si="25"/>
        <v>1</v>
      </c>
      <c r="Q516" s="46"/>
      <c r="R516" s="45"/>
      <c r="S516" s="45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</row>
    <row r="517" spans="1:31" ht="14.25">
      <c r="A517" s="67" t="s">
        <v>647</v>
      </c>
      <c r="B517" s="68" t="s">
        <v>698</v>
      </c>
      <c r="C517" s="67" t="s">
        <v>543</v>
      </c>
      <c r="D517" s="75" t="n">
        <v>164.0</v>
      </c>
      <c r="E517" s="76" t="s">
        <v>0</v>
      </c>
      <c r="F517" s="57" t="str">
        <f>IFERROR(VLOOKUP(C517,$C$9:H516,4,FALSE),"")</f>
        <v/>
      </c>
      <c r="G517" s="61" t="str">
        <f>IFERROR(VLOOKUP(C517,$C$9:G516,5,FALSE),"")</f>
        <v/>
      </c>
      <c r="H517" s="61" t="str">
        <f>IFERROR(VLOOKUP(C517,$C$9:H516,6,FALSE),"")</f>
        <v/>
      </c>
      <c r="I517" s="61" t="s">
        <v>433</v>
      </c>
      <c r="J517" s="61" t="n">
        <v>164.0</v>
      </c>
      <c r="K517" s="61" t="s">
        <v>434</v>
      </c>
      <c r="L517" s="61" t="s">
        <v>435</v>
      </c>
      <c r="M517" s="42"/>
      <c r="N517" s="46" t="e">
        <f t="shared" si="23"/>
        <v>#DIV/0!</v>
      </c>
      <c r="O517" s="46" t="str">
        <f t="shared" si="24"/>
        <v/>
      </c>
      <c r="P517" s="46">
        <f t="shared" si="25"/>
        <v>1</v>
      </c>
      <c r="Q517" s="46"/>
      <c r="R517" s="45"/>
      <c r="S517" s="45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</row>
    <row r="518" spans="1:31" ht="14.25">
      <c r="A518" s="67" t="s">
        <v>647</v>
      </c>
      <c r="B518" s="68" t="s">
        <v>698</v>
      </c>
      <c r="C518" s="67" t="s">
        <v>439</v>
      </c>
      <c r="D518" s="75" t="n">
        <v>158.68</v>
      </c>
      <c r="E518" s="76" t="s">
        <v>0</v>
      </c>
      <c r="F518" s="57" t="str">
        <f>IFERROR(VLOOKUP(C518,$C$9:H517,4,FALSE),"")</f>
        <v/>
      </c>
      <c r="G518" s="61" t="s">
        <v>350</v>
      </c>
      <c r="H518" s="61" t="s">
        <v>404</v>
      </c>
      <c r="I518" s="61" t="s">
        <v>433</v>
      </c>
      <c r="J518" s="61" t="n">
        <v>158.68</v>
      </c>
      <c r="K518" s="61" t="s">
        <v>434</v>
      </c>
      <c r="L518" s="61" t="s">
        <v>435</v>
      </c>
      <c r="M518" s="42"/>
      <c r="N518" s="46" t="e">
        <f t="shared" si="23"/>
        <v>#DIV/0!</v>
      </c>
      <c r="O518" s="46" t="str">
        <f t="shared" si="24"/>
        <v/>
      </c>
      <c r="P518" s="46">
        <f t="shared" si="25"/>
        <v>1</v>
      </c>
      <c r="Q518" s="46"/>
      <c r="R518" s="45"/>
      <c r="S518" s="45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</row>
    <row r="519" spans="1:31" ht="14.25">
      <c r="A519" s="67" t="s">
        <v>647</v>
      </c>
      <c r="B519" s="68" t="s">
        <v>698</v>
      </c>
      <c r="C519" s="67" t="s">
        <v>441</v>
      </c>
      <c r="D519" s="75" t="n">
        <v>24.0</v>
      </c>
      <c r="E519" s="76" t="s">
        <v>0</v>
      </c>
      <c r="F519" s="57" t="str">
        <f>IFERROR(VLOOKUP(C519,$C$9:H518,4,FALSE),"")</f>
        <v/>
      </c>
      <c r="G519" s="61" t="str">
        <f>IFERROR(VLOOKUP(C519,$C$9:G518,5,FALSE),"")</f>
        <v/>
      </c>
      <c r="H519" s="61" t="str">
        <f>IFERROR(VLOOKUP(C519,$C$9:H518,6,FALSE),"")</f>
        <v/>
      </c>
      <c r="I519" s="61" t="s">
        <v>433</v>
      </c>
      <c r="J519" s="61" t="n">
        <v>24.0</v>
      </c>
      <c r="K519" s="61" t="s">
        <v>434</v>
      </c>
      <c r="L519" s="61" t="s">
        <v>435</v>
      </c>
      <c r="M519" s="42"/>
      <c r="N519" s="46" t="e">
        <f t="shared" si="23"/>
        <v>#DIV/0!</v>
      </c>
      <c r="O519" s="46" t="str">
        <f t="shared" si="24"/>
        <v/>
      </c>
      <c r="P519" s="46">
        <f t="shared" si="25"/>
        <v>1</v>
      </c>
      <c r="Q519" s="46"/>
      <c r="R519" s="45"/>
      <c r="S519" s="45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</row>
    <row r="520" spans="1:31" ht="14.25">
      <c r="A520" s="67" t="s">
        <v>645</v>
      </c>
      <c r="B520" s="68" t="s">
        <v>699</v>
      </c>
      <c r="C520" s="67" t="s">
        <v>444</v>
      </c>
      <c r="D520" s="75" t="n">
        <v>216.43</v>
      </c>
      <c r="E520" s="76" t="s">
        <v>0</v>
      </c>
      <c r="F520" s="57" t="str">
        <f>IFERROR(VLOOKUP(C520,$C$9:H519,4,FALSE),"")</f>
        <v/>
      </c>
      <c r="G520" s="61" t="str">
        <f>IFERROR(VLOOKUP(C520,$C$9:G519,5,FALSE),"")</f>
        <v/>
      </c>
      <c r="H520" s="61" t="str">
        <f>IFERROR(VLOOKUP(C520,$C$9:H519,6,FALSE),"")</f>
        <v/>
      </c>
      <c r="I520" s="61"/>
      <c r="J520" s="61" t="n">
        <v>0.0</v>
      </c>
      <c r="K520" s="61"/>
      <c r="L520" s="61" t="s">
        <v>445</v>
      </c>
      <c r="M520" s="42"/>
      <c r="N520" s="46" t="e">
        <f t="shared" si="23"/>
        <v>#DIV/0!</v>
      </c>
      <c r="O520" s="46" t="str">
        <f t="shared" si="24"/>
        <v/>
      </c>
      <c r="P520" s="46">
        <f t="shared" si="25"/>
        <v>1</v>
      </c>
      <c r="Q520" s="46"/>
      <c r="R520" s="45"/>
      <c r="S520" s="45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</row>
    <row r="521" spans="1:31" ht="14.25">
      <c r="A521" s="67" t="s">
        <v>645</v>
      </c>
      <c r="B521" s="68" t="s">
        <v>699</v>
      </c>
      <c r="C521" s="67" t="s">
        <v>446</v>
      </c>
      <c r="D521" s="75" t="n">
        <v>369.8</v>
      </c>
      <c r="E521" s="76" t="s">
        <v>0</v>
      </c>
      <c r="F521" s="57" t="str">
        <f>IFERROR(VLOOKUP(C521,$C$9:H520,4,FALSE),"")</f>
        <v/>
      </c>
      <c r="G521" s="61" t="str">
        <f>IFERROR(VLOOKUP(C521,$C$9:G520,5,FALSE),"")</f>
        <v/>
      </c>
      <c r="H521" s="61" t="str">
        <f>IFERROR(VLOOKUP(C521,$C$9:H520,6,FALSE),"")</f>
        <v/>
      </c>
      <c r="I521" s="61"/>
      <c r="J521" s="61" t="n">
        <v>0.0</v>
      </c>
      <c r="K521" s="61"/>
      <c r="L521" s="61" t="s">
        <v>445</v>
      </c>
      <c r="M521" s="42"/>
      <c r="N521" s="46" t="e">
        <f t="shared" si="23"/>
        <v>#DIV/0!</v>
      </c>
      <c r="O521" s="46" t="str">
        <f t="shared" si="24"/>
        <v/>
      </c>
      <c r="P521" s="46">
        <f t="shared" si="25"/>
        <v>1</v>
      </c>
      <c r="Q521" s="46"/>
      <c r="R521" s="45"/>
      <c r="S521" s="45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</row>
    <row r="522" spans="1:31" ht="14.25">
      <c r="A522" s="67" t="s">
        <v>645</v>
      </c>
      <c r="B522" s="68" t="s">
        <v>699</v>
      </c>
      <c r="C522" s="67" t="s">
        <v>544</v>
      </c>
      <c r="D522" s="75" t="n">
        <v>144.01</v>
      </c>
      <c r="E522" s="76" t="s">
        <v>0</v>
      </c>
      <c r="F522" s="57" t="str">
        <f>IFERROR(VLOOKUP(C522,$C$9:H521,4,FALSE),"")</f>
        <v/>
      </c>
      <c r="G522" s="61" t="str">
        <f>IFERROR(VLOOKUP(C522,$C$9:G521,5,FALSE),"")</f>
        <v/>
      </c>
      <c r="H522" s="61" t="str">
        <f>IFERROR(VLOOKUP(C522,$C$9:H521,6,FALSE),"")</f>
        <v/>
      </c>
      <c r="I522" s="61" t="s">
        <v>545</v>
      </c>
      <c r="J522" s="61" t="n">
        <v>0.0</v>
      </c>
      <c r="K522" s="61"/>
      <c r="L522" s="61" t="s">
        <v>445</v>
      </c>
      <c r="M522" s="42"/>
      <c r="N522" s="46" t="e">
        <f t="shared" ref="N522:N585" si="26">IF(OR(F522=$P$1,F522="",F522=0),D522/$B$2,IF(OR(F522=$P$2,F522=$P$3,F522=$P$4),D522/(O522*P522),D522/O522))</f>
        <v>#DIV/0!</v>
      </c>
      <c r="O522" s="46" t="str">
        <f t="shared" ref="O522:O585" si="27">IFERROR(VLOOKUP(F522,$P$1:$Q$4,2,0),F522)</f>
        <v/>
      </c>
      <c r="P522" s="46">
        <f t="shared" si="25"/>
        <v>1</v>
      </c>
      <c r="Q522" s="46"/>
      <c r="R522" s="45"/>
      <c r="S522" s="45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</row>
    <row r="523" spans="1:31" ht="14.25">
      <c r="A523" s="67" t="s">
        <v>645</v>
      </c>
      <c r="B523" s="68" t="s">
        <v>699</v>
      </c>
      <c r="C523" s="67" t="s">
        <v>452</v>
      </c>
      <c r="D523" s="75" t="n">
        <v>149.7</v>
      </c>
      <c r="E523" s="76" t="s">
        <v>1</v>
      </c>
      <c r="F523" s="57" t="str">
        <f>IFERROR(VLOOKUP(C523,$C$9:H522,4,FALSE),"")</f>
        <v/>
      </c>
      <c r="G523" s="61" t="s">
        <v>414</v>
      </c>
      <c r="H523" s="61" t="s">
        <v>414</v>
      </c>
      <c r="I523" s="61" t="s">
        <v>700</v>
      </c>
      <c r="J523" s="61" t="n">
        <v>0.0</v>
      </c>
      <c r="K523" s="61"/>
      <c r="L523" s="61" t="s">
        <v>445</v>
      </c>
      <c r="M523" s="42"/>
      <c r="N523" s="46" t="e">
        <f t="shared" si="26"/>
        <v>#DIV/0!</v>
      </c>
      <c r="O523" s="46" t="str">
        <f t="shared" si="27"/>
        <v/>
      </c>
      <c r="P523" s="46">
        <f t="shared" ref="P523:P586" si="28">IF(C523="",1,COUNTIFS($C$9:$C$1499,C523,$H$9:$H$1499,H523))</f>
        <v>1</v>
      </c>
      <c r="Q523" s="46"/>
      <c r="R523" s="45"/>
      <c r="S523" s="45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</row>
    <row r="524" spans="1:31" ht="14.25">
      <c r="A524" s="67" t="s">
        <v>645</v>
      </c>
      <c r="B524" s="78" t="s">
        <v>699</v>
      </c>
      <c r="C524" s="77" t="s">
        <v>549</v>
      </c>
      <c r="D524" s="75" t="n">
        <v>300.0</v>
      </c>
      <c r="E524" s="76" t="s">
        <v>1</v>
      </c>
      <c r="F524" s="57" t="str">
        <f>IFERROR(VLOOKUP(C524,$C$9:H523,4,FALSE),"")</f>
        <v/>
      </c>
      <c r="G524" s="61" t="str">
        <f>IFERROR(VLOOKUP(C524,$C$9:G523,5,FALSE),"")</f>
        <v/>
      </c>
      <c r="H524" s="61" t="str">
        <f>IFERROR(VLOOKUP(C524,$C$9:H523,6,FALSE),"")</f>
        <v/>
      </c>
      <c r="I524" s="61" t="s">
        <v>550</v>
      </c>
      <c r="J524" s="61" t="n">
        <v>0.0</v>
      </c>
      <c r="K524" s="61"/>
      <c r="L524" s="61" t="s">
        <v>445</v>
      </c>
      <c r="M524" s="42"/>
      <c r="N524" s="46" t="e">
        <f t="shared" si="26"/>
        <v>#DIV/0!</v>
      </c>
      <c r="O524" s="46" t="str">
        <f t="shared" si="27"/>
        <v/>
      </c>
      <c r="P524" s="46">
        <f t="shared" si="28"/>
        <v>1</v>
      </c>
      <c r="Q524" s="46"/>
      <c r="R524" s="45"/>
      <c r="S524" s="45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</row>
    <row r="525" spans="1:31" ht="14.25">
      <c r="A525" s="67" t="s">
        <v>647</v>
      </c>
      <c r="B525" s="68" t="s">
        <v>699</v>
      </c>
      <c r="C525" s="67" t="s">
        <v>525</v>
      </c>
      <c r="D525" s="75" t="n">
        <v>6.9</v>
      </c>
      <c r="E525" s="76" t="s">
        <v>0</v>
      </c>
      <c r="F525" s="57" t="str">
        <f>IFERROR(VLOOKUP(C525,$C$9:H524,4,FALSE),"")</f>
        <v/>
      </c>
      <c r="G525" s="61" t="s">
        <v>352</v>
      </c>
      <c r="H525" s="61" t="s">
        <v>293</v>
      </c>
      <c r="I525" s="61" t="s">
        <v>433</v>
      </c>
      <c r="J525" s="61" t="n">
        <v>6.9</v>
      </c>
      <c r="K525" s="61" t="s">
        <v>434</v>
      </c>
      <c r="L525" s="61" t="s">
        <v>435</v>
      </c>
      <c r="M525" s="42"/>
      <c r="N525" s="46" t="e">
        <f t="shared" si="26"/>
        <v>#DIV/0!</v>
      </c>
      <c r="O525" s="46" t="str">
        <f t="shared" si="27"/>
        <v/>
      </c>
      <c r="P525" s="46">
        <f t="shared" si="28"/>
        <v>1</v>
      </c>
      <c r="Q525" s="46"/>
      <c r="R525" s="45"/>
      <c r="S525" s="45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</row>
    <row r="526" spans="1:31" ht="14.25">
      <c r="A526" s="67" t="s">
        <v>647</v>
      </c>
      <c r="B526" s="68" t="s">
        <v>699</v>
      </c>
      <c r="C526" s="67" t="s">
        <v>589</v>
      </c>
      <c r="D526" s="75" t="n">
        <v>15.2</v>
      </c>
      <c r="E526" s="76" t="s">
        <v>0</v>
      </c>
      <c r="F526" s="57" t="str">
        <f>IFERROR(VLOOKUP(C526,$C$9:H525,4,FALSE),"")</f>
        <v/>
      </c>
      <c r="G526" s="61" t="s">
        <v>350</v>
      </c>
      <c r="H526" s="61" t="s">
        <v>404</v>
      </c>
      <c r="I526" s="61" t="s">
        <v>433</v>
      </c>
      <c r="J526" s="61" t="n">
        <v>15.2</v>
      </c>
      <c r="K526" s="61" t="s">
        <v>434</v>
      </c>
      <c r="L526" s="61" t="s">
        <v>435</v>
      </c>
      <c r="M526" s="42"/>
      <c r="N526" s="46" t="e">
        <f t="shared" si="26"/>
        <v>#DIV/0!</v>
      </c>
      <c r="O526" s="46" t="str">
        <f t="shared" si="27"/>
        <v/>
      </c>
      <c r="P526" s="46">
        <f t="shared" si="28"/>
        <v>1</v>
      </c>
      <c r="Q526" s="46"/>
      <c r="R526" s="45"/>
      <c r="S526" s="45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</row>
    <row r="527" spans="1:31" ht="14.25">
      <c r="A527" s="67" t="s">
        <v>647</v>
      </c>
      <c r="B527" s="68" t="s">
        <v>699</v>
      </c>
      <c r="C527" s="67" t="s">
        <v>460</v>
      </c>
      <c r="D527" s="75" t="n">
        <v>149.35</v>
      </c>
      <c r="E527" s="76" t="s">
        <v>0</v>
      </c>
      <c r="F527" s="57" t="str">
        <f>IFERROR(VLOOKUP(C527,$C$9:H526,4,FALSE),"")</f>
        <v/>
      </c>
      <c r="G527" s="61" t="str">
        <f>IFERROR(VLOOKUP(C527,$C$9:G526,5,FALSE),"")</f>
        <v/>
      </c>
      <c r="H527" s="61" t="str">
        <f>IFERROR(VLOOKUP(C527,$C$9:H526,6,FALSE),"")</f>
        <v/>
      </c>
      <c r="I527" s="61" t="s">
        <v>433</v>
      </c>
      <c r="J527" s="61" t="n">
        <v>149.35</v>
      </c>
      <c r="K527" s="61" t="s">
        <v>434</v>
      </c>
      <c r="L527" s="61" t="s">
        <v>435</v>
      </c>
      <c r="M527" s="42"/>
      <c r="N527" s="46" t="e">
        <f t="shared" si="26"/>
        <v>#DIV/0!</v>
      </c>
      <c r="O527" s="46" t="str">
        <f t="shared" si="27"/>
        <v/>
      </c>
      <c r="P527" s="46">
        <f t="shared" si="28"/>
        <v>1</v>
      </c>
      <c r="Q527" s="46"/>
      <c r="R527" s="45"/>
      <c r="S527" s="45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</row>
    <row r="528" spans="1:31" ht="14.25">
      <c r="A528" s="67" t="s">
        <v>647</v>
      </c>
      <c r="B528" s="68" t="s">
        <v>699</v>
      </c>
      <c r="C528" s="67" t="s">
        <v>439</v>
      </c>
      <c r="D528" s="75" t="n">
        <v>120.65</v>
      </c>
      <c r="E528" s="76" t="s">
        <v>0</v>
      </c>
      <c r="F528" s="57" t="str">
        <f>IFERROR(VLOOKUP(C528,$C$9:H527,4,FALSE),"")</f>
        <v/>
      </c>
      <c r="G528" s="61" t="s">
        <v>350</v>
      </c>
      <c r="H528" s="61" t="s">
        <v>404</v>
      </c>
      <c r="I528" s="61" t="s">
        <v>433</v>
      </c>
      <c r="J528" s="61" t="n">
        <v>120.65</v>
      </c>
      <c r="K528" s="61" t="s">
        <v>434</v>
      </c>
      <c r="L528" s="61" t="s">
        <v>435</v>
      </c>
      <c r="M528" s="42"/>
      <c r="N528" s="46" t="e">
        <f t="shared" si="26"/>
        <v>#DIV/0!</v>
      </c>
      <c r="O528" s="46" t="str">
        <f t="shared" si="27"/>
        <v/>
      </c>
      <c r="P528" s="46">
        <f t="shared" si="28"/>
        <v>1</v>
      </c>
      <c r="Q528" s="46"/>
      <c r="R528" s="45"/>
      <c r="S528" s="45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</row>
    <row r="529" spans="1:31" ht="14.25">
      <c r="A529" s="67" t="s">
        <v>647</v>
      </c>
      <c r="B529" s="68" t="s">
        <v>699</v>
      </c>
      <c r="C529" s="67" t="s">
        <v>439</v>
      </c>
      <c r="D529" s="75" t="n">
        <v>63.32</v>
      </c>
      <c r="E529" s="76" t="s">
        <v>0</v>
      </c>
      <c r="F529" s="57" t="str">
        <f>IFERROR(VLOOKUP(C529,$C$9:H528,4,FALSE),"")</f>
        <v/>
      </c>
      <c r="G529" s="61" t="s">
        <v>350</v>
      </c>
      <c r="H529" s="61" t="s">
        <v>404</v>
      </c>
      <c r="I529" s="61" t="s">
        <v>433</v>
      </c>
      <c r="J529" s="61" t="n">
        <v>63.32</v>
      </c>
      <c r="K529" s="61" t="s">
        <v>434</v>
      </c>
      <c r="L529" s="61" t="s">
        <v>435</v>
      </c>
      <c r="M529" s="42"/>
      <c r="N529" s="46" t="e">
        <f t="shared" si="26"/>
        <v>#DIV/0!</v>
      </c>
      <c r="O529" s="46" t="str">
        <f t="shared" si="27"/>
        <v/>
      </c>
      <c r="P529" s="46">
        <f t="shared" si="28"/>
        <v>1</v>
      </c>
      <c r="Q529" s="46"/>
      <c r="R529" s="45"/>
      <c r="S529" s="45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</row>
    <row r="530" spans="1:31" ht="14.25">
      <c r="A530" s="67" t="s">
        <v>647</v>
      </c>
      <c r="B530" s="68" t="s">
        <v>699</v>
      </c>
      <c r="C530" s="67" t="s">
        <v>439</v>
      </c>
      <c r="D530" s="75" t="n">
        <v>78.44</v>
      </c>
      <c r="E530" s="76" t="s">
        <v>0</v>
      </c>
      <c r="F530" s="57" t="str">
        <f>IFERROR(VLOOKUP(C530,$C$9:H529,4,FALSE),"")</f>
        <v/>
      </c>
      <c r="G530" s="61" t="s">
        <v>350</v>
      </c>
      <c r="H530" s="61" t="s">
        <v>404</v>
      </c>
      <c r="I530" s="61" t="s">
        <v>433</v>
      </c>
      <c r="J530" s="61" t="n">
        <v>78.44</v>
      </c>
      <c r="K530" s="61" t="s">
        <v>434</v>
      </c>
      <c r="L530" s="61" t="s">
        <v>435</v>
      </c>
      <c r="M530" s="42"/>
      <c r="N530" s="46" t="e">
        <f t="shared" si="26"/>
        <v>#DIV/0!</v>
      </c>
      <c r="O530" s="46" t="str">
        <f t="shared" si="27"/>
        <v/>
      </c>
      <c r="P530" s="46">
        <f t="shared" si="28"/>
        <v>1</v>
      </c>
      <c r="Q530" s="46"/>
      <c r="R530" s="45"/>
      <c r="S530" s="45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</row>
    <row r="531" spans="1:31" ht="14.25">
      <c r="A531" s="67" t="s">
        <v>647</v>
      </c>
      <c r="B531" s="68" t="s">
        <v>699</v>
      </c>
      <c r="C531" s="67" t="s">
        <v>441</v>
      </c>
      <c r="D531" s="75" t="n">
        <v>15.0</v>
      </c>
      <c r="E531" s="76" t="s">
        <v>0</v>
      </c>
      <c r="F531" s="57" t="str">
        <f>IFERROR(VLOOKUP(C531,$C$9:H530,4,FALSE),"")</f>
        <v/>
      </c>
      <c r="G531" s="61" t="str">
        <f>IFERROR(VLOOKUP(C531,$C$9:G530,5,FALSE),"")</f>
        <v/>
      </c>
      <c r="H531" s="61" t="str">
        <f>IFERROR(VLOOKUP(C531,$C$9:H530,6,FALSE),"")</f>
        <v/>
      </c>
      <c r="I531" s="61" t="s">
        <v>433</v>
      </c>
      <c r="J531" s="61" t="n">
        <v>15.0</v>
      </c>
      <c r="K531" s="61" t="s">
        <v>434</v>
      </c>
      <c r="L531" s="61" t="s">
        <v>435</v>
      </c>
      <c r="M531" s="42"/>
      <c r="N531" s="46" t="e">
        <f t="shared" si="26"/>
        <v>#DIV/0!</v>
      </c>
      <c r="O531" s="46" t="str">
        <f t="shared" si="27"/>
        <v/>
      </c>
      <c r="P531" s="46">
        <f t="shared" si="28"/>
        <v>1</v>
      </c>
      <c r="Q531" s="46"/>
      <c r="R531" s="45"/>
      <c r="S531" s="45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</row>
    <row r="532" spans="1:31" ht="14.25">
      <c r="A532" s="67" t="s">
        <v>647</v>
      </c>
      <c r="B532" s="68" t="s">
        <v>701</v>
      </c>
      <c r="C532" s="67" t="s">
        <v>589</v>
      </c>
      <c r="D532" s="75" t="n">
        <v>100.0</v>
      </c>
      <c r="E532" s="76" t="s">
        <v>0</v>
      </c>
      <c r="F532" s="57" t="str">
        <f>IFERROR(VLOOKUP(C532,$C$9:H531,4,FALSE),"")</f>
        <v/>
      </c>
      <c r="G532" s="61" t="s">
        <v>350</v>
      </c>
      <c r="H532" s="61" t="s">
        <v>404</v>
      </c>
      <c r="I532" s="61" t="s">
        <v>433</v>
      </c>
      <c r="J532" s="61" t="n">
        <v>100.0</v>
      </c>
      <c r="K532" s="61" t="s">
        <v>434</v>
      </c>
      <c r="L532" s="61" t="s">
        <v>435</v>
      </c>
      <c r="M532" s="42"/>
      <c r="N532" s="46" t="e">
        <f t="shared" si="26"/>
        <v>#DIV/0!</v>
      </c>
      <c r="O532" s="46" t="str">
        <f t="shared" si="27"/>
        <v/>
      </c>
      <c r="P532" s="46">
        <f t="shared" si="28"/>
        <v>1</v>
      </c>
      <c r="Q532" s="46"/>
      <c r="R532" s="45"/>
      <c r="S532" s="45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</row>
    <row r="533" spans="1:31" ht="14.25">
      <c r="A533" s="67" t="s">
        <v>647</v>
      </c>
      <c r="B533" s="68" t="s">
        <v>701</v>
      </c>
      <c r="C533" s="67" t="s">
        <v>460</v>
      </c>
      <c r="D533" s="75" t="n">
        <v>343.29</v>
      </c>
      <c r="E533" s="76" t="s">
        <v>0</v>
      </c>
      <c r="F533" s="57" t="str">
        <f>IFERROR(VLOOKUP(C533,$C$9:H532,4,FALSE),"")</f>
        <v/>
      </c>
      <c r="G533" s="61" t="str">
        <f>IFERROR(VLOOKUP(C533,$C$9:G532,5,FALSE),"")</f>
        <v/>
      </c>
      <c r="H533" s="61" t="str">
        <f>IFERROR(VLOOKUP(C533,$C$9:H532,6,FALSE),"")</f>
        <v/>
      </c>
      <c r="I533" s="61" t="s">
        <v>433</v>
      </c>
      <c r="J533" s="61" t="n">
        <v>343.29</v>
      </c>
      <c r="K533" s="61" t="s">
        <v>434</v>
      </c>
      <c r="L533" s="61" t="s">
        <v>435</v>
      </c>
      <c r="M533" s="42"/>
      <c r="N533" s="46" t="e">
        <f t="shared" si="26"/>
        <v>#DIV/0!</v>
      </c>
      <c r="O533" s="46" t="str">
        <f t="shared" si="27"/>
        <v/>
      </c>
      <c r="P533" s="46">
        <f t="shared" si="28"/>
        <v>1</v>
      </c>
      <c r="Q533" s="46"/>
      <c r="R533" s="45"/>
      <c r="S533" s="45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</row>
    <row r="534" spans="1:31" ht="14.25">
      <c r="A534" s="67" t="s">
        <v>647</v>
      </c>
      <c r="B534" s="68" t="s">
        <v>701</v>
      </c>
      <c r="C534" s="67" t="s">
        <v>627</v>
      </c>
      <c r="D534" s="75" t="n">
        <v>140.0</v>
      </c>
      <c r="E534" s="76" t="s">
        <v>0</v>
      </c>
      <c r="F534" s="57" t="str">
        <f>IFERROR(VLOOKUP(C534,$C$9:H533,4,FALSE),"")</f>
        <v/>
      </c>
      <c r="G534" s="61" t="str">
        <f>IFERROR(VLOOKUP(C534,$C$9:G533,5,FALSE),"")</f>
        <v/>
      </c>
      <c r="H534" s="61" t="str">
        <f>IFERROR(VLOOKUP(C534,$C$9:H533,6,FALSE),"")</f>
        <v/>
      </c>
      <c r="I534" s="61" t="s">
        <v>433</v>
      </c>
      <c r="J534" s="61" t="n">
        <v>140.0</v>
      </c>
      <c r="K534" s="61" t="s">
        <v>434</v>
      </c>
      <c r="L534" s="61" t="s">
        <v>435</v>
      </c>
      <c r="M534" s="42"/>
      <c r="N534" s="46" t="e">
        <f t="shared" si="26"/>
        <v>#DIV/0!</v>
      </c>
      <c r="O534" s="46" t="str">
        <f t="shared" si="27"/>
        <v/>
      </c>
      <c r="P534" s="46">
        <f t="shared" si="28"/>
        <v>1</v>
      </c>
      <c r="Q534" s="46"/>
      <c r="R534" s="45"/>
      <c r="S534" s="45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</row>
    <row r="535" spans="1:31" ht="14.25">
      <c r="A535" s="67" t="s">
        <v>647</v>
      </c>
      <c r="B535" s="68" t="s">
        <v>701</v>
      </c>
      <c r="C535" s="67" t="s">
        <v>635</v>
      </c>
      <c r="D535" s="75" t="n">
        <v>276.0</v>
      </c>
      <c r="E535" s="76" t="s">
        <v>0</v>
      </c>
      <c r="F535" s="57" t="str">
        <f>IFERROR(VLOOKUP(C535,$C$9:H534,4,FALSE),"")</f>
        <v/>
      </c>
      <c r="G535" s="61" t="str">
        <f>IFERROR(VLOOKUP(C535,$C$9:G534,5,FALSE),"")</f>
        <v/>
      </c>
      <c r="H535" s="61" t="str">
        <f>IFERROR(VLOOKUP(C535,$C$9:H534,6,FALSE),"")</f>
        <v/>
      </c>
      <c r="I535" s="61" t="s">
        <v>437</v>
      </c>
      <c r="J535" s="61" t="n">
        <v>276.0</v>
      </c>
      <c r="K535" s="61" t="s">
        <v>434</v>
      </c>
      <c r="L535" s="61" t="s">
        <v>435</v>
      </c>
      <c r="M535" s="42"/>
      <c r="N535" s="46" t="e">
        <f t="shared" si="26"/>
        <v>#DIV/0!</v>
      </c>
      <c r="O535" s="46" t="str">
        <f t="shared" si="27"/>
        <v/>
      </c>
      <c r="P535" s="46">
        <f t="shared" si="28"/>
        <v>1</v>
      </c>
      <c r="Q535" s="46"/>
      <c r="R535" s="45"/>
      <c r="S535" s="45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</row>
    <row r="536" spans="1:31" ht="14.25">
      <c r="A536" s="67" t="s">
        <v>647</v>
      </c>
      <c r="B536" s="68" t="s">
        <v>701</v>
      </c>
      <c r="C536" s="67" t="s">
        <v>513</v>
      </c>
      <c r="D536" s="75" t="n">
        <v>177.0</v>
      </c>
      <c r="E536" s="76" t="s">
        <v>0</v>
      </c>
      <c r="F536" s="57" t="str">
        <f>IFERROR(VLOOKUP(C536,$C$9:H535,4,FALSE),"")</f>
        <v/>
      </c>
      <c r="G536" s="61" t="str">
        <f>IFERROR(VLOOKUP(C536,$C$9:G535,5,FALSE),"")</f>
        <v/>
      </c>
      <c r="H536" s="61" t="str">
        <f>IFERROR(VLOOKUP(C536,$C$9:H535,6,FALSE),"")</f>
        <v/>
      </c>
      <c r="I536" s="61" t="s">
        <v>702</v>
      </c>
      <c r="J536" s="61" t="n">
        <v>177.0</v>
      </c>
      <c r="K536" s="61" t="s">
        <v>434</v>
      </c>
      <c r="L536" s="61" t="s">
        <v>435</v>
      </c>
      <c r="M536" s="42"/>
      <c r="N536" s="46" t="e">
        <f t="shared" si="26"/>
        <v>#DIV/0!</v>
      </c>
      <c r="O536" s="46" t="str">
        <f t="shared" si="27"/>
        <v/>
      </c>
      <c r="P536" s="46">
        <f t="shared" si="28"/>
        <v>1</v>
      </c>
      <c r="Q536" s="46"/>
      <c r="R536" s="45"/>
      <c r="S536" s="45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</row>
    <row r="537" spans="1:31" ht="14.25">
      <c r="A537" s="67" t="s">
        <v>645</v>
      </c>
      <c r="B537" s="68" t="s">
        <v>703</v>
      </c>
      <c r="C537" s="67" t="s">
        <v>452</v>
      </c>
      <c r="D537" s="75" t="n">
        <v>19.26</v>
      </c>
      <c r="E537" s="76" t="s">
        <v>0</v>
      </c>
      <c r="F537" s="57" t="str">
        <f>IFERROR(VLOOKUP(C537,$C$9:H536,4,FALSE),"")</f>
        <v/>
      </c>
      <c r="G537" s="61" t="s">
        <v>414</v>
      </c>
      <c r="H537" s="61" t="s">
        <v>414</v>
      </c>
      <c r="I537" s="61"/>
      <c r="J537" s="61" t="n">
        <v>0.0</v>
      </c>
      <c r="K537" s="61"/>
      <c r="L537" s="61" t="s">
        <v>445</v>
      </c>
      <c r="M537" s="42"/>
      <c r="N537" s="46" t="e">
        <f t="shared" si="26"/>
        <v>#DIV/0!</v>
      </c>
      <c r="O537" s="46" t="str">
        <f t="shared" si="27"/>
        <v/>
      </c>
      <c r="P537" s="46">
        <f t="shared" si="28"/>
        <v>1</v>
      </c>
      <c r="Q537" s="46"/>
      <c r="R537" s="45"/>
      <c r="S537" s="45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</row>
    <row r="538" spans="1:31" ht="14.25">
      <c r="A538" s="67" t="s">
        <v>647</v>
      </c>
      <c r="B538" s="68" t="s">
        <v>703</v>
      </c>
      <c r="C538" s="67" t="s">
        <v>439</v>
      </c>
      <c r="D538" s="75" t="n">
        <v>60.21</v>
      </c>
      <c r="E538" s="76" t="s">
        <v>0</v>
      </c>
      <c r="F538" s="57" t="str">
        <f>IFERROR(VLOOKUP(C538,$C$9:H537,4,FALSE),"")</f>
        <v/>
      </c>
      <c r="G538" s="61" t="s">
        <v>350</v>
      </c>
      <c r="H538" s="61" t="s">
        <v>404</v>
      </c>
      <c r="I538" s="61" t="s">
        <v>433</v>
      </c>
      <c r="J538" s="61" t="n">
        <v>60.21</v>
      </c>
      <c r="K538" s="61" t="s">
        <v>434</v>
      </c>
      <c r="L538" s="61" t="s">
        <v>435</v>
      </c>
      <c r="M538" s="42"/>
      <c r="N538" s="46" t="e">
        <f t="shared" si="26"/>
        <v>#DIV/0!</v>
      </c>
      <c r="O538" s="46" t="str">
        <f t="shared" si="27"/>
        <v/>
      </c>
      <c r="P538" s="46">
        <f t="shared" si="28"/>
        <v>1</v>
      </c>
      <c r="Q538" s="46"/>
      <c r="R538" s="45"/>
      <c r="S538" s="45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</row>
    <row r="539" spans="1:31" ht="14.25">
      <c r="A539" s="67" t="s">
        <v>647</v>
      </c>
      <c r="B539" s="68" t="s">
        <v>703</v>
      </c>
      <c r="C539" s="67" t="s">
        <v>704</v>
      </c>
      <c r="D539" s="75" t="n">
        <v>237.9</v>
      </c>
      <c r="E539" s="76" t="s">
        <v>0</v>
      </c>
      <c r="F539" s="57" t="str">
        <f>IFERROR(VLOOKUP(C539,$C$9:H538,4,FALSE),"")</f>
        <v/>
      </c>
      <c r="G539" s="61" t="str">
        <f>IFERROR(VLOOKUP(C539,$C$9:G538,5,FALSE),"")</f>
        <v/>
      </c>
      <c r="H539" s="61" t="str">
        <f>IFERROR(VLOOKUP(C539,$C$9:H538,6,FALSE),"")</f>
        <v/>
      </c>
      <c r="I539" s="61" t="s">
        <v>433</v>
      </c>
      <c r="J539" s="61" t="n">
        <v>237.9</v>
      </c>
      <c r="K539" s="61" t="s">
        <v>434</v>
      </c>
      <c r="L539" s="61" t="s">
        <v>435</v>
      </c>
      <c r="M539" s="42"/>
      <c r="N539" s="46" t="e">
        <f t="shared" si="26"/>
        <v>#DIV/0!</v>
      </c>
      <c r="O539" s="46" t="str">
        <f t="shared" si="27"/>
        <v/>
      </c>
      <c r="P539" s="46">
        <f t="shared" si="28"/>
        <v>1</v>
      </c>
      <c r="Q539" s="46"/>
      <c r="R539" s="45"/>
      <c r="S539" s="45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</row>
    <row r="540" spans="1:31" ht="14.25">
      <c r="A540" s="67" t="s">
        <v>705</v>
      </c>
      <c r="B540" s="68" t="s">
        <v>706</v>
      </c>
      <c r="C540" s="67" t="s">
        <v>439</v>
      </c>
      <c r="D540" s="75" t="n">
        <v>55.35</v>
      </c>
      <c r="E540" s="76" t="s">
        <v>0</v>
      </c>
      <c r="F540" s="57" t="str">
        <f>IFERROR(VLOOKUP(C540,$C$9:H539,4,FALSE),"")</f>
        <v/>
      </c>
      <c r="G540" s="61" t="s">
        <v>350</v>
      </c>
      <c r="H540" s="61" t="s">
        <v>404</v>
      </c>
      <c r="I540" s="61" t="s">
        <v>433</v>
      </c>
      <c r="J540" s="61" t="n">
        <v>55.35</v>
      </c>
      <c r="K540" s="61" t="s">
        <v>434</v>
      </c>
      <c r="L540" s="61" t="s">
        <v>435</v>
      </c>
      <c r="M540" s="42"/>
      <c r="N540" s="46" t="e">
        <f t="shared" si="26"/>
        <v>#DIV/0!</v>
      </c>
      <c r="O540" s="46" t="str">
        <f t="shared" si="27"/>
        <v/>
      </c>
      <c r="P540" s="46">
        <f t="shared" si="28"/>
        <v>1</v>
      </c>
      <c r="Q540" s="46"/>
      <c r="R540" s="45"/>
      <c r="S540" s="45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</row>
    <row r="541" spans="1:31" ht="14.25">
      <c r="A541" s="67" t="s">
        <v>705</v>
      </c>
      <c r="B541" s="68" t="s">
        <v>706</v>
      </c>
      <c r="C541" s="67" t="s">
        <v>439</v>
      </c>
      <c r="D541" s="75" t="n">
        <v>29.0</v>
      </c>
      <c r="E541" s="76" t="s">
        <v>0</v>
      </c>
      <c r="F541" s="57" t="str">
        <f>IFERROR(VLOOKUP(C541,$C$9:H540,4,FALSE),"")</f>
        <v/>
      </c>
      <c r="G541" s="61" t="s">
        <v>350</v>
      </c>
      <c r="H541" s="61" t="s">
        <v>404</v>
      </c>
      <c r="I541" s="61" t="s">
        <v>433</v>
      </c>
      <c r="J541" s="61" t="n">
        <v>29.0</v>
      </c>
      <c r="K541" s="61" t="s">
        <v>434</v>
      </c>
      <c r="L541" s="61" t="s">
        <v>435</v>
      </c>
      <c r="M541" s="42"/>
      <c r="N541" s="46" t="e">
        <f t="shared" si="26"/>
        <v>#DIV/0!</v>
      </c>
      <c r="O541" s="46" t="str">
        <f t="shared" si="27"/>
        <v/>
      </c>
      <c r="P541" s="46">
        <f t="shared" si="28"/>
        <v>1</v>
      </c>
      <c r="Q541" s="46"/>
      <c r="R541" s="45"/>
      <c r="S541" s="45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</row>
    <row r="542" spans="1:31" ht="14.25">
      <c r="A542" s="67" t="s">
        <v>705</v>
      </c>
      <c r="B542" s="68" t="s">
        <v>706</v>
      </c>
      <c r="C542" s="67" t="s">
        <v>441</v>
      </c>
      <c r="D542" s="75" t="n">
        <v>15.0</v>
      </c>
      <c r="E542" s="76" t="s">
        <v>0</v>
      </c>
      <c r="F542" s="57" t="str">
        <f>IFERROR(VLOOKUP(C542,$C$9:H541,4,FALSE),"")</f>
        <v/>
      </c>
      <c r="G542" s="61" t="str">
        <f>IFERROR(VLOOKUP(C542,$C$9:G541,5,FALSE),"")</f>
        <v/>
      </c>
      <c r="H542" s="61" t="str">
        <f>IFERROR(VLOOKUP(C542,$C$9:H541,6,FALSE),"")</f>
        <v/>
      </c>
      <c r="I542" s="61" t="s">
        <v>433</v>
      </c>
      <c r="J542" s="61" t="n">
        <v>15.0</v>
      </c>
      <c r="K542" s="61" t="s">
        <v>434</v>
      </c>
      <c r="L542" s="61" t="s">
        <v>435</v>
      </c>
      <c r="M542" s="42"/>
      <c r="N542" s="46" t="e">
        <f t="shared" si="26"/>
        <v>#DIV/0!</v>
      </c>
      <c r="O542" s="46" t="str">
        <f t="shared" si="27"/>
        <v/>
      </c>
      <c r="P542" s="46">
        <f t="shared" si="28"/>
        <v>1</v>
      </c>
      <c r="Q542" s="46"/>
      <c r="R542" s="45"/>
      <c r="S542" s="45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</row>
    <row r="543" spans="1:31" ht="14.25">
      <c r="A543" s="67" t="s">
        <v>705</v>
      </c>
      <c r="B543" s="71" t="s">
        <v>706</v>
      </c>
      <c r="C543" s="67" t="s">
        <v>441</v>
      </c>
      <c r="D543" s="75" t="n">
        <v>11.0</v>
      </c>
      <c r="E543" s="76" t="s">
        <v>0</v>
      </c>
      <c r="F543" s="57" t="str">
        <f>IFERROR(VLOOKUP(C543,$C$9:H542,4,FALSE),"")</f>
        <v/>
      </c>
      <c r="G543" s="61" t="str">
        <f>IFERROR(VLOOKUP(C543,$C$9:G542,5,FALSE),"")</f>
        <v/>
      </c>
      <c r="H543" s="61" t="str">
        <f>IFERROR(VLOOKUP(C543,$C$9:H542,6,FALSE),"")</f>
        <v/>
      </c>
      <c r="I543" s="61" t="s">
        <v>433</v>
      </c>
      <c r="J543" s="61" t="n">
        <v>11.0</v>
      </c>
      <c r="K543" s="61" t="s">
        <v>434</v>
      </c>
      <c r="L543" s="61" t="s">
        <v>435</v>
      </c>
      <c r="M543" s="42"/>
      <c r="N543" s="46" t="e">
        <f t="shared" si="26"/>
        <v>#DIV/0!</v>
      </c>
      <c r="O543" s="46" t="str">
        <f t="shared" si="27"/>
        <v/>
      </c>
      <c r="P543" s="46">
        <f t="shared" si="28"/>
        <v>1</v>
      </c>
      <c r="Q543" s="46"/>
      <c r="R543" s="45"/>
      <c r="S543" s="45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</row>
    <row r="544" spans="1:31" ht="14.25">
      <c r="A544" s="67" t="s">
        <v>705</v>
      </c>
      <c r="B544" s="71" t="s">
        <v>706</v>
      </c>
      <c r="C544" s="67" t="s">
        <v>442</v>
      </c>
      <c r="D544" s="75" t="n">
        <v>150.0</v>
      </c>
      <c r="E544" s="76" t="s">
        <v>0</v>
      </c>
      <c r="F544" s="57" t="str">
        <f>IFERROR(VLOOKUP(C544,$C$9:H543,4,FALSE),"")</f>
        <v/>
      </c>
      <c r="G544" s="61" t="str">
        <f>IFERROR(VLOOKUP(C544,$C$9:G543,5,FALSE),"")</f>
        <v/>
      </c>
      <c r="H544" s="61" t="str">
        <f>IFERROR(VLOOKUP(C544,$C$9:H543,6,FALSE),"")</f>
        <v/>
      </c>
      <c r="I544" s="61" t="s">
        <v>433</v>
      </c>
      <c r="J544" s="61" t="n">
        <v>150.0</v>
      </c>
      <c r="K544" s="61" t="s">
        <v>434</v>
      </c>
      <c r="L544" s="61" t="s">
        <v>435</v>
      </c>
      <c r="M544" s="42"/>
      <c r="N544" s="46" t="e">
        <f t="shared" si="26"/>
        <v>#DIV/0!</v>
      </c>
      <c r="O544" s="46" t="str">
        <f t="shared" si="27"/>
        <v/>
      </c>
      <c r="P544" s="46">
        <f t="shared" si="28"/>
        <v>1</v>
      </c>
      <c r="Q544" s="46"/>
      <c r="R544" s="45"/>
      <c r="S544" s="45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</row>
    <row r="545" spans="1:31" ht="14.25">
      <c r="A545" s="67" t="s">
        <v>707</v>
      </c>
      <c r="B545" s="68" t="s">
        <v>706</v>
      </c>
      <c r="C545" s="67" t="s">
        <v>444</v>
      </c>
      <c r="D545" s="75" t="n">
        <v>92.45</v>
      </c>
      <c r="E545" s="76" t="s">
        <v>0</v>
      </c>
      <c r="F545" s="57" t="str">
        <f>IFERROR(VLOOKUP(C545,$C$9:H544,4,FALSE),"")</f>
        <v/>
      </c>
      <c r="G545" s="61" t="str">
        <f>IFERROR(VLOOKUP(C545,$C$9:G544,5,FALSE),"")</f>
        <v/>
      </c>
      <c r="H545" s="61" t="str">
        <f>IFERROR(VLOOKUP(C545,$C$9:H544,6,FALSE),"")</f>
        <v/>
      </c>
      <c r="I545" s="61"/>
      <c r="J545" s="61" t="n">
        <v>0.0</v>
      </c>
      <c r="K545" s="61"/>
      <c r="L545" s="61" t="s">
        <v>445</v>
      </c>
      <c r="M545" s="42"/>
      <c r="N545" s="46" t="e">
        <f t="shared" si="26"/>
        <v>#DIV/0!</v>
      </c>
      <c r="O545" s="46" t="str">
        <f t="shared" si="27"/>
        <v/>
      </c>
      <c r="P545" s="46">
        <f t="shared" si="28"/>
        <v>1</v>
      </c>
      <c r="Q545" s="46"/>
      <c r="R545" s="45"/>
      <c r="S545" s="45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</row>
    <row r="546" spans="1:31" ht="14.25">
      <c r="A546" s="67" t="s">
        <v>707</v>
      </c>
      <c r="B546" s="68" t="s">
        <v>706</v>
      </c>
      <c r="C546" s="67" t="s">
        <v>446</v>
      </c>
      <c r="D546" s="75" t="n">
        <v>449.6</v>
      </c>
      <c r="E546" s="76" t="s">
        <v>0</v>
      </c>
      <c r="F546" s="57" t="str">
        <f>IFERROR(VLOOKUP(C546,$C$9:H545,4,FALSE),"")</f>
        <v/>
      </c>
      <c r="G546" s="61" t="str">
        <f>IFERROR(VLOOKUP(C546,$C$9:G545,5,FALSE),"")</f>
        <v/>
      </c>
      <c r="H546" s="61" t="str">
        <f>IFERROR(VLOOKUP(C546,$C$9:H545,6,FALSE),"")</f>
        <v/>
      </c>
      <c r="I546" s="61"/>
      <c r="J546" s="61" t="n">
        <v>0.0</v>
      </c>
      <c r="K546" s="61"/>
      <c r="L546" s="61" t="s">
        <v>445</v>
      </c>
      <c r="M546" s="42"/>
      <c r="N546" s="46" t="e">
        <f t="shared" si="26"/>
        <v>#DIV/0!</v>
      </c>
      <c r="O546" s="46" t="str">
        <f t="shared" si="27"/>
        <v/>
      </c>
      <c r="P546" s="46">
        <f t="shared" si="28"/>
        <v>1</v>
      </c>
      <c r="Q546" s="46"/>
      <c r="R546" s="45"/>
      <c r="S546" s="45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</row>
    <row r="547" spans="1:31" ht="14.25">
      <c r="A547" s="67" t="s">
        <v>705</v>
      </c>
      <c r="B547" s="68" t="s">
        <v>708</v>
      </c>
      <c r="C547" s="67" t="s">
        <v>709</v>
      </c>
      <c r="D547" s="75" t="n">
        <v>107.7</v>
      </c>
      <c r="E547" s="76" t="s">
        <v>0</v>
      </c>
      <c r="F547" s="57" t="str">
        <f>IFERROR(VLOOKUP(C547,$C$9:H546,4,FALSE),"")</f>
        <v/>
      </c>
      <c r="G547" s="61" t="str">
        <f>IFERROR(VLOOKUP(C547,$C$9:G546,5,FALSE),"")</f>
        <v/>
      </c>
      <c r="H547" s="61" t="str">
        <f>IFERROR(VLOOKUP(C547,$C$9:H546,6,FALSE),"")</f>
        <v/>
      </c>
      <c r="I547" s="61" t="s">
        <v>433</v>
      </c>
      <c r="J547" s="61" t="n">
        <v>107.7</v>
      </c>
      <c r="K547" s="61" t="s">
        <v>434</v>
      </c>
      <c r="L547" s="61" t="s">
        <v>435</v>
      </c>
      <c r="M547" s="42"/>
      <c r="N547" s="46" t="e">
        <f t="shared" si="26"/>
        <v>#DIV/0!</v>
      </c>
      <c r="O547" s="46" t="str">
        <f t="shared" si="27"/>
        <v/>
      </c>
      <c r="P547" s="46">
        <f t="shared" si="28"/>
        <v>1</v>
      </c>
      <c r="Q547" s="46"/>
      <c r="R547" s="45"/>
      <c r="S547" s="45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</row>
    <row r="548" spans="1:31" ht="14.25">
      <c r="A548" s="67" t="s">
        <v>705</v>
      </c>
      <c r="B548" s="68" t="s">
        <v>708</v>
      </c>
      <c r="C548" s="67" t="s">
        <v>649</v>
      </c>
      <c r="D548" s="75" t="n">
        <v>49.0</v>
      </c>
      <c r="E548" s="76" t="s">
        <v>0</v>
      </c>
      <c r="F548" s="57" t="str">
        <f>IFERROR(VLOOKUP(C548,$C$9:H547,4,FALSE),"")</f>
        <v/>
      </c>
      <c r="G548" s="61" t="str">
        <f>IFERROR(VLOOKUP(C548,$C$9:G547,5,FALSE),"")</f>
        <v/>
      </c>
      <c r="H548" s="61" t="str">
        <f>IFERROR(VLOOKUP(C548,$C$9:H547,6,FALSE),"")</f>
        <v/>
      </c>
      <c r="I548" s="61" t="s">
        <v>437</v>
      </c>
      <c r="J548" s="61" t="n">
        <v>49.0</v>
      </c>
      <c r="K548" s="61" t="s">
        <v>434</v>
      </c>
      <c r="L548" s="61" t="s">
        <v>435</v>
      </c>
      <c r="M548" s="42"/>
      <c r="N548" s="46" t="e">
        <f t="shared" si="26"/>
        <v>#DIV/0!</v>
      </c>
      <c r="O548" s="46" t="str">
        <f t="shared" si="27"/>
        <v/>
      </c>
      <c r="P548" s="46">
        <f t="shared" si="28"/>
        <v>1</v>
      </c>
      <c r="Q548" s="46"/>
      <c r="R548" s="45"/>
      <c r="S548" s="45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</row>
    <row r="549" spans="1:31" ht="14.25">
      <c r="A549" s="67" t="s">
        <v>705</v>
      </c>
      <c r="B549" s="68" t="s">
        <v>708</v>
      </c>
      <c r="C549" s="67" t="s">
        <v>441</v>
      </c>
      <c r="D549" s="75" t="n">
        <v>48.0</v>
      </c>
      <c r="E549" s="76" t="s">
        <v>0</v>
      </c>
      <c r="F549" s="57" t="str">
        <f>IFERROR(VLOOKUP(C549,$C$9:H548,4,FALSE),"")</f>
        <v/>
      </c>
      <c r="G549" s="61" t="str">
        <f>IFERROR(VLOOKUP(C549,$C$9:G548,5,FALSE),"")</f>
        <v/>
      </c>
      <c r="H549" s="61" t="str">
        <f>IFERROR(VLOOKUP(C549,$C$9:H548,6,FALSE),"")</f>
        <v/>
      </c>
      <c r="I549" s="61" t="s">
        <v>433</v>
      </c>
      <c r="J549" s="61" t="n">
        <v>48.0</v>
      </c>
      <c r="K549" s="61" t="s">
        <v>434</v>
      </c>
      <c r="L549" s="61" t="s">
        <v>435</v>
      </c>
      <c r="M549" s="42"/>
      <c r="N549" s="46" t="e">
        <f t="shared" si="26"/>
        <v>#DIV/0!</v>
      </c>
      <c r="O549" s="46" t="str">
        <f t="shared" si="27"/>
        <v/>
      </c>
      <c r="P549" s="46">
        <f t="shared" si="28"/>
        <v>1</v>
      </c>
      <c r="Q549" s="46"/>
      <c r="R549" s="45"/>
      <c r="S549" s="45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</row>
    <row r="550" spans="1:31" ht="14.25">
      <c r="A550" s="67" t="s">
        <v>705</v>
      </c>
      <c r="B550" s="68" t="s">
        <v>708</v>
      </c>
      <c r="C550" s="67" t="s">
        <v>710</v>
      </c>
      <c r="D550" s="75" t="n">
        <v>9.0</v>
      </c>
      <c r="E550" s="76" t="s">
        <v>0</v>
      </c>
      <c r="F550" s="57" t="str">
        <f>IFERROR(VLOOKUP(C550,$C$9:H549,4,FALSE),"")</f>
        <v/>
      </c>
      <c r="G550" s="61" t="str">
        <f>IFERROR(VLOOKUP(C550,$C$9:G549,5,FALSE),"")</f>
        <v/>
      </c>
      <c r="H550" s="61" t="str">
        <f>IFERROR(VLOOKUP(C550,$C$9:H549,6,FALSE),"")</f>
        <v/>
      </c>
      <c r="I550" s="61" t="s">
        <v>433</v>
      </c>
      <c r="J550" s="61" t="n">
        <v>9.0</v>
      </c>
      <c r="K550" s="61" t="s">
        <v>434</v>
      </c>
      <c r="L550" s="61" t="s">
        <v>435</v>
      </c>
      <c r="M550" s="42"/>
      <c r="N550" s="46" t="e">
        <f t="shared" si="26"/>
        <v>#DIV/0!</v>
      </c>
      <c r="O550" s="46" t="str">
        <f t="shared" si="27"/>
        <v/>
      </c>
      <c r="P550" s="46">
        <f t="shared" si="28"/>
        <v>1</v>
      </c>
      <c r="Q550" s="46"/>
      <c r="R550" s="45"/>
      <c r="S550" s="45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</row>
    <row r="551" spans="1:31" ht="14.25">
      <c r="A551" s="67" t="s">
        <v>705</v>
      </c>
      <c r="B551" s="68" t="s">
        <v>708</v>
      </c>
      <c r="C551" s="67" t="s">
        <v>711</v>
      </c>
      <c r="D551" s="75" t="n">
        <v>9.0</v>
      </c>
      <c r="E551" s="76" t="s">
        <v>0</v>
      </c>
      <c r="F551" s="57" t="str">
        <f>IFERROR(VLOOKUP(C551,$C$9:H550,4,FALSE),"")</f>
        <v/>
      </c>
      <c r="G551" s="61" t="str">
        <f>IFERROR(VLOOKUP(C551,$C$9:G550,5,FALSE),"")</f>
        <v/>
      </c>
      <c r="H551" s="61" t="str">
        <f>IFERROR(VLOOKUP(C551,$C$9:H550,6,FALSE),"")</f>
        <v/>
      </c>
      <c r="I551" s="61" t="s">
        <v>433</v>
      </c>
      <c r="J551" s="61" t="n">
        <v>9.0</v>
      </c>
      <c r="K551" s="61" t="s">
        <v>434</v>
      </c>
      <c r="L551" s="61" t="s">
        <v>435</v>
      </c>
      <c r="M551" s="42"/>
      <c r="N551" s="46" t="e">
        <f t="shared" si="26"/>
        <v>#DIV/0!</v>
      </c>
      <c r="O551" s="46" t="str">
        <f t="shared" si="27"/>
        <v/>
      </c>
      <c r="P551" s="46">
        <f t="shared" si="28"/>
        <v>1</v>
      </c>
      <c r="Q551" s="46"/>
      <c r="R551" s="45"/>
      <c r="S551" s="45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</row>
    <row r="552" spans="1:31" ht="14.25">
      <c r="A552" s="67" t="s">
        <v>705</v>
      </c>
      <c r="B552" s="78" t="s">
        <v>712</v>
      </c>
      <c r="C552" s="77" t="s">
        <v>713</v>
      </c>
      <c r="D552" s="75" t="n">
        <v>28.81</v>
      </c>
      <c r="E552" s="76" t="s">
        <v>0</v>
      </c>
      <c r="F552" s="57" t="str">
        <f>IFERROR(VLOOKUP(C552,$C$9:H551,4,FALSE),"")</f>
        <v/>
      </c>
      <c r="G552" s="61" t="s">
        <v>358</v>
      </c>
      <c r="H552" s="61" t="s">
        <v>310</v>
      </c>
      <c r="I552" s="61" t="s">
        <v>433</v>
      </c>
      <c r="J552" s="61" t="n">
        <v>28.81</v>
      </c>
      <c r="K552" s="61" t="s">
        <v>434</v>
      </c>
      <c r="L552" s="61" t="s">
        <v>435</v>
      </c>
      <c r="M552" s="42"/>
      <c r="N552" s="46" t="e">
        <f t="shared" si="26"/>
        <v>#DIV/0!</v>
      </c>
      <c r="O552" s="46" t="str">
        <f t="shared" si="27"/>
        <v/>
      </c>
      <c r="P552" s="46">
        <f t="shared" si="28"/>
        <v>1</v>
      </c>
      <c r="Q552" s="46"/>
      <c r="R552" s="45"/>
      <c r="S552" s="45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</row>
    <row r="553" spans="1:31" ht="14.25">
      <c r="A553" s="67" t="s">
        <v>705</v>
      </c>
      <c r="B553" s="78" t="s">
        <v>712</v>
      </c>
      <c r="C553" s="77" t="s">
        <v>714</v>
      </c>
      <c r="D553" s="75" t="n">
        <v>20.0</v>
      </c>
      <c r="E553" s="76" t="s">
        <v>0</v>
      </c>
      <c r="F553" s="57" t="str">
        <f>IFERROR(VLOOKUP(C553,$C$9:H552,4,FALSE),"")</f>
        <v/>
      </c>
      <c r="G553" s="61" t="str">
        <f>IFERROR(VLOOKUP(C553,$C$9:G552,5,FALSE),"")</f>
        <v/>
      </c>
      <c r="H553" s="61" t="str">
        <f>IFERROR(VLOOKUP(C553,$C$9:H552,6,FALSE),"")</f>
        <v/>
      </c>
      <c r="I553" s="61" t="s">
        <v>433</v>
      </c>
      <c r="J553" s="61" t="n">
        <v>20.0</v>
      </c>
      <c r="K553" s="61" t="s">
        <v>434</v>
      </c>
      <c r="L553" s="61" t="s">
        <v>435</v>
      </c>
      <c r="M553" s="42"/>
      <c r="N553" s="46" t="e">
        <f t="shared" si="26"/>
        <v>#DIV/0!</v>
      </c>
      <c r="O553" s="46" t="str">
        <f t="shared" si="27"/>
        <v/>
      </c>
      <c r="P553" s="46">
        <f t="shared" si="28"/>
        <v>1</v>
      </c>
      <c r="Q553" s="46"/>
      <c r="R553" s="45"/>
      <c r="S553" s="45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</row>
    <row r="554" spans="1:31" ht="14.25">
      <c r="A554" s="67" t="s">
        <v>705</v>
      </c>
      <c r="B554" s="78" t="s">
        <v>712</v>
      </c>
      <c r="C554" s="77" t="s">
        <v>518</v>
      </c>
      <c r="D554" s="75" t="n">
        <v>17.5</v>
      </c>
      <c r="E554" s="76" t="s">
        <v>0</v>
      </c>
      <c r="F554" s="57" t="str">
        <f>IFERROR(VLOOKUP(C554,$C$9:H553,4,FALSE),"")</f>
        <v/>
      </c>
      <c r="G554" s="61" t="str">
        <f>IFERROR(VLOOKUP(C554,$C$9:G553,5,FALSE),"")</f>
        <v/>
      </c>
      <c r="H554" s="61" t="str">
        <f>IFERROR(VLOOKUP(C554,$C$9:H553,6,FALSE),"")</f>
        <v/>
      </c>
      <c r="I554" s="61" t="s">
        <v>715</v>
      </c>
      <c r="J554" s="61" t="n">
        <v>17.5</v>
      </c>
      <c r="K554" s="61" t="s">
        <v>434</v>
      </c>
      <c r="L554" s="61" t="s">
        <v>435</v>
      </c>
      <c r="M554" s="42"/>
      <c r="N554" s="46" t="e">
        <f t="shared" si="26"/>
        <v>#DIV/0!</v>
      </c>
      <c r="O554" s="46" t="str">
        <f t="shared" si="27"/>
        <v/>
      </c>
      <c r="P554" s="46">
        <f t="shared" si="28"/>
        <v>1</v>
      </c>
      <c r="Q554" s="46"/>
      <c r="R554" s="45"/>
      <c r="S554" s="45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</row>
    <row r="555" spans="1:31" ht="14.25">
      <c r="A555" s="67" t="s">
        <v>705</v>
      </c>
      <c r="B555" s="78" t="s">
        <v>712</v>
      </c>
      <c r="C555" s="77" t="s">
        <v>716</v>
      </c>
      <c r="D555" s="75" t="n">
        <v>18.99</v>
      </c>
      <c r="E555" s="76" t="s">
        <v>0</v>
      </c>
      <c r="F555" s="57" t="str">
        <f>IFERROR(VLOOKUP(C555,$C$9:H554,4,FALSE),"")</f>
        <v/>
      </c>
      <c r="G555" s="61" t="str">
        <f>IFERROR(VLOOKUP(C555,$C$9:G554,5,FALSE),"")</f>
        <v/>
      </c>
      <c r="H555" s="61" t="str">
        <f>IFERROR(VLOOKUP(C555,$C$9:H554,6,FALSE),"")</f>
        <v/>
      </c>
      <c r="I555" s="61" t="s">
        <v>433</v>
      </c>
      <c r="J555" s="61" t="n">
        <v>18.99</v>
      </c>
      <c r="K555" s="61" t="s">
        <v>434</v>
      </c>
      <c r="L555" s="61" t="s">
        <v>435</v>
      </c>
      <c r="M555" s="42"/>
      <c r="N555" s="46" t="e">
        <f t="shared" si="26"/>
        <v>#DIV/0!</v>
      </c>
      <c r="O555" s="46" t="str">
        <f t="shared" si="27"/>
        <v/>
      </c>
      <c r="P555" s="46">
        <f t="shared" si="28"/>
        <v>1</v>
      </c>
      <c r="Q555" s="46"/>
      <c r="R555" s="45"/>
      <c r="S555" s="45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</row>
    <row r="556" spans="1:31" ht="14.25">
      <c r="A556" s="67" t="s">
        <v>705</v>
      </c>
      <c r="B556" s="68" t="s">
        <v>712</v>
      </c>
      <c r="C556" s="67" t="s">
        <v>711</v>
      </c>
      <c r="D556" s="75" t="n">
        <v>13.0</v>
      </c>
      <c r="E556" s="76" t="s">
        <v>0</v>
      </c>
      <c r="F556" s="57" t="str">
        <f>IFERROR(VLOOKUP(C556,$C$9:H555,4,FALSE),"")</f>
        <v/>
      </c>
      <c r="G556" s="61" t="str">
        <f>IFERROR(VLOOKUP(C556,$C$9:G555,5,FALSE),"")</f>
        <v/>
      </c>
      <c r="H556" s="61" t="str">
        <f>IFERROR(VLOOKUP(C556,$C$9:H555,6,FALSE),"")</f>
        <v/>
      </c>
      <c r="I556" s="61" t="s">
        <v>433</v>
      </c>
      <c r="J556" s="61" t="n">
        <v>13.0</v>
      </c>
      <c r="K556" s="61" t="s">
        <v>434</v>
      </c>
      <c r="L556" s="61" t="s">
        <v>435</v>
      </c>
      <c r="M556" s="42"/>
      <c r="N556" s="46" t="e">
        <f t="shared" si="26"/>
        <v>#DIV/0!</v>
      </c>
      <c r="O556" s="46" t="str">
        <f t="shared" si="27"/>
        <v/>
      </c>
      <c r="P556" s="46">
        <f t="shared" si="28"/>
        <v>1</v>
      </c>
      <c r="Q556" s="46"/>
      <c r="R556" s="45"/>
      <c r="S556" s="45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</row>
    <row r="557" spans="1:31" ht="14.25">
      <c r="A557" s="67" t="s">
        <v>705</v>
      </c>
      <c r="B557" s="68" t="s">
        <v>712</v>
      </c>
      <c r="C557" s="67" t="s">
        <v>439</v>
      </c>
      <c r="D557" s="75" t="n">
        <v>57.54</v>
      </c>
      <c r="E557" s="76" t="s">
        <v>0</v>
      </c>
      <c r="F557" s="57" t="str">
        <f>IFERROR(VLOOKUP(C557,$C$9:H556,4,FALSE),"")</f>
        <v/>
      </c>
      <c r="G557" s="61" t="s">
        <v>350</v>
      </c>
      <c r="H557" s="61" t="s">
        <v>404</v>
      </c>
      <c r="I557" s="61" t="s">
        <v>433</v>
      </c>
      <c r="J557" s="61" t="n">
        <v>57.54</v>
      </c>
      <c r="K557" s="61" t="s">
        <v>434</v>
      </c>
      <c r="L557" s="61" t="s">
        <v>435</v>
      </c>
      <c r="M557" s="42"/>
      <c r="N557" s="46" t="e">
        <f t="shared" si="26"/>
        <v>#DIV/0!</v>
      </c>
      <c r="O557" s="46" t="str">
        <f t="shared" si="27"/>
        <v/>
      </c>
      <c r="P557" s="46">
        <f t="shared" si="28"/>
        <v>1</v>
      </c>
      <c r="Q557" s="46"/>
      <c r="R557" s="45"/>
      <c r="S557" s="45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</row>
    <row r="558" spans="1:31" ht="14.25">
      <c r="A558" s="67" t="s">
        <v>705</v>
      </c>
      <c r="B558" s="68" t="s">
        <v>712</v>
      </c>
      <c r="C558" s="67" t="s">
        <v>441</v>
      </c>
      <c r="D558" s="75" t="n">
        <v>15.0</v>
      </c>
      <c r="E558" s="76" t="s">
        <v>0</v>
      </c>
      <c r="F558" s="57" t="str">
        <f>IFERROR(VLOOKUP(C558,$C$9:H557,4,FALSE),"")</f>
        <v/>
      </c>
      <c r="G558" s="61" t="str">
        <f>IFERROR(VLOOKUP(C558,$C$9:G557,5,FALSE),"")</f>
        <v/>
      </c>
      <c r="H558" s="61" t="str">
        <f>IFERROR(VLOOKUP(C558,$C$9:H557,6,FALSE),"")</f>
        <v/>
      </c>
      <c r="I558" s="61" t="s">
        <v>433</v>
      </c>
      <c r="J558" s="61" t="n">
        <v>15.0</v>
      </c>
      <c r="K558" s="61" t="s">
        <v>434</v>
      </c>
      <c r="L558" s="61" t="s">
        <v>435</v>
      </c>
      <c r="M558" s="42"/>
      <c r="N558" s="46" t="e">
        <f t="shared" si="26"/>
        <v>#DIV/0!</v>
      </c>
      <c r="O558" s="46" t="str">
        <f t="shared" si="27"/>
        <v/>
      </c>
      <c r="P558" s="46">
        <f t="shared" si="28"/>
        <v>1</v>
      </c>
      <c r="Q558" s="46"/>
      <c r="R558" s="45"/>
      <c r="S558" s="45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</row>
    <row r="559" spans="1:31" ht="14.25">
      <c r="A559" s="67" t="s">
        <v>705</v>
      </c>
      <c r="B559" s="68" t="s">
        <v>712</v>
      </c>
      <c r="C559" s="67" t="s">
        <v>717</v>
      </c>
      <c r="D559" s="75" t="n">
        <v>22.0</v>
      </c>
      <c r="E559" s="76" t="s">
        <v>0</v>
      </c>
      <c r="F559" s="57" t="str">
        <f>IFERROR(VLOOKUP(C559,$C$9:H558,4,FALSE),"")</f>
        <v/>
      </c>
      <c r="G559" s="61" t="s">
        <v>350</v>
      </c>
      <c r="H559" s="61" t="s">
        <v>404</v>
      </c>
      <c r="I559" s="61" t="s">
        <v>433</v>
      </c>
      <c r="J559" s="61" t="n">
        <v>22.0</v>
      </c>
      <c r="K559" s="61" t="s">
        <v>434</v>
      </c>
      <c r="L559" s="61" t="s">
        <v>435</v>
      </c>
      <c r="M559" s="42"/>
      <c r="N559" s="46" t="e">
        <f t="shared" si="26"/>
        <v>#DIV/0!</v>
      </c>
      <c r="O559" s="46" t="str">
        <f t="shared" si="27"/>
        <v/>
      </c>
      <c r="P559" s="46">
        <f t="shared" si="28"/>
        <v>1</v>
      </c>
      <c r="Q559" s="46"/>
      <c r="R559" s="45"/>
      <c r="S559" s="45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</row>
    <row r="560" spans="1:31" ht="14.25">
      <c r="A560" s="67" t="s">
        <v>705</v>
      </c>
      <c r="B560" s="68" t="s">
        <v>712</v>
      </c>
      <c r="C560" s="67" t="s">
        <v>717</v>
      </c>
      <c r="D560" s="75" t="n">
        <v>6.0</v>
      </c>
      <c r="E560" s="76" t="s">
        <v>0</v>
      </c>
      <c r="F560" s="57" t="str">
        <f>IFERROR(VLOOKUP(C560,$C$9:H559,4,FALSE),"")</f>
        <v/>
      </c>
      <c r="G560" s="61" t="s">
        <v>350</v>
      </c>
      <c r="H560" s="61" t="s">
        <v>404</v>
      </c>
      <c r="I560" s="61" t="s">
        <v>433</v>
      </c>
      <c r="J560" s="61" t="n">
        <v>6.0</v>
      </c>
      <c r="K560" s="61" t="s">
        <v>434</v>
      </c>
      <c r="L560" s="61" t="s">
        <v>435</v>
      </c>
      <c r="M560" s="42"/>
      <c r="N560" s="46" t="e">
        <f t="shared" si="26"/>
        <v>#DIV/0!</v>
      </c>
      <c r="O560" s="46" t="str">
        <f t="shared" si="27"/>
        <v/>
      </c>
      <c r="P560" s="46">
        <f t="shared" si="28"/>
        <v>1</v>
      </c>
      <c r="Q560" s="46"/>
      <c r="R560" s="45"/>
      <c r="S560" s="45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</row>
    <row r="561" spans="1:31" ht="14.25">
      <c r="A561" s="67" t="s">
        <v>718</v>
      </c>
      <c r="B561" s="68" t="s">
        <v>712</v>
      </c>
      <c r="C561" s="67" t="s">
        <v>581</v>
      </c>
      <c r="D561" s="75" t="n">
        <v>69.9</v>
      </c>
      <c r="E561" s="76" t="s">
        <v>0</v>
      </c>
      <c r="F561" s="57" t="str">
        <f>IFERROR(VLOOKUP(C561,$C$9:H560,4,FALSE),"")</f>
        <v/>
      </c>
      <c r="G561" s="61" t="s">
        <v>361</v>
      </c>
      <c r="H561" s="61" t="s">
        <v>331</v>
      </c>
      <c r="I561" s="61" t="s">
        <v>464</v>
      </c>
      <c r="J561" s="61" t="n">
        <v>69.9</v>
      </c>
      <c r="K561" s="61" t="s">
        <v>434</v>
      </c>
      <c r="L561" s="61" t="s">
        <v>435</v>
      </c>
      <c r="M561" s="42"/>
      <c r="N561" s="46" t="e">
        <f t="shared" si="26"/>
        <v>#DIV/0!</v>
      </c>
      <c r="O561" s="46" t="str">
        <f t="shared" si="27"/>
        <v/>
      </c>
      <c r="P561" s="46">
        <f t="shared" si="28"/>
        <v>1</v>
      </c>
      <c r="Q561" s="46"/>
      <c r="R561" s="45"/>
      <c r="S561" s="45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</row>
    <row r="562" spans="1:31" ht="14.25">
      <c r="A562" s="67" t="s">
        <v>719</v>
      </c>
      <c r="B562" s="68" t="s">
        <v>712</v>
      </c>
      <c r="C562" s="67" t="s">
        <v>720</v>
      </c>
      <c r="D562" s="75" t="n">
        <v>157.9</v>
      </c>
      <c r="E562" s="76" t="s">
        <v>0</v>
      </c>
      <c r="F562" s="57" t="str">
        <f>IFERROR(VLOOKUP(C562,$C$9:H561,4,FALSE),"")</f>
        <v/>
      </c>
      <c r="G562" s="61" t="str">
        <f>IFERROR(VLOOKUP(C562,$C$9:G561,5,FALSE),"")</f>
        <v/>
      </c>
      <c r="H562" s="61" t="str">
        <f>IFERROR(VLOOKUP(C562,$C$9:H561,6,FALSE),"")</f>
        <v/>
      </c>
      <c r="I562" s="61" t="s">
        <v>433</v>
      </c>
      <c r="J562" s="61" t="n">
        <v>157.9</v>
      </c>
      <c r="K562" s="61" t="s">
        <v>434</v>
      </c>
      <c r="L562" s="61" t="s">
        <v>435</v>
      </c>
      <c r="M562" s="42"/>
      <c r="N562" s="46" t="e">
        <f t="shared" si="26"/>
        <v>#DIV/0!</v>
      </c>
      <c r="O562" s="46" t="str">
        <f t="shared" si="27"/>
        <v/>
      </c>
      <c r="P562" s="46">
        <f t="shared" si="28"/>
        <v>1</v>
      </c>
      <c r="Q562" s="46"/>
      <c r="R562" s="45"/>
      <c r="S562" s="45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</row>
    <row r="563" spans="1:31" ht="14.25">
      <c r="A563" s="67" t="s">
        <v>707</v>
      </c>
      <c r="B563" s="68" t="s">
        <v>712</v>
      </c>
      <c r="C563" s="67" t="s">
        <v>444</v>
      </c>
      <c r="D563" s="75" t="n">
        <v>114.46</v>
      </c>
      <c r="E563" s="76" t="s">
        <v>0</v>
      </c>
      <c r="F563" s="57" t="str">
        <f>IFERROR(VLOOKUP(C563,$C$9:H562,4,FALSE),"")</f>
        <v/>
      </c>
      <c r="G563" s="61" t="str">
        <f>IFERROR(VLOOKUP(C563,$C$9:G562,5,FALSE),"")</f>
        <v/>
      </c>
      <c r="H563" s="61" t="str">
        <f>IFERROR(VLOOKUP(C563,$C$9:H562,6,FALSE),"")</f>
        <v/>
      </c>
      <c r="I563" s="61"/>
      <c r="J563" s="61" t="n">
        <v>0.0</v>
      </c>
      <c r="K563" s="61"/>
      <c r="L563" s="61" t="s">
        <v>445</v>
      </c>
      <c r="M563" s="42"/>
      <c r="N563" s="46" t="e">
        <f t="shared" si="26"/>
        <v>#DIV/0!</v>
      </c>
      <c r="O563" s="46" t="str">
        <f t="shared" si="27"/>
        <v/>
      </c>
      <c r="P563" s="46">
        <f t="shared" si="28"/>
        <v>1</v>
      </c>
      <c r="Q563" s="46"/>
      <c r="R563" s="45"/>
      <c r="S563" s="45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</row>
    <row r="564" spans="1:31" ht="14.25">
      <c r="A564" s="67" t="s">
        <v>707</v>
      </c>
      <c r="B564" s="71" t="s">
        <v>712</v>
      </c>
      <c r="C564" s="67" t="s">
        <v>446</v>
      </c>
      <c r="D564" s="75" t="n">
        <v>337.05</v>
      </c>
      <c r="E564" s="76" t="s">
        <v>0</v>
      </c>
      <c r="F564" s="57" t="str">
        <f>IFERROR(VLOOKUP(C564,$C$9:H563,4,FALSE),"")</f>
        <v/>
      </c>
      <c r="G564" s="61" t="str">
        <f>IFERROR(VLOOKUP(C564,$C$9:G563,5,FALSE),"")</f>
        <v/>
      </c>
      <c r="H564" s="61" t="str">
        <f>IFERROR(VLOOKUP(C564,$C$9:H563,6,FALSE),"")</f>
        <v/>
      </c>
      <c r="I564" s="61"/>
      <c r="J564" s="61" t="n">
        <v>0.0</v>
      </c>
      <c r="K564" s="61"/>
      <c r="L564" s="61" t="s">
        <v>445</v>
      </c>
      <c r="M564" s="42"/>
      <c r="N564" s="46" t="e">
        <f t="shared" si="26"/>
        <v>#DIV/0!</v>
      </c>
      <c r="O564" s="46" t="str">
        <f t="shared" si="27"/>
        <v/>
      </c>
      <c r="P564" s="46">
        <f t="shared" si="28"/>
        <v>1</v>
      </c>
      <c r="Q564" s="46"/>
      <c r="R564" s="45"/>
      <c r="S564" s="45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</row>
    <row r="565" spans="1:31" ht="14.25">
      <c r="A565" s="67" t="s">
        <v>707</v>
      </c>
      <c r="B565" s="68" t="s">
        <v>712</v>
      </c>
      <c r="C565" s="67" t="s">
        <v>452</v>
      </c>
      <c r="D565" s="75" t="n">
        <v>10630.42</v>
      </c>
      <c r="E565" s="76" t="s">
        <v>0</v>
      </c>
      <c r="F565" s="57" t="str">
        <f>IFERROR(VLOOKUP(C565,$C$9:H564,4,FALSE),"")</f>
        <v/>
      </c>
      <c r="G565" s="61" t="s">
        <v>414</v>
      </c>
      <c r="H565" s="61" t="s">
        <v>414</v>
      </c>
      <c r="I565" s="61"/>
      <c r="J565" s="61" t="n">
        <v>0.0</v>
      </c>
      <c r="K565" s="61"/>
      <c r="L565" s="61" t="s">
        <v>445</v>
      </c>
      <c r="M565" s="42"/>
      <c r="N565" s="46" t="e">
        <f t="shared" si="26"/>
        <v>#DIV/0!</v>
      </c>
      <c r="O565" s="46" t="str">
        <f t="shared" si="27"/>
        <v/>
      </c>
      <c r="P565" s="46">
        <f t="shared" si="28"/>
        <v>1</v>
      </c>
      <c r="Q565" s="46"/>
      <c r="R565" s="45"/>
      <c r="S565" s="45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</row>
    <row r="566" spans="1:31" ht="14.25">
      <c r="A566" s="67" t="s">
        <v>705</v>
      </c>
      <c r="B566" s="68" t="s">
        <v>721</v>
      </c>
      <c r="C566" s="67" t="s">
        <v>621</v>
      </c>
      <c r="D566" s="75" t="n">
        <v>107.4</v>
      </c>
      <c r="E566" s="76" t="s">
        <v>0</v>
      </c>
      <c r="F566" s="57" t="str">
        <f>IFERROR(VLOOKUP(C566,$C$9:H565,4,FALSE),"")</f>
        <v/>
      </c>
      <c r="G566" s="61" t="s">
        <v>345</v>
      </c>
      <c r="H566" s="61" t="s">
        <v>18</v>
      </c>
      <c r="I566" s="61" t="s">
        <v>433</v>
      </c>
      <c r="J566" s="61" t="n">
        <v>107.4</v>
      </c>
      <c r="K566" s="61" t="s">
        <v>434</v>
      </c>
      <c r="L566" s="61" t="s">
        <v>435</v>
      </c>
      <c r="M566" s="42"/>
      <c r="N566" s="46" t="e">
        <f t="shared" si="26"/>
        <v>#DIV/0!</v>
      </c>
      <c r="O566" s="46" t="str">
        <f t="shared" si="27"/>
        <v/>
      </c>
      <c r="P566" s="46">
        <f t="shared" si="28"/>
        <v>1</v>
      </c>
      <c r="Q566" s="46"/>
      <c r="R566" s="45"/>
      <c r="S566" s="45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</row>
    <row r="567" spans="1:31" ht="14.25">
      <c r="A567" s="67" t="s">
        <v>705</v>
      </c>
      <c r="B567" s="68" t="s">
        <v>721</v>
      </c>
      <c r="C567" s="67" t="s">
        <v>439</v>
      </c>
      <c r="D567" s="75" t="n">
        <v>67.4</v>
      </c>
      <c r="E567" s="76" t="s">
        <v>0</v>
      </c>
      <c r="F567" s="57" t="str">
        <f>IFERROR(VLOOKUP(C567,$C$9:H566,4,FALSE),"")</f>
        <v/>
      </c>
      <c r="G567" s="61" t="s">
        <v>350</v>
      </c>
      <c r="H567" s="61" t="s">
        <v>404</v>
      </c>
      <c r="I567" s="61" t="s">
        <v>433</v>
      </c>
      <c r="J567" s="61" t="n">
        <v>67.4</v>
      </c>
      <c r="K567" s="61" t="s">
        <v>434</v>
      </c>
      <c r="L567" s="61" t="s">
        <v>435</v>
      </c>
      <c r="M567" s="42"/>
      <c r="N567" s="46" t="e">
        <f t="shared" si="26"/>
        <v>#DIV/0!</v>
      </c>
      <c r="O567" s="46" t="str">
        <f t="shared" si="27"/>
        <v/>
      </c>
      <c r="P567" s="46">
        <f t="shared" si="28"/>
        <v>1</v>
      </c>
      <c r="Q567" s="46"/>
      <c r="R567" s="45"/>
      <c r="S567" s="45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</row>
    <row r="568" spans="1:31" ht="14.25">
      <c r="A568" s="67" t="s">
        <v>705</v>
      </c>
      <c r="B568" s="68" t="s">
        <v>722</v>
      </c>
      <c r="C568" s="67" t="s">
        <v>470</v>
      </c>
      <c r="D568" s="75" t="n">
        <v>172.98</v>
      </c>
      <c r="E568" s="76" t="s">
        <v>0</v>
      </c>
      <c r="F568" s="57" t="str">
        <f>IFERROR(VLOOKUP(C568,$C$9:H567,4,FALSE),"")</f>
        <v/>
      </c>
      <c r="G568" s="61" t="str">
        <f>IFERROR(VLOOKUP(C568,$C$9:G567,5,FALSE),"")</f>
        <v/>
      </c>
      <c r="H568" s="61" t="str">
        <f>IFERROR(VLOOKUP(C568,$C$9:H567,6,FALSE),"")</f>
        <v/>
      </c>
      <c r="I568" s="61" t="s">
        <v>437</v>
      </c>
      <c r="J568" s="61" t="n">
        <v>172.98</v>
      </c>
      <c r="K568" s="61" t="s">
        <v>434</v>
      </c>
      <c r="L568" s="61" t="s">
        <v>435</v>
      </c>
      <c r="M568" s="42"/>
      <c r="N568" s="46" t="e">
        <f t="shared" si="26"/>
        <v>#DIV/0!</v>
      </c>
      <c r="O568" s="46" t="str">
        <f t="shared" si="27"/>
        <v/>
      </c>
      <c r="P568" s="46">
        <f t="shared" si="28"/>
        <v>1</v>
      </c>
      <c r="Q568" s="46"/>
      <c r="R568" s="45"/>
      <c r="S568" s="45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</row>
    <row r="569" spans="1:31" ht="14.25">
      <c r="A569" s="67" t="s">
        <v>705</v>
      </c>
      <c r="B569" s="68" t="s">
        <v>722</v>
      </c>
      <c r="C569" s="67" t="s">
        <v>525</v>
      </c>
      <c r="D569" s="75" t="n">
        <v>52.8</v>
      </c>
      <c r="E569" s="76" t="s">
        <v>0</v>
      </c>
      <c r="F569" s="57" t="str">
        <f>IFERROR(VLOOKUP(C569,$C$9:H568,4,FALSE),"")</f>
        <v/>
      </c>
      <c r="G569" s="61" t="s">
        <v>352</v>
      </c>
      <c r="H569" s="61" t="s">
        <v>293</v>
      </c>
      <c r="I569" s="61" t="s">
        <v>433</v>
      </c>
      <c r="J569" s="61" t="n">
        <v>52.8</v>
      </c>
      <c r="K569" s="61" t="s">
        <v>434</v>
      </c>
      <c r="L569" s="61" t="s">
        <v>435</v>
      </c>
      <c r="M569" s="42"/>
      <c r="N569" s="46" t="e">
        <f t="shared" si="26"/>
        <v>#DIV/0!</v>
      </c>
      <c r="O569" s="46" t="str">
        <f t="shared" si="27"/>
        <v/>
      </c>
      <c r="P569" s="46">
        <f t="shared" si="28"/>
        <v>1</v>
      </c>
      <c r="Q569" s="46"/>
      <c r="R569" s="45"/>
      <c r="S569" s="45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</row>
    <row r="570" spans="1:31" ht="14.25">
      <c r="A570" s="67" t="s">
        <v>705</v>
      </c>
      <c r="B570" s="78" t="s">
        <v>722</v>
      </c>
      <c r="C570" s="77" t="s">
        <v>627</v>
      </c>
      <c r="D570" s="75" t="n">
        <v>30.0</v>
      </c>
      <c r="E570" s="76" t="s">
        <v>0</v>
      </c>
      <c r="F570" s="57" t="str">
        <f>IFERROR(VLOOKUP(C570,$C$9:H569,4,FALSE),"")</f>
        <v/>
      </c>
      <c r="G570" s="61" t="str">
        <f>IFERROR(VLOOKUP(C570,$C$9:G569,5,FALSE),"")</f>
        <v/>
      </c>
      <c r="H570" s="61" t="str">
        <f>IFERROR(VLOOKUP(C570,$C$9:H569,6,FALSE),"")</f>
        <v/>
      </c>
      <c r="I570" s="61" t="s">
        <v>433</v>
      </c>
      <c r="J570" s="61" t="n">
        <v>30.0</v>
      </c>
      <c r="K570" s="61" t="s">
        <v>434</v>
      </c>
      <c r="L570" s="61" t="s">
        <v>435</v>
      </c>
      <c r="M570" s="42"/>
      <c r="N570" s="46" t="e">
        <f t="shared" si="26"/>
        <v>#DIV/0!</v>
      </c>
      <c r="O570" s="46" t="str">
        <f t="shared" si="27"/>
        <v/>
      </c>
      <c r="P570" s="46">
        <f t="shared" si="28"/>
        <v>1</v>
      </c>
      <c r="Q570" s="46"/>
      <c r="R570" s="45"/>
      <c r="S570" s="45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</row>
    <row r="571" spans="1:31" ht="14.25">
      <c r="A571" s="67" t="s">
        <v>705</v>
      </c>
      <c r="B571" s="71" t="s">
        <v>722</v>
      </c>
      <c r="C571" s="67" t="s">
        <v>723</v>
      </c>
      <c r="D571" s="75" t="n">
        <v>3.0</v>
      </c>
      <c r="E571" s="76" t="s">
        <v>0</v>
      </c>
      <c r="F571" s="57" t="str">
        <f>IFERROR(VLOOKUP(C571,$C$9:H570,4,FALSE),"")</f>
        <v/>
      </c>
      <c r="G571" s="61" t="s">
        <v>358</v>
      </c>
      <c r="H571" s="61" t="s">
        <v>310</v>
      </c>
      <c r="I571" s="61" t="s">
        <v>433</v>
      </c>
      <c r="J571" s="61" t="n">
        <v>3.0</v>
      </c>
      <c r="K571" s="61" t="s">
        <v>434</v>
      </c>
      <c r="L571" s="61" t="s">
        <v>435</v>
      </c>
      <c r="M571" s="42"/>
      <c r="N571" s="46" t="e">
        <f t="shared" si="26"/>
        <v>#DIV/0!</v>
      </c>
      <c r="O571" s="46" t="str">
        <f t="shared" si="27"/>
        <v/>
      </c>
      <c r="P571" s="46">
        <f t="shared" si="28"/>
        <v>1</v>
      </c>
      <c r="Q571" s="46"/>
      <c r="R571" s="45"/>
      <c r="S571" s="45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</row>
    <row r="572" spans="1:31" ht="14.25">
      <c r="A572" s="67" t="s">
        <v>705</v>
      </c>
      <c r="B572" s="68" t="s">
        <v>722</v>
      </c>
      <c r="C572" s="67" t="s">
        <v>471</v>
      </c>
      <c r="D572" s="75" t="n">
        <v>20.25</v>
      </c>
      <c r="E572" s="76" t="s">
        <v>0</v>
      </c>
      <c r="F572" s="57" t="str">
        <f>IFERROR(VLOOKUP(C572,$C$9:H571,4,FALSE),"")</f>
        <v/>
      </c>
      <c r="G572" s="61" t="str">
        <f>IFERROR(VLOOKUP(C572,$C$9:G571,5,FALSE),"")</f>
        <v/>
      </c>
      <c r="H572" s="61" t="str">
        <f>IFERROR(VLOOKUP(C572,$C$9:H571,6,FALSE),"")</f>
        <v/>
      </c>
      <c r="I572" s="61" t="s">
        <v>433</v>
      </c>
      <c r="J572" s="61" t="n">
        <v>20.25</v>
      </c>
      <c r="K572" s="61" t="s">
        <v>434</v>
      </c>
      <c r="L572" s="61" t="s">
        <v>435</v>
      </c>
      <c r="M572" s="42"/>
      <c r="N572" s="46" t="e">
        <f t="shared" si="26"/>
        <v>#DIV/0!</v>
      </c>
      <c r="O572" s="46" t="str">
        <f t="shared" si="27"/>
        <v/>
      </c>
      <c r="P572" s="46">
        <f t="shared" si="28"/>
        <v>1</v>
      </c>
      <c r="Q572" s="46"/>
      <c r="R572" s="45"/>
      <c r="S572" s="45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</row>
    <row r="573" spans="1:31" ht="14.25">
      <c r="A573" s="67" t="s">
        <v>705</v>
      </c>
      <c r="B573" s="68" t="s">
        <v>722</v>
      </c>
      <c r="C573" s="67" t="s">
        <v>518</v>
      </c>
      <c r="D573" s="75" t="n">
        <v>141.6</v>
      </c>
      <c r="E573" s="76" t="s">
        <v>0</v>
      </c>
      <c r="F573" s="57" t="str">
        <f>IFERROR(VLOOKUP(C573,$C$9:H572,4,FALSE),"")</f>
        <v/>
      </c>
      <c r="G573" s="61" t="str">
        <f>IFERROR(VLOOKUP(C573,$C$9:G572,5,FALSE),"")</f>
        <v/>
      </c>
      <c r="H573" s="61" t="str">
        <f>IFERROR(VLOOKUP(C573,$C$9:H572,6,FALSE),"")</f>
        <v/>
      </c>
      <c r="I573" s="61" t="s">
        <v>724</v>
      </c>
      <c r="J573" s="61" t="n">
        <v>141.6</v>
      </c>
      <c r="K573" s="61" t="s">
        <v>434</v>
      </c>
      <c r="L573" s="61" t="s">
        <v>435</v>
      </c>
      <c r="M573" s="42"/>
      <c r="N573" s="46" t="e">
        <f t="shared" si="26"/>
        <v>#DIV/0!</v>
      </c>
      <c r="O573" s="46" t="str">
        <f t="shared" si="27"/>
        <v/>
      </c>
      <c r="P573" s="46">
        <f t="shared" si="28"/>
        <v>1</v>
      </c>
      <c r="Q573" s="46"/>
      <c r="R573" s="45"/>
      <c r="S573" s="45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</row>
    <row r="574" spans="1:31" ht="14.25">
      <c r="A574" s="67" t="s">
        <v>705</v>
      </c>
      <c r="B574" s="68" t="s">
        <v>722</v>
      </c>
      <c r="C574" s="67" t="s">
        <v>439</v>
      </c>
      <c r="D574" s="75" t="n">
        <v>96.9</v>
      </c>
      <c r="E574" s="76" t="s">
        <v>0</v>
      </c>
      <c r="F574" s="57" t="str">
        <f>IFERROR(VLOOKUP(C574,$C$9:H573,4,FALSE),"")</f>
        <v/>
      </c>
      <c r="G574" s="61" t="s">
        <v>350</v>
      </c>
      <c r="H574" s="61" t="s">
        <v>404</v>
      </c>
      <c r="I574" s="61" t="s">
        <v>433</v>
      </c>
      <c r="J574" s="61" t="n">
        <v>96.9</v>
      </c>
      <c r="K574" s="61" t="s">
        <v>434</v>
      </c>
      <c r="L574" s="61" t="s">
        <v>435</v>
      </c>
      <c r="M574" s="42"/>
      <c r="N574" s="46" t="e">
        <f t="shared" si="26"/>
        <v>#DIV/0!</v>
      </c>
      <c r="O574" s="46" t="str">
        <f t="shared" si="27"/>
        <v/>
      </c>
      <c r="P574" s="46">
        <f t="shared" si="28"/>
        <v>1</v>
      </c>
      <c r="Q574" s="46"/>
      <c r="R574" s="45"/>
      <c r="S574" s="45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</row>
    <row r="575" spans="1:31" ht="14.25">
      <c r="A575" s="67" t="s">
        <v>705</v>
      </c>
      <c r="B575" s="68" t="s">
        <v>722</v>
      </c>
      <c r="C575" s="67" t="s">
        <v>439</v>
      </c>
      <c r="D575" s="75" t="n">
        <v>22.45</v>
      </c>
      <c r="E575" s="76" t="s">
        <v>0</v>
      </c>
      <c r="F575" s="57" t="str">
        <f>IFERROR(VLOOKUP(C575,$C$9:H574,4,FALSE),"")</f>
        <v/>
      </c>
      <c r="G575" s="61" t="s">
        <v>350</v>
      </c>
      <c r="H575" s="61" t="s">
        <v>404</v>
      </c>
      <c r="I575" s="61" t="s">
        <v>433</v>
      </c>
      <c r="J575" s="61" t="n">
        <v>22.45</v>
      </c>
      <c r="K575" s="61" t="s">
        <v>434</v>
      </c>
      <c r="L575" s="61" t="s">
        <v>435</v>
      </c>
      <c r="M575" s="42"/>
      <c r="N575" s="46" t="e">
        <f t="shared" si="26"/>
        <v>#DIV/0!</v>
      </c>
      <c r="O575" s="46" t="str">
        <f t="shared" si="27"/>
        <v/>
      </c>
      <c r="P575" s="46">
        <f t="shared" si="28"/>
        <v>1</v>
      </c>
      <c r="Q575" s="46"/>
      <c r="R575" s="45"/>
      <c r="S575" s="45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</row>
    <row r="576" spans="1:31" ht="14.25">
      <c r="A576" s="67" t="s">
        <v>705</v>
      </c>
      <c r="B576" s="68" t="s">
        <v>722</v>
      </c>
      <c r="C576" s="67" t="s">
        <v>440</v>
      </c>
      <c r="D576" s="75" t="n">
        <v>37.5</v>
      </c>
      <c r="E576" s="76" t="s">
        <v>0</v>
      </c>
      <c r="F576" s="57" t="str">
        <f>IFERROR(VLOOKUP(C576,$C$9:H575,4,FALSE),"")</f>
        <v/>
      </c>
      <c r="G576" s="61" t="str">
        <f>IFERROR(VLOOKUP(C576,$C$9:G575,5,FALSE),"")</f>
        <v/>
      </c>
      <c r="H576" s="61" t="str">
        <f>IFERROR(VLOOKUP(C576,$C$9:H575,6,FALSE),"")</f>
        <v/>
      </c>
      <c r="I576" s="61" t="s">
        <v>433</v>
      </c>
      <c r="J576" s="61" t="n">
        <v>37.5</v>
      </c>
      <c r="K576" s="61" t="s">
        <v>434</v>
      </c>
      <c r="L576" s="61" t="s">
        <v>435</v>
      </c>
      <c r="M576" s="42"/>
      <c r="N576" s="46" t="e">
        <f t="shared" si="26"/>
        <v>#DIV/0!</v>
      </c>
      <c r="O576" s="46" t="str">
        <f t="shared" si="27"/>
        <v/>
      </c>
      <c r="P576" s="46">
        <f t="shared" si="28"/>
        <v>1</v>
      </c>
      <c r="Q576" s="46"/>
      <c r="R576" s="45"/>
      <c r="S576" s="45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</row>
    <row r="577" spans="1:31" ht="14.25">
      <c r="A577" s="67" t="s">
        <v>705</v>
      </c>
      <c r="B577" s="68" t="s">
        <v>722</v>
      </c>
      <c r="C577" s="67" t="s">
        <v>442</v>
      </c>
      <c r="D577" s="75" t="n">
        <v>190.0</v>
      </c>
      <c r="E577" s="76" t="s">
        <v>0</v>
      </c>
      <c r="F577" s="57" t="str">
        <f>IFERROR(VLOOKUP(C577,$C$9:H576,4,FALSE),"")</f>
        <v/>
      </c>
      <c r="G577" s="61" t="str">
        <f>IFERROR(VLOOKUP(C577,$C$9:G576,5,FALSE),"")</f>
        <v/>
      </c>
      <c r="H577" s="61" t="str">
        <f>IFERROR(VLOOKUP(C577,$C$9:H576,6,FALSE),"")</f>
        <v/>
      </c>
      <c r="I577" s="61" t="s">
        <v>433</v>
      </c>
      <c r="J577" s="61" t="n">
        <v>190.0</v>
      </c>
      <c r="K577" s="61" t="s">
        <v>434</v>
      </c>
      <c r="L577" s="61" t="s">
        <v>435</v>
      </c>
      <c r="M577" s="42"/>
      <c r="N577" s="46" t="e">
        <f t="shared" si="26"/>
        <v>#DIV/0!</v>
      </c>
      <c r="O577" s="46" t="str">
        <f t="shared" si="27"/>
        <v/>
      </c>
      <c r="P577" s="46">
        <f t="shared" si="28"/>
        <v>1</v>
      </c>
      <c r="Q577" s="46"/>
      <c r="R577" s="45"/>
      <c r="S577" s="45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</row>
    <row r="578" spans="1:31" ht="14.25">
      <c r="A578" s="67" t="s">
        <v>705</v>
      </c>
      <c r="B578" s="68" t="s">
        <v>722</v>
      </c>
      <c r="C578" s="67" t="s">
        <v>438</v>
      </c>
      <c r="D578" s="75" t="n">
        <v>45.0</v>
      </c>
      <c r="E578" s="76" t="s">
        <v>0</v>
      </c>
      <c r="F578" s="57" t="str">
        <f>IFERROR(VLOOKUP(C578,$C$9:H577,4,FALSE),"")</f>
        <v/>
      </c>
      <c r="G578" s="61" t="str">
        <f>IFERROR(VLOOKUP(C578,$C$9:G577,5,FALSE),"")</f>
        <v/>
      </c>
      <c r="H578" s="61" t="str">
        <f>IFERROR(VLOOKUP(C578,$C$9:H577,6,FALSE),"")</f>
        <v/>
      </c>
      <c r="I578" s="61" t="s">
        <v>433</v>
      </c>
      <c r="J578" s="61" t="n">
        <v>45.0</v>
      </c>
      <c r="K578" s="61" t="s">
        <v>434</v>
      </c>
      <c r="L578" s="61" t="s">
        <v>435</v>
      </c>
      <c r="M578" s="42"/>
      <c r="N578" s="46" t="e">
        <f t="shared" si="26"/>
        <v>#DIV/0!</v>
      </c>
      <c r="O578" s="46" t="str">
        <f t="shared" si="27"/>
        <v/>
      </c>
      <c r="P578" s="46">
        <f t="shared" si="28"/>
        <v>1</v>
      </c>
      <c r="Q578" s="46"/>
      <c r="R578" s="45"/>
      <c r="S578" s="45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</row>
    <row r="579" spans="1:31" ht="14.25">
      <c r="A579" s="67" t="s">
        <v>707</v>
      </c>
      <c r="B579" s="68" t="s">
        <v>722</v>
      </c>
      <c r="C579" s="67" t="s">
        <v>452</v>
      </c>
      <c r="D579" s="75" t="n">
        <v>69.9</v>
      </c>
      <c r="E579" s="76" t="s">
        <v>0</v>
      </c>
      <c r="F579" s="57" t="str">
        <f>IFERROR(VLOOKUP(C579,$C$9:H578,4,FALSE),"")</f>
        <v/>
      </c>
      <c r="G579" s="61" t="s">
        <v>414</v>
      </c>
      <c r="H579" s="61" t="s">
        <v>414</v>
      </c>
      <c r="I579" s="61"/>
      <c r="J579" s="61" t="n">
        <v>0.0</v>
      </c>
      <c r="K579" s="61"/>
      <c r="L579" s="61" t="s">
        <v>445</v>
      </c>
      <c r="M579" s="42"/>
      <c r="N579" s="46" t="e">
        <f t="shared" si="26"/>
        <v>#DIV/0!</v>
      </c>
      <c r="O579" s="46" t="str">
        <f t="shared" si="27"/>
        <v/>
      </c>
      <c r="P579" s="46">
        <f t="shared" si="28"/>
        <v>1</v>
      </c>
      <c r="Q579" s="46"/>
      <c r="R579" s="45"/>
      <c r="S579" s="45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</row>
    <row r="580" spans="1:31" ht="14.25">
      <c r="A580" s="67" t="s">
        <v>707</v>
      </c>
      <c r="B580" s="68" t="s">
        <v>722</v>
      </c>
      <c r="C580" s="67" t="s">
        <v>465</v>
      </c>
      <c r="D580" s="75" t="n">
        <v>800.0</v>
      </c>
      <c r="E580" s="76" t="s">
        <v>1</v>
      </c>
      <c r="F580" s="57" t="str">
        <f>IFERROR(VLOOKUP(C580,$C$9:H579,4,FALSE),"")</f>
        <v/>
      </c>
      <c r="G580" s="61" t="str">
        <f>IFERROR(VLOOKUP(C580,$C$9:G579,5,FALSE),"")</f>
        <v/>
      </c>
      <c r="H580" s="61" t="str">
        <f>IFERROR(VLOOKUP(C580,$C$9:H579,6,FALSE),"")</f>
        <v/>
      </c>
      <c r="I580" s="61" t="s">
        <v>466</v>
      </c>
      <c r="J580" s="61" t="n">
        <v>0.0</v>
      </c>
      <c r="K580" s="61"/>
      <c r="L580" s="61" t="s">
        <v>445</v>
      </c>
      <c r="M580" s="42"/>
      <c r="N580" s="46" t="e">
        <f t="shared" si="26"/>
        <v>#DIV/0!</v>
      </c>
      <c r="O580" s="46" t="str">
        <f t="shared" si="27"/>
        <v/>
      </c>
      <c r="P580" s="46">
        <f t="shared" si="28"/>
        <v>1</v>
      </c>
      <c r="Q580" s="46"/>
      <c r="R580" s="45"/>
      <c r="S580" s="45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</row>
    <row r="581" spans="1:31" ht="14.25">
      <c r="A581" s="67" t="s">
        <v>707</v>
      </c>
      <c r="B581" s="68" t="s">
        <v>722</v>
      </c>
      <c r="C581" s="67" t="s">
        <v>547</v>
      </c>
      <c r="D581" s="75" t="n">
        <v>300.0</v>
      </c>
      <c r="E581" s="76" t="s">
        <v>1</v>
      </c>
      <c r="F581" s="57" t="str">
        <f>IFERROR(VLOOKUP(C581,$C$9:H580,4,FALSE),"")</f>
        <v/>
      </c>
      <c r="G581" s="61" t="str">
        <f>IFERROR(VLOOKUP(C581,$C$9:G580,5,FALSE),"")</f>
        <v/>
      </c>
      <c r="H581" s="61" t="str">
        <f>IFERROR(VLOOKUP(C581,$C$9:H580,6,FALSE),"")</f>
        <v/>
      </c>
      <c r="I581" s="61" t="s">
        <v>548</v>
      </c>
      <c r="J581" s="61" t="n">
        <v>0.0</v>
      </c>
      <c r="K581" s="61"/>
      <c r="L581" s="61" t="s">
        <v>445</v>
      </c>
      <c r="M581" s="42"/>
      <c r="N581" s="46" t="e">
        <f t="shared" si="26"/>
        <v>#DIV/0!</v>
      </c>
      <c r="O581" s="46" t="str">
        <f t="shared" si="27"/>
        <v/>
      </c>
      <c r="P581" s="46">
        <f t="shared" si="28"/>
        <v>1</v>
      </c>
      <c r="Q581" s="46"/>
      <c r="R581" s="45"/>
      <c r="S581" s="45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</row>
    <row r="582" spans="1:31" ht="14.25">
      <c r="A582" s="67" t="s">
        <v>707</v>
      </c>
      <c r="B582" s="68" t="s">
        <v>722</v>
      </c>
      <c r="C582" s="67" t="s">
        <v>725</v>
      </c>
      <c r="D582" s="75" t="n">
        <v>52.23</v>
      </c>
      <c r="E582" s="76" t="s">
        <v>0</v>
      </c>
      <c r="F582" s="57" t="str">
        <f>IFERROR(VLOOKUP(C582,$C$9:H581,4,FALSE),"")</f>
        <v/>
      </c>
      <c r="G582" s="61" t="str">
        <f>IFERROR(VLOOKUP(C582,$C$9:G581,5,FALSE),"")</f>
        <v/>
      </c>
      <c r="H582" s="61" t="str">
        <f>IFERROR(VLOOKUP(C582,$C$9:H581,6,FALSE),"")</f>
        <v/>
      </c>
      <c r="I582" s="61" t="s">
        <v>726</v>
      </c>
      <c r="J582" s="61" t="n">
        <v>0.0</v>
      </c>
      <c r="K582" s="61"/>
      <c r="L582" s="61" t="s">
        <v>445</v>
      </c>
      <c r="M582" s="42"/>
      <c r="N582" s="46" t="e">
        <f t="shared" si="26"/>
        <v>#DIV/0!</v>
      </c>
      <c r="O582" s="46" t="str">
        <f t="shared" si="27"/>
        <v/>
      </c>
      <c r="P582" s="46">
        <f t="shared" si="28"/>
        <v>1</v>
      </c>
      <c r="Q582" s="46"/>
      <c r="R582" s="45"/>
      <c r="S582" s="45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</row>
    <row r="583" spans="1:31" ht="14.25">
      <c r="A583" s="67" t="s">
        <v>705</v>
      </c>
      <c r="B583" s="68" t="s">
        <v>727</v>
      </c>
      <c r="C583" s="67" t="s">
        <v>439</v>
      </c>
      <c r="D583" s="75" t="n">
        <v>97.65</v>
      </c>
      <c r="E583" s="76" t="s">
        <v>0</v>
      </c>
      <c r="F583" s="57" t="str">
        <f>IFERROR(VLOOKUP(C583,$C$9:H582,4,FALSE),"")</f>
        <v/>
      </c>
      <c r="G583" s="61" t="s">
        <v>350</v>
      </c>
      <c r="H583" s="61" t="s">
        <v>404</v>
      </c>
      <c r="I583" s="61" t="s">
        <v>433</v>
      </c>
      <c r="J583" s="61" t="n">
        <v>97.65</v>
      </c>
      <c r="K583" s="61" t="s">
        <v>434</v>
      </c>
      <c r="L583" s="61" t="s">
        <v>435</v>
      </c>
      <c r="M583" s="42"/>
      <c r="N583" s="46" t="e">
        <f t="shared" si="26"/>
        <v>#DIV/0!</v>
      </c>
      <c r="O583" s="46" t="str">
        <f t="shared" si="27"/>
        <v/>
      </c>
      <c r="P583" s="46">
        <f t="shared" si="28"/>
        <v>1</v>
      </c>
      <c r="Q583" s="46"/>
      <c r="R583" s="45"/>
      <c r="S583" s="45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</row>
    <row r="584" spans="1:31" ht="14.25">
      <c r="A584" s="67" t="s">
        <v>707</v>
      </c>
      <c r="B584" s="68" t="s">
        <v>727</v>
      </c>
      <c r="C584" s="67" t="s">
        <v>452</v>
      </c>
      <c r="D584" s="75" t="n">
        <v>157.9</v>
      </c>
      <c r="E584" s="76" t="s">
        <v>0</v>
      </c>
      <c r="F584" s="57" t="str">
        <f>IFERROR(VLOOKUP(C584,$C$9:H583,4,FALSE),"")</f>
        <v/>
      </c>
      <c r="G584" s="61" t="s">
        <v>414</v>
      </c>
      <c r="H584" s="61" t="s">
        <v>414</v>
      </c>
      <c r="I584" s="61"/>
      <c r="J584" s="61" t="n">
        <v>0.0</v>
      </c>
      <c r="K584" s="61"/>
      <c r="L584" s="61" t="s">
        <v>445</v>
      </c>
      <c r="M584" s="42"/>
      <c r="N584" s="46" t="e">
        <f t="shared" si="26"/>
        <v>#DIV/0!</v>
      </c>
      <c r="O584" s="46" t="str">
        <f t="shared" si="27"/>
        <v/>
      </c>
      <c r="P584" s="46">
        <f t="shared" si="28"/>
        <v>1</v>
      </c>
      <c r="Q584" s="46"/>
      <c r="R584" s="45"/>
      <c r="S584" s="45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</row>
    <row r="585" spans="1:31" ht="14.25">
      <c r="A585" s="67" t="s">
        <v>705</v>
      </c>
      <c r="B585" s="79" t="s">
        <v>728</v>
      </c>
      <c r="C585" s="77" t="s">
        <v>439</v>
      </c>
      <c r="D585" s="75" t="n">
        <v>128.36</v>
      </c>
      <c r="E585" s="76" t="s">
        <v>0</v>
      </c>
      <c r="F585" s="57" t="str">
        <f>IFERROR(VLOOKUP(C585,$C$9:H584,4,FALSE),"")</f>
        <v/>
      </c>
      <c r="G585" s="61" t="s">
        <v>350</v>
      </c>
      <c r="H585" s="61" t="s">
        <v>404</v>
      </c>
      <c r="I585" s="61" t="s">
        <v>433</v>
      </c>
      <c r="J585" s="61" t="n">
        <v>128.36</v>
      </c>
      <c r="K585" s="61" t="s">
        <v>434</v>
      </c>
      <c r="L585" s="61" t="s">
        <v>435</v>
      </c>
      <c r="M585" s="42"/>
      <c r="N585" s="46" t="e">
        <f t="shared" si="26"/>
        <v>#DIV/0!</v>
      </c>
      <c r="O585" s="46" t="str">
        <f t="shared" si="27"/>
        <v/>
      </c>
      <c r="P585" s="46">
        <f t="shared" si="28"/>
        <v>1</v>
      </c>
      <c r="Q585" s="46"/>
      <c r="R585" s="45"/>
      <c r="S585" s="45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</row>
    <row r="586" spans="1:31" ht="14.25">
      <c r="A586" s="67" t="s">
        <v>705</v>
      </c>
      <c r="B586" s="79" t="s">
        <v>729</v>
      </c>
      <c r="C586" s="77" t="s">
        <v>605</v>
      </c>
      <c r="D586" s="75" t="n">
        <v>132.0</v>
      </c>
      <c r="E586" s="76" t="s">
        <v>0</v>
      </c>
      <c r="F586" s="57" t="str">
        <f>IFERROR(VLOOKUP(C586,$C$9:H585,4,FALSE),"")</f>
        <v/>
      </c>
      <c r="G586" s="61" t="str">
        <f>IFERROR(VLOOKUP(C586,$C$9:G585,5,FALSE),"")</f>
        <v/>
      </c>
      <c r="H586" s="61" t="str">
        <f>IFERROR(VLOOKUP(C586,$C$9:H585,6,FALSE),"")</f>
        <v/>
      </c>
      <c r="I586" s="61" t="s">
        <v>433</v>
      </c>
      <c r="J586" s="61" t="n">
        <v>132.0</v>
      </c>
      <c r="K586" s="61" t="s">
        <v>434</v>
      </c>
      <c r="L586" s="61" t="s">
        <v>435</v>
      </c>
      <c r="M586" s="42"/>
      <c r="N586" s="46" t="e">
        <f t="shared" ref="N586:N649" si="29">IF(OR(F586=$P$1,F586="",F586=0),D586/$B$2,IF(OR(F586=$P$2,F586=$P$3,F586=$P$4),D586/(O586*P586),D586/O586))</f>
        <v>#DIV/0!</v>
      </c>
      <c r="O586" s="46" t="str">
        <f t="shared" ref="O586:O649" si="30">IFERROR(VLOOKUP(F586,$P$1:$Q$4,2,0),F586)</f>
        <v/>
      </c>
      <c r="P586" s="46">
        <f t="shared" si="28"/>
        <v>1</v>
      </c>
      <c r="Q586" s="46"/>
      <c r="R586" s="45"/>
      <c r="S586" s="45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</row>
    <row r="587" spans="1:31" ht="14.25">
      <c r="A587" s="67" t="s">
        <v>705</v>
      </c>
      <c r="B587" s="68" t="s">
        <v>730</v>
      </c>
      <c r="C587" s="67" t="s">
        <v>731</v>
      </c>
      <c r="D587" s="75" t="n">
        <v>20.0</v>
      </c>
      <c r="E587" s="76" t="s">
        <v>0</v>
      </c>
      <c r="F587" s="57" t="str">
        <f>IFERROR(VLOOKUP(C587,$C$9:H586,4,FALSE),"")</f>
        <v/>
      </c>
      <c r="G587" s="61" t="str">
        <f>IFERROR(VLOOKUP(C587,$C$9:G586,5,FALSE),"")</f>
        <v/>
      </c>
      <c r="H587" s="61" t="str">
        <f>IFERROR(VLOOKUP(C587,$C$9:H586,6,FALSE),"")</f>
        <v/>
      </c>
      <c r="I587" s="61" t="s">
        <v>433</v>
      </c>
      <c r="J587" s="61" t="n">
        <v>20.0</v>
      </c>
      <c r="K587" s="61" t="s">
        <v>434</v>
      </c>
      <c r="L587" s="61" t="s">
        <v>435</v>
      </c>
      <c r="M587" s="42"/>
      <c r="N587" s="46" t="e">
        <f t="shared" si="29"/>
        <v>#DIV/0!</v>
      </c>
      <c r="O587" s="46" t="str">
        <f t="shared" si="30"/>
        <v/>
      </c>
      <c r="P587" s="46">
        <f t="shared" ref="P587:P650" si="31">IF(C587="",1,COUNTIFS($C$9:$C$1499,C587,$H$9:$H$1499,H587))</f>
        <v>1</v>
      </c>
      <c r="Q587" s="46"/>
      <c r="R587" s="45"/>
      <c r="S587" s="45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</row>
    <row r="588" spans="1:31" ht="14.25">
      <c r="A588" s="67" t="s">
        <v>705</v>
      </c>
      <c r="B588" s="68" t="s">
        <v>730</v>
      </c>
      <c r="C588" s="67" t="s">
        <v>471</v>
      </c>
      <c r="D588" s="75" t="n">
        <v>33.8</v>
      </c>
      <c r="E588" s="76" t="s">
        <v>0</v>
      </c>
      <c r="F588" s="57" t="str">
        <f>IFERROR(VLOOKUP(C588,$C$9:H587,4,FALSE),"")</f>
        <v/>
      </c>
      <c r="G588" s="61" t="str">
        <f>IFERROR(VLOOKUP(C588,$C$9:G587,5,FALSE),"")</f>
        <v/>
      </c>
      <c r="H588" s="61" t="str">
        <f>IFERROR(VLOOKUP(C588,$C$9:H587,6,FALSE),"")</f>
        <v/>
      </c>
      <c r="I588" s="61" t="s">
        <v>433</v>
      </c>
      <c r="J588" s="61" t="n">
        <v>33.8</v>
      </c>
      <c r="K588" s="61" t="s">
        <v>434</v>
      </c>
      <c r="L588" s="61" t="s">
        <v>435</v>
      </c>
      <c r="M588" s="42"/>
      <c r="N588" s="46" t="e">
        <f t="shared" si="29"/>
        <v>#DIV/0!</v>
      </c>
      <c r="O588" s="46" t="str">
        <f t="shared" si="30"/>
        <v/>
      </c>
      <c r="P588" s="46">
        <f t="shared" si="31"/>
        <v>1</v>
      </c>
      <c r="Q588" s="46"/>
      <c r="R588" s="45"/>
      <c r="S588" s="45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</row>
    <row r="589" spans="1:31" ht="14.25">
      <c r="A589" s="67" t="s">
        <v>705</v>
      </c>
      <c r="B589" s="68" t="s">
        <v>730</v>
      </c>
      <c r="C589" s="67" t="s">
        <v>432</v>
      </c>
      <c r="D589" s="75" t="n">
        <v>22.0</v>
      </c>
      <c r="E589" s="76" t="s">
        <v>0</v>
      </c>
      <c r="F589" s="57" t="str">
        <f>IFERROR(VLOOKUP(C589,$C$9:H588,4,FALSE),"")</f>
        <v/>
      </c>
      <c r="G589" s="61" t="s">
        <v>350</v>
      </c>
      <c r="H589" s="61" t="s">
        <v>404</v>
      </c>
      <c r="I589" s="61" t="s">
        <v>433</v>
      </c>
      <c r="J589" s="61" t="n">
        <v>22.0</v>
      </c>
      <c r="K589" s="61" t="s">
        <v>434</v>
      </c>
      <c r="L589" s="61" t="s">
        <v>435</v>
      </c>
      <c r="M589" s="42"/>
      <c r="N589" s="46" t="e">
        <f t="shared" si="29"/>
        <v>#DIV/0!</v>
      </c>
      <c r="O589" s="46" t="str">
        <f t="shared" si="30"/>
        <v/>
      </c>
      <c r="P589" s="46">
        <f t="shared" si="31"/>
        <v>1</v>
      </c>
      <c r="Q589" s="46"/>
      <c r="R589" s="45"/>
      <c r="S589" s="45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</row>
    <row r="590" spans="1:31" ht="14.25">
      <c r="A590" s="67" t="s">
        <v>705</v>
      </c>
      <c r="B590" s="68" t="s">
        <v>730</v>
      </c>
      <c r="C590" s="67" t="s">
        <v>439</v>
      </c>
      <c r="D590" s="75" t="n">
        <v>103.8</v>
      </c>
      <c r="E590" s="76" t="s">
        <v>0</v>
      </c>
      <c r="F590" s="57" t="str">
        <f>IFERROR(VLOOKUP(C590,$C$9:H589,4,FALSE),"")</f>
        <v/>
      </c>
      <c r="G590" s="61" t="s">
        <v>350</v>
      </c>
      <c r="H590" s="61" t="s">
        <v>404</v>
      </c>
      <c r="I590" s="61" t="s">
        <v>433</v>
      </c>
      <c r="J590" s="61" t="n">
        <v>103.8</v>
      </c>
      <c r="K590" s="61" t="s">
        <v>434</v>
      </c>
      <c r="L590" s="61" t="s">
        <v>435</v>
      </c>
      <c r="M590" s="42"/>
      <c r="N590" s="46" t="e">
        <f t="shared" si="29"/>
        <v>#DIV/0!</v>
      </c>
      <c r="O590" s="46" t="str">
        <f t="shared" si="30"/>
        <v/>
      </c>
      <c r="P590" s="46">
        <f t="shared" si="31"/>
        <v>1</v>
      </c>
      <c r="Q590" s="46"/>
      <c r="R590" s="45"/>
      <c r="S590" s="45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</row>
    <row r="591" spans="1:31" ht="14.25">
      <c r="A591" s="67" t="s">
        <v>705</v>
      </c>
      <c r="B591" s="68" t="s">
        <v>730</v>
      </c>
      <c r="C591" s="67" t="s">
        <v>441</v>
      </c>
      <c r="D591" s="75" t="n">
        <v>15.0</v>
      </c>
      <c r="E591" s="76" t="s">
        <v>0</v>
      </c>
      <c r="F591" s="57" t="str">
        <f>IFERROR(VLOOKUP(C591,$C$9:H590,4,FALSE),"")</f>
        <v/>
      </c>
      <c r="G591" s="61" t="str">
        <f>IFERROR(VLOOKUP(C591,$C$9:G590,5,FALSE),"")</f>
        <v/>
      </c>
      <c r="H591" s="61" t="str">
        <f>IFERROR(VLOOKUP(C591,$C$9:H590,6,FALSE),"")</f>
        <v/>
      </c>
      <c r="I591" s="61" t="s">
        <v>433</v>
      </c>
      <c r="J591" s="61" t="n">
        <v>15.0</v>
      </c>
      <c r="K591" s="61" t="s">
        <v>434</v>
      </c>
      <c r="L591" s="61" t="s">
        <v>435</v>
      </c>
      <c r="M591" s="42"/>
      <c r="N591" s="46" t="e">
        <f t="shared" si="29"/>
        <v>#DIV/0!</v>
      </c>
      <c r="O591" s="46" t="str">
        <f t="shared" si="30"/>
        <v/>
      </c>
      <c r="P591" s="46">
        <f t="shared" si="31"/>
        <v>1</v>
      </c>
      <c r="Q591" s="46"/>
      <c r="R591" s="45"/>
      <c r="S591" s="45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</row>
    <row r="592" spans="1:31" ht="14.25">
      <c r="A592" s="67" t="s">
        <v>705</v>
      </c>
      <c r="B592" s="68" t="s">
        <v>730</v>
      </c>
      <c r="C592" s="67" t="s">
        <v>441</v>
      </c>
      <c r="D592" s="75" t="n">
        <v>18.0</v>
      </c>
      <c r="E592" s="76" t="s">
        <v>0</v>
      </c>
      <c r="F592" s="57" t="str">
        <f>IFERROR(VLOOKUP(C592,$C$9:H591,4,FALSE),"")</f>
        <v/>
      </c>
      <c r="G592" s="61" t="str">
        <f>IFERROR(VLOOKUP(C592,$C$9:G591,5,FALSE),"")</f>
        <v/>
      </c>
      <c r="H592" s="61" t="str">
        <f>IFERROR(VLOOKUP(C592,$C$9:H591,6,FALSE),"")</f>
        <v/>
      </c>
      <c r="I592" s="61" t="s">
        <v>433</v>
      </c>
      <c r="J592" s="61" t="n">
        <v>18.0</v>
      </c>
      <c r="K592" s="61" t="s">
        <v>434</v>
      </c>
      <c r="L592" s="61" t="s">
        <v>435</v>
      </c>
      <c r="M592" s="42"/>
      <c r="N592" s="46" t="e">
        <f t="shared" si="29"/>
        <v>#DIV/0!</v>
      </c>
      <c r="O592" s="46" t="str">
        <f t="shared" si="30"/>
        <v/>
      </c>
      <c r="P592" s="46">
        <f t="shared" si="31"/>
        <v>1</v>
      </c>
      <c r="Q592" s="46"/>
      <c r="R592" s="45"/>
      <c r="S592" s="45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</row>
    <row r="593" spans="1:31" ht="14.25">
      <c r="A593" s="67" t="s">
        <v>705</v>
      </c>
      <c r="B593" s="68" t="s">
        <v>730</v>
      </c>
      <c r="C593" s="67" t="s">
        <v>513</v>
      </c>
      <c r="D593" s="75" t="n">
        <v>100.0</v>
      </c>
      <c r="E593" s="76" t="s">
        <v>0</v>
      </c>
      <c r="F593" s="57" t="str">
        <f>IFERROR(VLOOKUP(C593,$C$9:H592,4,FALSE),"")</f>
        <v/>
      </c>
      <c r="G593" s="61" t="str">
        <f>IFERROR(VLOOKUP(C593,$C$9:G592,5,FALSE),"")</f>
        <v/>
      </c>
      <c r="H593" s="61" t="str">
        <f>IFERROR(VLOOKUP(C593,$C$9:H592,6,FALSE),"")</f>
        <v/>
      </c>
      <c r="I593" s="61" t="s">
        <v>732</v>
      </c>
      <c r="J593" s="61" t="n">
        <v>100.0</v>
      </c>
      <c r="K593" s="61" t="s">
        <v>434</v>
      </c>
      <c r="L593" s="61" t="s">
        <v>435</v>
      </c>
      <c r="M593" s="42"/>
      <c r="N593" s="46" t="e">
        <f t="shared" si="29"/>
        <v>#DIV/0!</v>
      </c>
      <c r="O593" s="46" t="str">
        <f t="shared" si="30"/>
        <v/>
      </c>
      <c r="P593" s="46">
        <f t="shared" si="31"/>
        <v>1</v>
      </c>
      <c r="Q593" s="46"/>
      <c r="R593" s="45"/>
      <c r="S593" s="45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</row>
    <row r="594" spans="1:31" ht="14.25">
      <c r="A594" s="67" t="s">
        <v>705</v>
      </c>
      <c r="B594" s="68" t="s">
        <v>733</v>
      </c>
      <c r="C594" s="67" t="s">
        <v>589</v>
      </c>
      <c r="D594" s="75" t="n">
        <v>23.3</v>
      </c>
      <c r="E594" s="76" t="s">
        <v>0</v>
      </c>
      <c r="F594" s="57" t="str">
        <f>IFERROR(VLOOKUP(C594,$C$9:H593,4,FALSE),"")</f>
        <v/>
      </c>
      <c r="G594" s="61" t="s">
        <v>350</v>
      </c>
      <c r="H594" s="61" t="s">
        <v>404</v>
      </c>
      <c r="I594" s="61" t="s">
        <v>433</v>
      </c>
      <c r="J594" s="61" t="n">
        <v>23.3</v>
      </c>
      <c r="K594" s="61" t="s">
        <v>434</v>
      </c>
      <c r="L594" s="61" t="s">
        <v>435</v>
      </c>
      <c r="M594" s="42"/>
      <c r="N594" s="46" t="e">
        <f t="shared" si="29"/>
        <v>#DIV/0!</v>
      </c>
      <c r="O594" s="46" t="str">
        <f t="shared" si="30"/>
        <v/>
      </c>
      <c r="P594" s="46">
        <f t="shared" si="31"/>
        <v>1</v>
      </c>
      <c r="Q594" s="46"/>
      <c r="R594" s="45"/>
      <c r="S594" s="45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</row>
    <row r="595" spans="1:31" ht="14.25">
      <c r="A595" s="67" t="s">
        <v>705</v>
      </c>
      <c r="B595" s="68" t="s">
        <v>733</v>
      </c>
      <c r="C595" s="67" t="s">
        <v>494</v>
      </c>
      <c r="D595" s="75" t="n">
        <v>26.0</v>
      </c>
      <c r="E595" s="76" t="s">
        <v>0</v>
      </c>
      <c r="F595" s="57" t="str">
        <f>IFERROR(VLOOKUP(C595,$C$9:H594,4,FALSE),"")</f>
        <v/>
      </c>
      <c r="G595" s="61" t="s">
        <v>350</v>
      </c>
      <c r="H595" s="61" t="s">
        <v>404</v>
      </c>
      <c r="I595" s="61" t="s">
        <v>433</v>
      </c>
      <c r="J595" s="61" t="n">
        <v>26.0</v>
      </c>
      <c r="K595" s="61" t="s">
        <v>434</v>
      </c>
      <c r="L595" s="61" t="s">
        <v>435</v>
      </c>
      <c r="M595" s="42"/>
      <c r="N595" s="46" t="e">
        <f t="shared" si="29"/>
        <v>#DIV/0!</v>
      </c>
      <c r="O595" s="46" t="str">
        <f t="shared" si="30"/>
        <v/>
      </c>
      <c r="P595" s="46">
        <f t="shared" si="31"/>
        <v>1</v>
      </c>
      <c r="Q595" s="46"/>
      <c r="R595" s="45"/>
      <c r="S595" s="45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</row>
    <row r="596" spans="1:31" ht="14.25">
      <c r="A596" s="67" t="s">
        <v>705</v>
      </c>
      <c r="B596" s="68" t="s">
        <v>733</v>
      </c>
      <c r="C596" s="67" t="s">
        <v>439</v>
      </c>
      <c r="D596" s="75" t="n">
        <v>71.8</v>
      </c>
      <c r="E596" s="76" t="s">
        <v>0</v>
      </c>
      <c r="F596" s="57" t="str">
        <f>IFERROR(VLOOKUP(C596,$C$9:H595,4,FALSE),"")</f>
        <v/>
      </c>
      <c r="G596" s="61" t="s">
        <v>350</v>
      </c>
      <c r="H596" s="61" t="s">
        <v>404</v>
      </c>
      <c r="I596" s="61" t="s">
        <v>433</v>
      </c>
      <c r="J596" s="61" t="n">
        <v>71.8</v>
      </c>
      <c r="K596" s="61" t="s">
        <v>434</v>
      </c>
      <c r="L596" s="61" t="s">
        <v>435</v>
      </c>
      <c r="M596" s="42"/>
      <c r="N596" s="46" t="e">
        <f t="shared" si="29"/>
        <v>#DIV/0!</v>
      </c>
      <c r="O596" s="46" t="str">
        <f t="shared" si="30"/>
        <v/>
      </c>
      <c r="P596" s="46">
        <f t="shared" si="31"/>
        <v>1</v>
      </c>
      <c r="Q596" s="46"/>
      <c r="R596" s="45"/>
      <c r="S596" s="45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</row>
    <row r="597" spans="1:31" ht="14.25">
      <c r="A597" s="67" t="s">
        <v>705</v>
      </c>
      <c r="B597" s="68" t="s">
        <v>733</v>
      </c>
      <c r="C597" s="67" t="s">
        <v>439</v>
      </c>
      <c r="D597" s="75" t="n">
        <v>149.7</v>
      </c>
      <c r="E597" s="76" t="s">
        <v>0</v>
      </c>
      <c r="F597" s="57" t="str">
        <f>IFERROR(VLOOKUP(C597,$C$9:H596,4,FALSE),"")</f>
        <v/>
      </c>
      <c r="G597" s="61" t="s">
        <v>350</v>
      </c>
      <c r="H597" s="61" t="s">
        <v>404</v>
      </c>
      <c r="I597" s="61" t="s">
        <v>433</v>
      </c>
      <c r="J597" s="61" t="n">
        <v>149.7</v>
      </c>
      <c r="K597" s="61" t="s">
        <v>434</v>
      </c>
      <c r="L597" s="61" t="s">
        <v>435</v>
      </c>
      <c r="M597" s="42"/>
      <c r="N597" s="46" t="e">
        <f t="shared" si="29"/>
        <v>#DIV/0!</v>
      </c>
      <c r="O597" s="46" t="str">
        <f t="shared" si="30"/>
        <v/>
      </c>
      <c r="P597" s="46">
        <f t="shared" si="31"/>
        <v>1</v>
      </c>
      <c r="Q597" s="46"/>
      <c r="R597" s="45"/>
      <c r="S597" s="45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</row>
    <row r="598" spans="1:31" ht="14.25">
      <c r="A598" s="67" t="s">
        <v>707</v>
      </c>
      <c r="B598" s="68" t="s">
        <v>733</v>
      </c>
      <c r="C598" s="67" t="s">
        <v>489</v>
      </c>
      <c r="D598" s="75" t="n">
        <v>416.0</v>
      </c>
      <c r="E598" s="76" t="s">
        <v>0</v>
      </c>
      <c r="F598" s="57" t="str">
        <f>IFERROR(VLOOKUP(C598,$C$9:H597,4,FALSE),"")</f>
        <v/>
      </c>
      <c r="G598" s="61" t="str">
        <f>IFERROR(VLOOKUP(C598,$C$9:G597,5,FALSE),"")</f>
        <v/>
      </c>
      <c r="H598" s="61" t="str">
        <f>IFERROR(VLOOKUP(C598,$C$9:H597,6,FALSE),"")</f>
        <v/>
      </c>
      <c r="I598" s="61" t="s">
        <v>490</v>
      </c>
      <c r="J598" s="61" t="n">
        <v>0.0</v>
      </c>
      <c r="K598" s="61"/>
      <c r="L598" s="61" t="s">
        <v>445</v>
      </c>
      <c r="M598" s="42"/>
      <c r="N598" s="46" t="e">
        <f t="shared" si="29"/>
        <v>#DIV/0!</v>
      </c>
      <c r="O598" s="46" t="str">
        <f t="shared" si="30"/>
        <v/>
      </c>
      <c r="P598" s="46">
        <f t="shared" si="31"/>
        <v>1</v>
      </c>
      <c r="Q598" s="46"/>
      <c r="R598" s="45"/>
      <c r="S598" s="45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</row>
    <row r="599" spans="1:31" ht="14.25">
      <c r="A599" s="67" t="s">
        <v>707</v>
      </c>
      <c r="B599" s="68" t="s">
        <v>733</v>
      </c>
      <c r="C599" s="67" t="s">
        <v>453</v>
      </c>
      <c r="D599" s="75" t="n">
        <v>100.0</v>
      </c>
      <c r="E599" s="76" t="s">
        <v>0</v>
      </c>
      <c r="F599" s="57" t="str">
        <f>IFERROR(VLOOKUP(C599,$C$9:H598,4,FALSE),"")</f>
        <v/>
      </c>
      <c r="G599" s="61" t="str">
        <f>IFERROR(VLOOKUP(C599,$C$9:G598,5,FALSE),"")</f>
        <v/>
      </c>
      <c r="H599" s="61" t="str">
        <f>IFERROR(VLOOKUP(C599,$C$9:H598,6,FALSE),"")</f>
        <v/>
      </c>
      <c r="I599" s="61"/>
      <c r="J599" s="61" t="n">
        <v>0.0</v>
      </c>
      <c r="K599" s="61"/>
      <c r="L599" s="61" t="s">
        <v>445</v>
      </c>
      <c r="M599" s="42"/>
      <c r="N599" s="46" t="e">
        <f t="shared" si="29"/>
        <v>#DIV/0!</v>
      </c>
      <c r="O599" s="46" t="str">
        <f t="shared" si="30"/>
        <v/>
      </c>
      <c r="P599" s="46">
        <f t="shared" si="31"/>
        <v>1</v>
      </c>
      <c r="Q599" s="46"/>
      <c r="R599" s="45"/>
      <c r="S599" s="45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</row>
    <row r="600" spans="1:31" ht="14.25">
      <c r="A600" s="67" t="s">
        <v>707</v>
      </c>
      <c r="B600" s="79" t="s">
        <v>733</v>
      </c>
      <c r="C600" s="77" t="s">
        <v>547</v>
      </c>
      <c r="D600" s="75" t="n">
        <v>300.0</v>
      </c>
      <c r="E600" s="76" t="s">
        <v>1</v>
      </c>
      <c r="F600" s="57" t="str">
        <f>IFERROR(VLOOKUP(C600,$C$9:H599,4,FALSE),"")</f>
        <v/>
      </c>
      <c r="G600" s="61" t="str">
        <f>IFERROR(VLOOKUP(C600,$C$9:G599,5,FALSE),"")</f>
        <v/>
      </c>
      <c r="H600" s="61" t="str">
        <f>IFERROR(VLOOKUP(C600,$C$9:H599,6,FALSE),"")</f>
        <v/>
      </c>
      <c r="I600" s="61" t="s">
        <v>570</v>
      </c>
      <c r="J600" s="61" t="n">
        <v>0.0</v>
      </c>
      <c r="K600" s="61"/>
      <c r="L600" s="61" t="s">
        <v>445</v>
      </c>
      <c r="M600" s="42"/>
      <c r="N600" s="46" t="e">
        <f t="shared" si="29"/>
        <v>#DIV/0!</v>
      </c>
      <c r="O600" s="46" t="str">
        <f t="shared" si="30"/>
        <v/>
      </c>
      <c r="P600" s="46">
        <f t="shared" si="31"/>
        <v>1</v>
      </c>
      <c r="Q600" s="46"/>
      <c r="R600" s="45"/>
      <c r="S600" s="45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</row>
    <row r="601" spans="1:31" ht="14.25">
      <c r="A601" s="67" t="s">
        <v>705</v>
      </c>
      <c r="B601" s="68" t="s">
        <v>734</v>
      </c>
      <c r="C601" s="67" t="s">
        <v>525</v>
      </c>
      <c r="D601" s="75" t="n">
        <v>54.7</v>
      </c>
      <c r="E601" s="76" t="s">
        <v>0</v>
      </c>
      <c r="F601" s="57" t="str">
        <f>IFERROR(VLOOKUP(C601,$C$9:H600,4,FALSE),"")</f>
        <v/>
      </c>
      <c r="G601" s="61" t="s">
        <v>352</v>
      </c>
      <c r="H601" s="61" t="s">
        <v>293</v>
      </c>
      <c r="I601" s="61" t="s">
        <v>433</v>
      </c>
      <c r="J601" s="61" t="n">
        <v>54.7</v>
      </c>
      <c r="K601" s="61" t="s">
        <v>434</v>
      </c>
      <c r="L601" s="61" t="s">
        <v>435</v>
      </c>
      <c r="M601" s="42"/>
      <c r="N601" s="46" t="e">
        <f t="shared" si="29"/>
        <v>#DIV/0!</v>
      </c>
      <c r="O601" s="46" t="str">
        <f t="shared" si="30"/>
        <v/>
      </c>
      <c r="P601" s="46">
        <f t="shared" si="31"/>
        <v>1</v>
      </c>
      <c r="Q601" s="46"/>
      <c r="R601" s="45"/>
      <c r="S601" s="45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</row>
    <row r="602" spans="1:31" ht="14.25">
      <c r="A602" s="67" t="s">
        <v>705</v>
      </c>
      <c r="B602" s="68" t="s">
        <v>734</v>
      </c>
      <c r="C602" s="67" t="s">
        <v>735</v>
      </c>
      <c r="D602" s="75" t="n">
        <v>67.0</v>
      </c>
      <c r="E602" s="76" t="s">
        <v>0</v>
      </c>
      <c r="F602" s="57" t="str">
        <f>IFERROR(VLOOKUP(C602,$C$9:H601,4,FALSE),"")</f>
        <v/>
      </c>
      <c r="G602" s="61" t="str">
        <f>IFERROR(VLOOKUP(C602,$C$9:G601,5,FALSE),"")</f>
        <v/>
      </c>
      <c r="H602" s="61" t="str">
        <f>IFERROR(VLOOKUP(C602,$C$9:H601,6,FALSE),"")</f>
        <v/>
      </c>
      <c r="I602" s="61" t="s">
        <v>433</v>
      </c>
      <c r="J602" s="61" t="n">
        <v>67.0</v>
      </c>
      <c r="K602" s="61" t="s">
        <v>434</v>
      </c>
      <c r="L602" s="61" t="s">
        <v>435</v>
      </c>
      <c r="M602" s="42"/>
      <c r="N602" s="46" t="e">
        <f t="shared" si="29"/>
        <v>#DIV/0!</v>
      </c>
      <c r="O602" s="46" t="str">
        <f t="shared" si="30"/>
        <v/>
      </c>
      <c r="P602" s="46">
        <f t="shared" si="31"/>
        <v>1</v>
      </c>
      <c r="Q602" s="46"/>
      <c r="R602" s="45"/>
      <c r="S602" s="45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</row>
    <row r="603" spans="1:31" ht="14.25">
      <c r="A603" s="67" t="s">
        <v>705</v>
      </c>
      <c r="B603" s="68" t="s">
        <v>734</v>
      </c>
      <c r="C603" s="67" t="s">
        <v>441</v>
      </c>
      <c r="D603" s="75" t="n">
        <v>48.0</v>
      </c>
      <c r="E603" s="76" t="s">
        <v>0</v>
      </c>
      <c r="F603" s="57" t="str">
        <f>IFERROR(VLOOKUP(C603,$C$9:H602,4,FALSE),"")</f>
        <v/>
      </c>
      <c r="G603" s="61" t="str">
        <f>IFERROR(VLOOKUP(C603,$C$9:G602,5,FALSE),"")</f>
        <v/>
      </c>
      <c r="H603" s="61" t="str">
        <f>IFERROR(VLOOKUP(C603,$C$9:H602,6,FALSE),"")</f>
        <v/>
      </c>
      <c r="I603" s="61" t="s">
        <v>433</v>
      </c>
      <c r="J603" s="61" t="n">
        <v>48.0</v>
      </c>
      <c r="K603" s="61" t="s">
        <v>434</v>
      </c>
      <c r="L603" s="61" t="s">
        <v>435</v>
      </c>
      <c r="M603" s="42"/>
      <c r="N603" s="46" t="e">
        <f t="shared" si="29"/>
        <v>#DIV/0!</v>
      </c>
      <c r="O603" s="46" t="str">
        <f t="shared" si="30"/>
        <v/>
      </c>
      <c r="P603" s="46">
        <f t="shared" si="31"/>
        <v>1</v>
      </c>
      <c r="Q603" s="46"/>
      <c r="R603" s="45"/>
      <c r="S603" s="45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</row>
    <row r="604" spans="1:31" ht="14.25">
      <c r="A604" s="67" t="s">
        <v>705</v>
      </c>
      <c r="B604" s="68" t="s">
        <v>734</v>
      </c>
      <c r="C604" s="67" t="s">
        <v>441</v>
      </c>
      <c r="D604" s="75" t="n">
        <v>15.0</v>
      </c>
      <c r="E604" s="76" t="s">
        <v>0</v>
      </c>
      <c r="F604" s="57" t="str">
        <f>IFERROR(VLOOKUP(C604,$C$9:H603,4,FALSE),"")</f>
        <v/>
      </c>
      <c r="G604" s="61" t="str">
        <f>IFERROR(VLOOKUP(C604,$C$9:G603,5,FALSE),"")</f>
        <v/>
      </c>
      <c r="H604" s="61" t="str">
        <f>IFERROR(VLOOKUP(C604,$C$9:H603,6,FALSE),"")</f>
        <v/>
      </c>
      <c r="I604" s="61" t="s">
        <v>433</v>
      </c>
      <c r="J604" s="61" t="n">
        <v>15.0</v>
      </c>
      <c r="K604" s="61" t="s">
        <v>434</v>
      </c>
      <c r="L604" s="61" t="s">
        <v>435</v>
      </c>
      <c r="M604" s="42"/>
      <c r="N604" s="46" t="e">
        <f t="shared" si="29"/>
        <v>#DIV/0!</v>
      </c>
      <c r="O604" s="46" t="str">
        <f t="shared" si="30"/>
        <v/>
      </c>
      <c r="P604" s="46">
        <f t="shared" si="31"/>
        <v>1</v>
      </c>
      <c r="Q604" s="46"/>
      <c r="R604" s="45"/>
      <c r="S604" s="45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</row>
    <row r="605" spans="1:31" ht="14.25">
      <c r="A605" s="67" t="s">
        <v>705</v>
      </c>
      <c r="B605" s="68" t="s">
        <v>734</v>
      </c>
      <c r="C605" s="67" t="s">
        <v>441</v>
      </c>
      <c r="D605" s="75" t="n">
        <v>18.0</v>
      </c>
      <c r="E605" s="76" t="s">
        <v>0</v>
      </c>
      <c r="F605" s="57" t="str">
        <f>IFERROR(VLOOKUP(C605,$C$9:H604,4,FALSE),"")</f>
        <v/>
      </c>
      <c r="G605" s="61" t="str">
        <f>IFERROR(VLOOKUP(C605,$C$9:G604,5,FALSE),"")</f>
        <v/>
      </c>
      <c r="H605" s="61" t="str">
        <f>IFERROR(VLOOKUP(C605,$C$9:H604,6,FALSE),"")</f>
        <v/>
      </c>
      <c r="I605" s="61" t="s">
        <v>433</v>
      </c>
      <c r="J605" s="61" t="n">
        <v>18.0</v>
      </c>
      <c r="K605" s="61" t="s">
        <v>434</v>
      </c>
      <c r="L605" s="61" t="s">
        <v>435</v>
      </c>
      <c r="M605" s="42"/>
      <c r="N605" s="46" t="e">
        <f t="shared" si="29"/>
        <v>#DIV/0!</v>
      </c>
      <c r="O605" s="46" t="str">
        <f t="shared" si="30"/>
        <v/>
      </c>
      <c r="P605" s="46">
        <f t="shared" si="31"/>
        <v>1</v>
      </c>
      <c r="Q605" s="46"/>
      <c r="R605" s="45"/>
      <c r="S605" s="45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</row>
    <row r="606" spans="1:31" ht="14.25">
      <c r="A606" s="67" t="s">
        <v>705</v>
      </c>
      <c r="B606" s="68" t="s">
        <v>734</v>
      </c>
      <c r="C606" s="67" t="s">
        <v>440</v>
      </c>
      <c r="D606" s="75" t="n">
        <v>37.5</v>
      </c>
      <c r="E606" s="76" t="s">
        <v>0</v>
      </c>
      <c r="F606" s="57" t="str">
        <f>IFERROR(VLOOKUP(C606,$C$9:H605,4,FALSE),"")</f>
        <v/>
      </c>
      <c r="G606" s="61" t="str">
        <f>IFERROR(VLOOKUP(C606,$C$9:G605,5,FALSE),"")</f>
        <v/>
      </c>
      <c r="H606" s="61" t="str">
        <f>IFERROR(VLOOKUP(C606,$C$9:H605,6,FALSE),"")</f>
        <v/>
      </c>
      <c r="I606" s="61" t="s">
        <v>433</v>
      </c>
      <c r="J606" s="61" t="n">
        <v>37.5</v>
      </c>
      <c r="K606" s="61" t="s">
        <v>434</v>
      </c>
      <c r="L606" s="61" t="s">
        <v>435</v>
      </c>
      <c r="M606" s="42"/>
      <c r="N606" s="46" t="e">
        <f t="shared" si="29"/>
        <v>#DIV/0!</v>
      </c>
      <c r="O606" s="46" t="str">
        <f t="shared" si="30"/>
        <v/>
      </c>
      <c r="P606" s="46">
        <f t="shared" si="31"/>
        <v>1</v>
      </c>
      <c r="Q606" s="46"/>
      <c r="R606" s="45"/>
      <c r="S606" s="45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</row>
    <row r="607" spans="1:31" ht="14.25">
      <c r="A607" s="67" t="s">
        <v>705</v>
      </c>
      <c r="B607" s="68" t="s">
        <v>734</v>
      </c>
      <c r="C607" s="67" t="s">
        <v>439</v>
      </c>
      <c r="D607" s="75" t="n">
        <v>110.2</v>
      </c>
      <c r="E607" s="76" t="s">
        <v>0</v>
      </c>
      <c r="F607" s="57" t="str">
        <f>IFERROR(VLOOKUP(C607,$C$9:H606,4,FALSE),"")</f>
        <v/>
      </c>
      <c r="G607" s="61" t="s">
        <v>350</v>
      </c>
      <c r="H607" s="61" t="s">
        <v>404</v>
      </c>
      <c r="I607" s="61" t="s">
        <v>433</v>
      </c>
      <c r="J607" s="61" t="n">
        <v>110.2</v>
      </c>
      <c r="K607" s="61" t="s">
        <v>434</v>
      </c>
      <c r="L607" s="61" t="s">
        <v>435</v>
      </c>
      <c r="M607" s="42"/>
      <c r="N607" s="46" t="e">
        <f t="shared" si="29"/>
        <v>#DIV/0!</v>
      </c>
      <c r="O607" s="46" t="str">
        <f t="shared" si="30"/>
        <v/>
      </c>
      <c r="P607" s="46">
        <f t="shared" si="31"/>
        <v>1</v>
      </c>
      <c r="Q607" s="46"/>
      <c r="R607" s="45"/>
      <c r="S607" s="45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</row>
    <row r="608" spans="1:31" ht="14.25">
      <c r="A608" s="67" t="s">
        <v>705</v>
      </c>
      <c r="B608" s="68" t="s">
        <v>734</v>
      </c>
      <c r="C608" s="67" t="s">
        <v>439</v>
      </c>
      <c r="D608" s="75" t="n">
        <v>120.02</v>
      </c>
      <c r="E608" s="76" t="s">
        <v>0</v>
      </c>
      <c r="F608" s="57" t="str">
        <f>IFERROR(VLOOKUP(C608,$C$9:H607,4,FALSE),"")</f>
        <v/>
      </c>
      <c r="G608" s="61" t="s">
        <v>350</v>
      </c>
      <c r="H608" s="61" t="s">
        <v>404</v>
      </c>
      <c r="I608" s="61" t="s">
        <v>433</v>
      </c>
      <c r="J608" s="61" t="n">
        <v>120.02</v>
      </c>
      <c r="K608" s="61" t="s">
        <v>434</v>
      </c>
      <c r="L608" s="61" t="s">
        <v>435</v>
      </c>
      <c r="M608" s="42"/>
      <c r="N608" s="46" t="e">
        <f t="shared" si="29"/>
        <v>#DIV/0!</v>
      </c>
      <c r="O608" s="46" t="str">
        <f t="shared" si="30"/>
        <v/>
      </c>
      <c r="P608" s="46">
        <f t="shared" si="31"/>
        <v>1</v>
      </c>
      <c r="Q608" s="46"/>
      <c r="R608" s="45"/>
      <c r="S608" s="45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</row>
    <row r="609" spans="1:31" ht="14.25">
      <c r="A609" s="67" t="s">
        <v>705</v>
      </c>
      <c r="B609" s="68" t="s">
        <v>734</v>
      </c>
      <c r="C609" s="67" t="s">
        <v>458</v>
      </c>
      <c r="D609" s="75" t="n">
        <v>3.0</v>
      </c>
      <c r="E609" s="76" t="s">
        <v>0</v>
      </c>
      <c r="F609" s="57" t="str">
        <f>IFERROR(VLOOKUP(C609,$C$9:H608,4,FALSE),"")</f>
        <v/>
      </c>
      <c r="G609" s="61" t="s">
        <v>350</v>
      </c>
      <c r="H609" s="61" t="s">
        <v>404</v>
      </c>
      <c r="I609" s="61" t="s">
        <v>433</v>
      </c>
      <c r="J609" s="61" t="n">
        <v>3.0</v>
      </c>
      <c r="K609" s="61" t="s">
        <v>434</v>
      </c>
      <c r="L609" s="61" t="s">
        <v>435</v>
      </c>
      <c r="M609" s="42"/>
      <c r="N609" s="46" t="e">
        <f t="shared" si="29"/>
        <v>#DIV/0!</v>
      </c>
      <c r="O609" s="46" t="str">
        <f t="shared" si="30"/>
        <v/>
      </c>
      <c r="P609" s="46">
        <f t="shared" si="31"/>
        <v>1</v>
      </c>
      <c r="Q609" s="46"/>
      <c r="R609" s="45"/>
      <c r="S609" s="45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</row>
    <row r="610" spans="1:31" ht="14.25">
      <c r="A610" s="67" t="s">
        <v>718</v>
      </c>
      <c r="B610" s="79" t="s">
        <v>734</v>
      </c>
      <c r="C610" s="77" t="s">
        <v>736</v>
      </c>
      <c r="D610" s="75" t="n">
        <v>9.0</v>
      </c>
      <c r="E610" s="76" t="s">
        <v>0</v>
      </c>
      <c r="F610" s="57" t="str">
        <f>IFERROR(VLOOKUP(C610,$C$9:H609,4,FALSE),"")</f>
        <v/>
      </c>
      <c r="G610" s="61" t="str">
        <f>IFERROR(VLOOKUP(C610,$C$9:G609,5,FALSE),"")</f>
        <v/>
      </c>
      <c r="H610" s="61" t="str">
        <f>IFERROR(VLOOKUP(C610,$C$9:H609,6,FALSE),"")</f>
        <v/>
      </c>
      <c r="I610" s="61" t="s">
        <v>433</v>
      </c>
      <c r="J610" s="61" t="n">
        <v>9.0</v>
      </c>
      <c r="K610" s="61" t="s">
        <v>434</v>
      </c>
      <c r="L610" s="61" t="s">
        <v>435</v>
      </c>
      <c r="M610" s="42"/>
      <c r="N610" s="46" t="e">
        <f t="shared" si="29"/>
        <v>#DIV/0!</v>
      </c>
      <c r="O610" s="46" t="str">
        <f t="shared" si="30"/>
        <v/>
      </c>
      <c r="P610" s="46">
        <f t="shared" si="31"/>
        <v>1</v>
      </c>
      <c r="Q610" s="46"/>
      <c r="R610" s="45"/>
      <c r="S610" s="45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</row>
    <row r="611" spans="1:31" ht="14.25">
      <c r="A611" s="67" t="s">
        <v>705</v>
      </c>
      <c r="B611" s="79" t="s">
        <v>737</v>
      </c>
      <c r="C611" s="77" t="s">
        <v>738</v>
      </c>
      <c r="D611" s="75" t="n">
        <v>22.0</v>
      </c>
      <c r="E611" s="76" t="s">
        <v>0</v>
      </c>
      <c r="F611" s="57" t="str">
        <f>IFERROR(VLOOKUP(C611,$C$9:H610,4,FALSE),"")</f>
        <v/>
      </c>
      <c r="G611" s="61" t="s">
        <v>350</v>
      </c>
      <c r="H611" s="61" t="s">
        <v>404</v>
      </c>
      <c r="I611" s="61" t="s">
        <v>433</v>
      </c>
      <c r="J611" s="61" t="n">
        <v>22.0</v>
      </c>
      <c r="K611" s="61" t="s">
        <v>434</v>
      </c>
      <c r="L611" s="61" t="s">
        <v>435</v>
      </c>
      <c r="M611" s="42"/>
      <c r="N611" s="46" t="e">
        <f t="shared" si="29"/>
        <v>#DIV/0!</v>
      </c>
      <c r="O611" s="46" t="str">
        <f t="shared" si="30"/>
        <v/>
      </c>
      <c r="P611" s="46">
        <f t="shared" si="31"/>
        <v>1</v>
      </c>
      <c r="Q611" s="46"/>
      <c r="R611" s="45"/>
      <c r="S611" s="45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</row>
    <row r="612" spans="1:31" ht="14.25">
      <c r="A612" s="67" t="s">
        <v>707</v>
      </c>
      <c r="B612" s="68" t="s">
        <v>737</v>
      </c>
      <c r="C612" s="67" t="s">
        <v>739</v>
      </c>
      <c r="D612" s="75" t="n">
        <v>700.0</v>
      </c>
      <c r="E612" s="76" t="s">
        <v>1</v>
      </c>
      <c r="F612" s="57" t="str">
        <f>IFERROR(VLOOKUP(C612,$C$9:H611,4,FALSE),"")</f>
        <v/>
      </c>
      <c r="G612" s="61" t="str">
        <f>IFERROR(VLOOKUP(C612,$C$9:G611,5,FALSE),"")</f>
        <v/>
      </c>
      <c r="H612" s="61" t="str">
        <f>IFERROR(VLOOKUP(C612,$C$9:H611,6,FALSE),"")</f>
        <v/>
      </c>
      <c r="I612" s="61" t="s">
        <v>492</v>
      </c>
      <c r="J612" s="61" t="n">
        <v>0.0</v>
      </c>
      <c r="K612" s="61"/>
      <c r="L612" s="61" t="s">
        <v>445</v>
      </c>
      <c r="M612" s="42"/>
      <c r="N612" s="46" t="e">
        <f t="shared" si="29"/>
        <v>#DIV/0!</v>
      </c>
      <c r="O612" s="46" t="str">
        <f t="shared" si="30"/>
        <v/>
      </c>
      <c r="P612" s="46">
        <f t="shared" si="31"/>
        <v>1</v>
      </c>
      <c r="Q612" s="46"/>
      <c r="R612" s="45"/>
      <c r="S612" s="45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</row>
    <row r="613" spans="1:31" ht="14.25">
      <c r="A613" s="67" t="s">
        <v>705</v>
      </c>
      <c r="B613" s="68" t="s">
        <v>740</v>
      </c>
      <c r="C613" s="67" t="s">
        <v>481</v>
      </c>
      <c r="D613" s="75" t="n">
        <v>39.9</v>
      </c>
      <c r="E613" s="76" t="s">
        <v>0</v>
      </c>
      <c r="F613" s="57" t="str">
        <f>IFERROR(VLOOKUP(C613,$C$9:H612,4,FALSE),"")</f>
        <v/>
      </c>
      <c r="G613" s="61" t="str">
        <f>IFERROR(VLOOKUP(C613,$C$9:G612,5,FALSE),"")</f>
        <v/>
      </c>
      <c r="H613" s="61" t="str">
        <f>IFERROR(VLOOKUP(C613,$C$9:H612,6,FALSE),"")</f>
        <v/>
      </c>
      <c r="I613" s="61" t="s">
        <v>437</v>
      </c>
      <c r="J613" s="61" t="n">
        <v>39.9</v>
      </c>
      <c r="K613" s="61" t="s">
        <v>434</v>
      </c>
      <c r="L613" s="61" t="s">
        <v>435</v>
      </c>
      <c r="M613" s="42"/>
      <c r="N613" s="46" t="e">
        <f t="shared" si="29"/>
        <v>#DIV/0!</v>
      </c>
      <c r="O613" s="46" t="str">
        <f t="shared" si="30"/>
        <v/>
      </c>
      <c r="P613" s="46">
        <f t="shared" si="31"/>
        <v>1</v>
      </c>
      <c r="Q613" s="46"/>
      <c r="R613" s="45"/>
      <c r="S613" s="45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</row>
    <row r="614" spans="1:31" ht="14.25">
      <c r="A614" s="67" t="s">
        <v>705</v>
      </c>
      <c r="B614" s="68" t="s">
        <v>740</v>
      </c>
      <c r="C614" s="67" t="s">
        <v>589</v>
      </c>
      <c r="D614" s="75" t="n">
        <v>100.0</v>
      </c>
      <c r="E614" s="76" t="s">
        <v>0</v>
      </c>
      <c r="F614" s="57" t="str">
        <f>IFERROR(VLOOKUP(C614,$C$9:H613,4,FALSE),"")</f>
        <v/>
      </c>
      <c r="G614" s="61" t="s">
        <v>350</v>
      </c>
      <c r="H614" s="61" t="s">
        <v>404</v>
      </c>
      <c r="I614" s="61" t="s">
        <v>433</v>
      </c>
      <c r="J614" s="61" t="n">
        <v>100.0</v>
      </c>
      <c r="K614" s="61" t="s">
        <v>434</v>
      </c>
      <c r="L614" s="61" t="s">
        <v>435</v>
      </c>
      <c r="M614" s="42"/>
      <c r="N614" s="46" t="e">
        <f t="shared" si="29"/>
        <v>#DIV/0!</v>
      </c>
      <c r="O614" s="46" t="str">
        <f t="shared" si="30"/>
        <v/>
      </c>
      <c r="P614" s="46">
        <f t="shared" si="31"/>
        <v>1</v>
      </c>
      <c r="Q614" s="46"/>
      <c r="R614" s="45"/>
      <c r="S614" s="45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</row>
    <row r="615" spans="1:31" ht="14.25">
      <c r="A615" s="67" t="s">
        <v>705</v>
      </c>
      <c r="B615" s="68" t="s">
        <v>740</v>
      </c>
      <c r="C615" s="67" t="s">
        <v>475</v>
      </c>
      <c r="D615" s="75" t="n">
        <v>14.0</v>
      </c>
      <c r="E615" s="76" t="s">
        <v>0</v>
      </c>
      <c r="F615" s="57" t="str">
        <f>IFERROR(VLOOKUP(C615,$C$9:H614,4,FALSE),"")</f>
        <v/>
      </c>
      <c r="G615" s="61" t="str">
        <f>IFERROR(VLOOKUP(C615,$C$9:G614,5,FALSE),"")</f>
        <v/>
      </c>
      <c r="H615" s="61" t="str">
        <f>IFERROR(VLOOKUP(C615,$C$9:H614,6,FALSE),"")</f>
        <v/>
      </c>
      <c r="I615" s="61" t="s">
        <v>433</v>
      </c>
      <c r="J615" s="61" t="n">
        <v>14.0</v>
      </c>
      <c r="K615" s="61" t="s">
        <v>434</v>
      </c>
      <c r="L615" s="61" t="s">
        <v>435</v>
      </c>
      <c r="M615" s="42"/>
      <c r="N615" s="46" t="e">
        <f t="shared" si="29"/>
        <v>#DIV/0!</v>
      </c>
      <c r="O615" s="46" t="str">
        <f t="shared" si="30"/>
        <v/>
      </c>
      <c r="P615" s="46">
        <f t="shared" si="31"/>
        <v>1</v>
      </c>
      <c r="Q615" s="46"/>
      <c r="R615" s="45"/>
      <c r="S615" s="45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</row>
    <row r="616" spans="1:31" ht="14.25">
      <c r="A616" s="67" t="s">
        <v>705</v>
      </c>
      <c r="B616" s="68" t="s">
        <v>740</v>
      </c>
      <c r="C616" s="67" t="s">
        <v>741</v>
      </c>
      <c r="D616" s="75" t="n">
        <v>9.8</v>
      </c>
      <c r="E616" s="76" t="s">
        <v>0</v>
      </c>
      <c r="F616" s="57" t="str">
        <f>IFERROR(VLOOKUP(C616,$C$9:H615,4,FALSE),"")</f>
        <v/>
      </c>
      <c r="G616" s="61" t="s">
        <v>350</v>
      </c>
      <c r="H616" s="61" t="s">
        <v>322</v>
      </c>
      <c r="I616" s="61" t="s">
        <v>433</v>
      </c>
      <c r="J616" s="61" t="n">
        <v>9.8</v>
      </c>
      <c r="K616" s="61" t="s">
        <v>434</v>
      </c>
      <c r="L616" s="61" t="s">
        <v>435</v>
      </c>
      <c r="M616" s="42"/>
      <c r="N616" s="46" t="e">
        <f t="shared" si="29"/>
        <v>#DIV/0!</v>
      </c>
      <c r="O616" s="46" t="str">
        <f t="shared" si="30"/>
        <v/>
      </c>
      <c r="P616" s="46">
        <f t="shared" si="31"/>
        <v>1</v>
      </c>
      <c r="Q616" s="46"/>
      <c r="R616" s="45"/>
      <c r="S616" s="45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</row>
    <row r="617" spans="1:31" ht="14.25">
      <c r="A617" s="67" t="s">
        <v>705</v>
      </c>
      <c r="B617" s="68" t="s">
        <v>740</v>
      </c>
      <c r="C617" s="67" t="s">
        <v>531</v>
      </c>
      <c r="D617" s="75" t="n">
        <v>-29.0</v>
      </c>
      <c r="E617" s="76" t="s">
        <v>0</v>
      </c>
      <c r="F617" s="57" t="str">
        <f>IFERROR(VLOOKUP(C617,$C$9:H616,4,FALSE),"")</f>
        <v/>
      </c>
      <c r="G617" s="61" t="str">
        <f>IFERROR(VLOOKUP(C617,$C$9:G616,5,FALSE),"")</f>
        <v/>
      </c>
      <c r="H617" s="61" t="str">
        <f>IFERROR(VLOOKUP(C617,$C$9:H616,6,FALSE),"")</f>
        <v/>
      </c>
      <c r="I617" s="61" t="s">
        <v>479</v>
      </c>
      <c r="J617" s="61" t="n">
        <v>29.0</v>
      </c>
      <c r="K617" s="61" t="s">
        <v>434</v>
      </c>
      <c r="L617" s="61" t="s">
        <v>435</v>
      </c>
      <c r="M617" s="42"/>
      <c r="N617" s="46" t="e">
        <f t="shared" si="29"/>
        <v>#DIV/0!</v>
      </c>
      <c r="O617" s="46" t="str">
        <f t="shared" si="30"/>
        <v/>
      </c>
      <c r="P617" s="46">
        <f t="shared" si="31"/>
        <v>1</v>
      </c>
      <c r="Q617" s="46"/>
      <c r="R617" s="45"/>
      <c r="S617" s="45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</row>
    <row r="618" spans="1:31" ht="14.25">
      <c r="A618" s="67" t="s">
        <v>705</v>
      </c>
      <c r="B618" s="68" t="s">
        <v>740</v>
      </c>
      <c r="C618" s="67" t="s">
        <v>441</v>
      </c>
      <c r="D618" s="75" t="n">
        <v>48.0</v>
      </c>
      <c r="E618" s="76" t="s">
        <v>0</v>
      </c>
      <c r="F618" s="57" t="str">
        <f>IFERROR(VLOOKUP(C618,$C$9:H617,4,FALSE),"")</f>
        <v/>
      </c>
      <c r="G618" s="61" t="str">
        <f>IFERROR(VLOOKUP(C618,$C$9:G617,5,FALSE),"")</f>
        <v/>
      </c>
      <c r="H618" s="61" t="str">
        <f>IFERROR(VLOOKUP(C618,$C$9:H617,6,FALSE),"")</f>
        <v/>
      </c>
      <c r="I618" s="61" t="s">
        <v>433</v>
      </c>
      <c r="J618" s="61" t="n">
        <v>48.0</v>
      </c>
      <c r="K618" s="61" t="s">
        <v>434</v>
      </c>
      <c r="L618" s="61" t="s">
        <v>435</v>
      </c>
      <c r="M618" s="42"/>
      <c r="N618" s="46" t="e">
        <f t="shared" si="29"/>
        <v>#DIV/0!</v>
      </c>
      <c r="O618" s="46" t="str">
        <f t="shared" si="30"/>
        <v/>
      </c>
      <c r="P618" s="46">
        <f t="shared" si="31"/>
        <v>1</v>
      </c>
      <c r="Q618" s="46"/>
      <c r="R618" s="45"/>
      <c r="S618" s="45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</row>
    <row r="619" spans="1:31" ht="14.25">
      <c r="A619" s="67" t="s">
        <v>719</v>
      </c>
      <c r="B619" s="79" t="s">
        <v>740</v>
      </c>
      <c r="C619" s="77" t="s">
        <v>503</v>
      </c>
      <c r="D619" s="75" t="n">
        <v>307.9</v>
      </c>
      <c r="E619" s="76" t="s">
        <v>0</v>
      </c>
      <c r="F619" s="57" t="str">
        <f>IFERROR(VLOOKUP(C619,$C$9:H618,4,FALSE),"")</f>
        <v/>
      </c>
      <c r="G619" s="61" t="str">
        <f>IFERROR(VLOOKUP(C619,$C$9:G618,5,FALSE),"")</f>
        <v/>
      </c>
      <c r="H619" s="61" t="str">
        <f>IFERROR(VLOOKUP(C619,$C$9:H618,6,FALSE),"")</f>
        <v/>
      </c>
      <c r="I619" s="61" t="s">
        <v>433</v>
      </c>
      <c r="J619" s="61" t="n">
        <v>307.9</v>
      </c>
      <c r="K619" s="61" t="s">
        <v>434</v>
      </c>
      <c r="L619" s="61" t="s">
        <v>435</v>
      </c>
      <c r="M619" s="42"/>
      <c r="N619" s="46" t="e">
        <f t="shared" si="29"/>
        <v>#DIV/0!</v>
      </c>
      <c r="O619" s="46" t="str">
        <f t="shared" si="30"/>
        <v/>
      </c>
      <c r="P619" s="46">
        <f t="shared" si="31"/>
        <v>1</v>
      </c>
      <c r="Q619" s="46"/>
      <c r="R619" s="45"/>
      <c r="S619" s="45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</row>
    <row r="620" spans="1:31" ht="14.25">
      <c r="A620" s="67" t="s">
        <v>705</v>
      </c>
      <c r="B620" s="68" t="s">
        <v>742</v>
      </c>
      <c r="C620" s="67" t="s">
        <v>440</v>
      </c>
      <c r="D620" s="75" t="n">
        <v>45.0</v>
      </c>
      <c r="E620" s="76" t="s">
        <v>0</v>
      </c>
      <c r="F620" s="57" t="str">
        <f>IFERROR(VLOOKUP(C620,$C$9:H619,4,FALSE),"")</f>
        <v/>
      </c>
      <c r="G620" s="61" t="str">
        <f>IFERROR(VLOOKUP(C620,$C$9:G619,5,FALSE),"")</f>
        <v/>
      </c>
      <c r="H620" s="61" t="str">
        <f>IFERROR(VLOOKUP(C620,$C$9:H619,6,FALSE),"")</f>
        <v/>
      </c>
      <c r="I620" s="61" t="s">
        <v>433</v>
      </c>
      <c r="J620" s="61" t="n">
        <v>45.0</v>
      </c>
      <c r="K620" s="61" t="s">
        <v>434</v>
      </c>
      <c r="L620" s="61" t="s">
        <v>435</v>
      </c>
      <c r="M620" s="42"/>
      <c r="N620" s="46" t="e">
        <f t="shared" si="29"/>
        <v>#DIV/0!</v>
      </c>
      <c r="O620" s="46" t="str">
        <f t="shared" si="30"/>
        <v/>
      </c>
      <c r="P620" s="46">
        <f t="shared" si="31"/>
        <v>1</v>
      </c>
      <c r="Q620" s="46"/>
      <c r="R620" s="45"/>
      <c r="S620" s="45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</row>
    <row r="621" spans="1:31" ht="14.25">
      <c r="A621" s="67" t="s">
        <v>705</v>
      </c>
      <c r="B621" s="68" t="s">
        <v>742</v>
      </c>
      <c r="C621" s="67" t="s">
        <v>440</v>
      </c>
      <c r="D621" s="75" t="n">
        <v>45.0</v>
      </c>
      <c r="E621" s="76" t="s">
        <v>0</v>
      </c>
      <c r="F621" s="57" t="str">
        <f>IFERROR(VLOOKUP(C621,$C$9:H620,4,FALSE),"")</f>
        <v/>
      </c>
      <c r="G621" s="61" t="str">
        <f>IFERROR(VLOOKUP(C621,$C$9:G620,5,FALSE),"")</f>
        <v/>
      </c>
      <c r="H621" s="61" t="str">
        <f>IFERROR(VLOOKUP(C621,$C$9:H620,6,FALSE),"")</f>
        <v/>
      </c>
      <c r="I621" s="61" t="s">
        <v>433</v>
      </c>
      <c r="J621" s="61" t="n">
        <v>45.0</v>
      </c>
      <c r="K621" s="61" t="s">
        <v>434</v>
      </c>
      <c r="L621" s="61" t="s">
        <v>435</v>
      </c>
      <c r="M621" s="42"/>
      <c r="N621" s="46" t="e">
        <f t="shared" si="29"/>
        <v>#DIV/0!</v>
      </c>
      <c r="O621" s="46" t="str">
        <f t="shared" si="30"/>
        <v/>
      </c>
      <c r="P621" s="46">
        <f t="shared" si="31"/>
        <v>1</v>
      </c>
      <c r="Q621" s="46"/>
      <c r="R621" s="45"/>
      <c r="S621" s="45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</row>
    <row r="622" spans="1:31" ht="14.25">
      <c r="A622" s="67" t="s">
        <v>705</v>
      </c>
      <c r="B622" s="68" t="s">
        <v>742</v>
      </c>
      <c r="C622" s="67" t="s">
        <v>441</v>
      </c>
      <c r="D622" s="75" t="n">
        <v>22.0</v>
      </c>
      <c r="E622" s="76" t="s">
        <v>0</v>
      </c>
      <c r="F622" s="57" t="str">
        <f>IFERROR(VLOOKUP(C622,$C$9:H621,4,FALSE),"")</f>
        <v/>
      </c>
      <c r="G622" s="61" t="str">
        <f>IFERROR(VLOOKUP(C622,$C$9:G621,5,FALSE),"")</f>
        <v/>
      </c>
      <c r="H622" s="61" t="str">
        <f>IFERROR(VLOOKUP(C622,$C$9:H621,6,FALSE),"")</f>
        <v/>
      </c>
      <c r="I622" s="61" t="s">
        <v>433</v>
      </c>
      <c r="J622" s="61" t="n">
        <v>22.0</v>
      </c>
      <c r="K622" s="61" t="s">
        <v>434</v>
      </c>
      <c r="L622" s="61" t="s">
        <v>435</v>
      </c>
      <c r="M622" s="42"/>
      <c r="N622" s="46" t="e">
        <f t="shared" si="29"/>
        <v>#DIV/0!</v>
      </c>
      <c r="O622" s="46" t="str">
        <f t="shared" si="30"/>
        <v/>
      </c>
      <c r="P622" s="46">
        <f t="shared" si="31"/>
        <v>1</v>
      </c>
      <c r="Q622" s="46"/>
      <c r="R622" s="45"/>
      <c r="S622" s="45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</row>
    <row r="623" spans="1:31" ht="14.25">
      <c r="A623" s="67" t="s">
        <v>705</v>
      </c>
      <c r="B623" s="68" t="s">
        <v>742</v>
      </c>
      <c r="C623" s="67" t="s">
        <v>738</v>
      </c>
      <c r="D623" s="75" t="n">
        <v>28.0</v>
      </c>
      <c r="E623" s="76" t="s">
        <v>0</v>
      </c>
      <c r="F623" s="57" t="str">
        <f>IFERROR(VLOOKUP(C623,$C$9:H622,4,FALSE),"")</f>
        <v/>
      </c>
      <c r="G623" s="61" t="s">
        <v>350</v>
      </c>
      <c r="H623" s="61" t="s">
        <v>404</v>
      </c>
      <c r="I623" s="61" t="s">
        <v>433</v>
      </c>
      <c r="J623" s="61" t="n">
        <v>28.0</v>
      </c>
      <c r="K623" s="61" t="s">
        <v>434</v>
      </c>
      <c r="L623" s="61" t="s">
        <v>435</v>
      </c>
      <c r="M623" s="42"/>
      <c r="N623" s="46" t="e">
        <f t="shared" si="29"/>
        <v>#DIV/0!</v>
      </c>
      <c r="O623" s="46" t="str">
        <f t="shared" si="30"/>
        <v/>
      </c>
      <c r="P623" s="46">
        <f t="shared" si="31"/>
        <v>1</v>
      </c>
      <c r="Q623" s="46"/>
      <c r="R623" s="45"/>
      <c r="S623" s="45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</row>
    <row r="624" spans="1:31" ht="14.25">
      <c r="A624" s="67" t="s">
        <v>705</v>
      </c>
      <c r="B624" s="79" t="s">
        <v>742</v>
      </c>
      <c r="C624" s="77" t="s">
        <v>738</v>
      </c>
      <c r="D624" s="75" t="n">
        <v>31.0</v>
      </c>
      <c r="E624" s="76" t="s">
        <v>0</v>
      </c>
      <c r="F624" s="57" t="str">
        <f>IFERROR(VLOOKUP(C624,$C$9:H623,4,FALSE),"")</f>
        <v/>
      </c>
      <c r="G624" s="61" t="s">
        <v>350</v>
      </c>
      <c r="H624" s="61" t="s">
        <v>404</v>
      </c>
      <c r="I624" s="61" t="s">
        <v>433</v>
      </c>
      <c r="J624" s="61" t="n">
        <v>31.0</v>
      </c>
      <c r="K624" s="61" t="s">
        <v>434</v>
      </c>
      <c r="L624" s="61" t="s">
        <v>435</v>
      </c>
      <c r="M624" s="42"/>
      <c r="N624" s="46" t="e">
        <f t="shared" si="29"/>
        <v>#DIV/0!</v>
      </c>
      <c r="O624" s="46" t="str">
        <f t="shared" si="30"/>
        <v/>
      </c>
      <c r="P624" s="46">
        <f t="shared" si="31"/>
        <v>1</v>
      </c>
      <c r="Q624" s="46"/>
      <c r="R624" s="45"/>
      <c r="S624" s="45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</row>
    <row r="625" spans="1:31" ht="14.25">
      <c r="A625" s="67" t="s">
        <v>707</v>
      </c>
      <c r="B625" s="68" t="s">
        <v>742</v>
      </c>
      <c r="C625" s="67" t="s">
        <v>452</v>
      </c>
      <c r="D625" s="75" t="n">
        <v>307.9</v>
      </c>
      <c r="E625" s="76" t="s">
        <v>0</v>
      </c>
      <c r="F625" s="57" t="str">
        <f>IFERROR(VLOOKUP(C625,$C$9:H624,4,FALSE),"")</f>
        <v/>
      </c>
      <c r="G625" s="61" t="s">
        <v>414</v>
      </c>
      <c r="H625" s="61" t="s">
        <v>414</v>
      </c>
      <c r="I625" s="61"/>
      <c r="J625" s="61" t="n">
        <v>0.0</v>
      </c>
      <c r="K625" s="61"/>
      <c r="L625" s="61" t="s">
        <v>445</v>
      </c>
      <c r="M625" s="42"/>
      <c r="N625" s="46" t="e">
        <f t="shared" si="29"/>
        <v>#DIV/0!</v>
      </c>
      <c r="O625" s="46" t="str">
        <f t="shared" si="30"/>
        <v/>
      </c>
      <c r="P625" s="46">
        <f t="shared" si="31"/>
        <v>1</v>
      </c>
      <c r="Q625" s="46"/>
      <c r="R625" s="45"/>
      <c r="S625" s="45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</row>
    <row r="626" spans="1:31" ht="14.25">
      <c r="A626" s="67" t="s">
        <v>705</v>
      </c>
      <c r="B626" s="68" t="s">
        <v>743</v>
      </c>
      <c r="C626" s="67" t="s">
        <v>744</v>
      </c>
      <c r="D626" s="75" t="n">
        <v>217.88</v>
      </c>
      <c r="E626" s="76" t="s">
        <v>0</v>
      </c>
      <c r="F626" s="57" t="str">
        <f>IFERROR(VLOOKUP(C626,$C$9:H625,4,FALSE),"")</f>
        <v/>
      </c>
      <c r="G626" s="61" t="s">
        <v>345</v>
      </c>
      <c r="H626" s="61" t="s">
        <v>325</v>
      </c>
      <c r="I626" s="61" t="s">
        <v>433</v>
      </c>
      <c r="J626" s="61" t="n">
        <v>217.88</v>
      </c>
      <c r="K626" s="61" t="s">
        <v>434</v>
      </c>
      <c r="L626" s="61" t="s">
        <v>435</v>
      </c>
      <c r="M626" s="42"/>
      <c r="N626" s="46" t="e">
        <f t="shared" si="29"/>
        <v>#DIV/0!</v>
      </c>
      <c r="O626" s="46" t="str">
        <f t="shared" si="30"/>
        <v/>
      </c>
      <c r="P626" s="46">
        <f t="shared" si="31"/>
        <v>1</v>
      </c>
      <c r="Q626" s="46"/>
      <c r="R626" s="45"/>
      <c r="S626" s="45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</row>
    <row r="627" spans="1:31" ht="14.25">
      <c r="A627" s="67" t="s">
        <v>705</v>
      </c>
      <c r="B627" s="68" t="s">
        <v>743</v>
      </c>
      <c r="C627" s="67" t="s">
        <v>439</v>
      </c>
      <c r="D627" s="75" t="n">
        <v>45.21</v>
      </c>
      <c r="E627" s="76" t="s">
        <v>0</v>
      </c>
      <c r="F627" s="57" t="str">
        <f>IFERROR(VLOOKUP(C627,$C$9:H626,4,FALSE),"")</f>
        <v/>
      </c>
      <c r="G627" s="61" t="s">
        <v>350</v>
      </c>
      <c r="H627" s="61" t="s">
        <v>404</v>
      </c>
      <c r="I627" s="61" t="s">
        <v>433</v>
      </c>
      <c r="J627" s="61" t="n">
        <v>45.21</v>
      </c>
      <c r="K627" s="61" t="s">
        <v>434</v>
      </c>
      <c r="L627" s="61" t="s">
        <v>435</v>
      </c>
      <c r="M627" s="42"/>
      <c r="N627" s="46" t="e">
        <f t="shared" si="29"/>
        <v>#DIV/0!</v>
      </c>
      <c r="O627" s="46" t="str">
        <f t="shared" si="30"/>
        <v/>
      </c>
      <c r="P627" s="46">
        <f t="shared" si="31"/>
        <v>1</v>
      </c>
      <c r="Q627" s="46"/>
      <c r="R627" s="45"/>
      <c r="S627" s="45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</row>
    <row r="628" spans="1:31" ht="14.25">
      <c r="A628" s="67" t="s">
        <v>705</v>
      </c>
      <c r="B628" s="79" t="s">
        <v>743</v>
      </c>
      <c r="C628" s="77" t="s">
        <v>442</v>
      </c>
      <c r="D628" s="75" t="n">
        <v>190.0</v>
      </c>
      <c r="E628" s="76" t="s">
        <v>0</v>
      </c>
      <c r="F628" s="57" t="str">
        <f>IFERROR(VLOOKUP(C628,$C$9:H627,4,FALSE),"")</f>
        <v/>
      </c>
      <c r="G628" s="61" t="str">
        <f>IFERROR(VLOOKUP(C628,$C$9:G627,5,FALSE),"")</f>
        <v/>
      </c>
      <c r="H628" s="61" t="str">
        <f>IFERROR(VLOOKUP(C628,$C$9:H627,6,FALSE),"")</f>
        <v/>
      </c>
      <c r="I628" s="61" t="s">
        <v>433</v>
      </c>
      <c r="J628" s="61" t="n">
        <v>190.0</v>
      </c>
      <c r="K628" s="61" t="s">
        <v>434</v>
      </c>
      <c r="L628" s="61" t="s">
        <v>435</v>
      </c>
      <c r="M628" s="42"/>
      <c r="N628" s="46" t="e">
        <f t="shared" si="29"/>
        <v>#DIV/0!</v>
      </c>
      <c r="O628" s="46" t="str">
        <f t="shared" si="30"/>
        <v/>
      </c>
      <c r="P628" s="46">
        <f t="shared" si="31"/>
        <v>1</v>
      </c>
      <c r="Q628" s="46"/>
      <c r="R628" s="45"/>
      <c r="S628" s="45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</row>
    <row r="629" spans="1:31" ht="14.25">
      <c r="A629" s="67" t="s">
        <v>707</v>
      </c>
      <c r="B629" s="72" t="s">
        <v>743</v>
      </c>
      <c r="C629" s="67" t="s">
        <v>452</v>
      </c>
      <c r="D629" s="75" t="n">
        <v>9.0</v>
      </c>
      <c r="E629" s="76" t="s">
        <v>0</v>
      </c>
      <c r="F629" s="57" t="str">
        <f>IFERROR(VLOOKUP(C629,$C$9:H628,4,FALSE),"")</f>
        <v/>
      </c>
      <c r="G629" s="61" t="s">
        <v>414</v>
      </c>
      <c r="H629" s="61" t="s">
        <v>414</v>
      </c>
      <c r="I629" s="61"/>
      <c r="J629" s="61" t="n">
        <v>0.0</v>
      </c>
      <c r="K629" s="61"/>
      <c r="L629" s="61" t="s">
        <v>445</v>
      </c>
      <c r="M629" s="42"/>
      <c r="N629" s="46" t="e">
        <f t="shared" si="29"/>
        <v>#DIV/0!</v>
      </c>
      <c r="O629" s="46" t="str">
        <f t="shared" si="30"/>
        <v/>
      </c>
      <c r="P629" s="46">
        <f t="shared" si="31"/>
        <v>1</v>
      </c>
      <c r="Q629" s="46"/>
      <c r="R629" s="45"/>
      <c r="S629" s="45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</row>
    <row r="630" spans="1:31" ht="14.25">
      <c r="A630" s="67" t="s">
        <v>707</v>
      </c>
      <c r="B630" s="68" t="s">
        <v>743</v>
      </c>
      <c r="C630" s="67" t="s">
        <v>506</v>
      </c>
      <c r="D630" s="75" t="n">
        <v>50.0</v>
      </c>
      <c r="E630" s="76" t="s">
        <v>0</v>
      </c>
      <c r="F630" s="57" t="str">
        <f>IFERROR(VLOOKUP(C630,$C$9:H629,4,FALSE),"")</f>
        <v/>
      </c>
      <c r="G630" s="61" t="str">
        <f>IFERROR(VLOOKUP(C630,$C$9:G629,5,FALSE),"")</f>
        <v/>
      </c>
      <c r="H630" s="61" t="str">
        <f>IFERROR(VLOOKUP(C630,$C$9:H629,6,FALSE),"")</f>
        <v/>
      </c>
      <c r="I630" s="61"/>
      <c r="J630" s="61" t="n">
        <v>0.0</v>
      </c>
      <c r="K630" s="61"/>
      <c r="L630" s="61" t="s">
        <v>445</v>
      </c>
      <c r="M630" s="42"/>
      <c r="N630" s="46" t="e">
        <f t="shared" si="29"/>
        <v>#DIV/0!</v>
      </c>
      <c r="O630" s="46" t="str">
        <f t="shared" si="30"/>
        <v/>
      </c>
      <c r="P630" s="46">
        <f t="shared" si="31"/>
        <v>1</v>
      </c>
      <c r="Q630" s="46"/>
      <c r="R630" s="45"/>
      <c r="S630" s="45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</row>
    <row r="631" spans="1:31" ht="14.25">
      <c r="A631" s="67" t="s">
        <v>705</v>
      </c>
      <c r="B631" s="68" t="s">
        <v>745</v>
      </c>
      <c r="C631" s="67" t="s">
        <v>456</v>
      </c>
      <c r="D631" s="75" t="n">
        <v>50.0</v>
      </c>
      <c r="E631" s="76" t="s">
        <v>0</v>
      </c>
      <c r="F631" s="57" t="str">
        <f>IFERROR(VLOOKUP(C631,$C$9:H630,4,FALSE),"")</f>
        <v/>
      </c>
      <c r="G631" s="61" t="str">
        <f>IFERROR(VLOOKUP(C631,$C$9:G630,5,FALSE),"")</f>
        <v/>
      </c>
      <c r="H631" s="61" t="str">
        <f>IFERROR(VLOOKUP(C631,$C$9:H630,6,FALSE),"")</f>
        <v/>
      </c>
      <c r="I631" s="61" t="s">
        <v>433</v>
      </c>
      <c r="J631" s="61" t="n">
        <v>50.0</v>
      </c>
      <c r="K631" s="61" t="s">
        <v>434</v>
      </c>
      <c r="L631" s="61" t="s">
        <v>435</v>
      </c>
      <c r="M631" s="42"/>
      <c r="N631" s="46" t="e">
        <f t="shared" si="29"/>
        <v>#DIV/0!</v>
      </c>
      <c r="O631" s="46" t="str">
        <f t="shared" si="30"/>
        <v/>
      </c>
      <c r="P631" s="46">
        <f t="shared" si="31"/>
        <v>1</v>
      </c>
      <c r="Q631" s="46"/>
      <c r="R631" s="45"/>
      <c r="S631" s="45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</row>
    <row r="632" spans="1:31" ht="14.25">
      <c r="A632" s="67" t="s">
        <v>705</v>
      </c>
      <c r="B632" s="72" t="s">
        <v>745</v>
      </c>
      <c r="C632" s="67" t="s">
        <v>457</v>
      </c>
      <c r="D632" s="75" t="n">
        <v>49.56</v>
      </c>
      <c r="E632" s="76" t="s">
        <v>0</v>
      </c>
      <c r="F632" s="57" t="str">
        <f>IFERROR(VLOOKUP(C632,$C$9:H631,4,FALSE),"")</f>
        <v/>
      </c>
      <c r="G632" s="61" t="s">
        <v>352</v>
      </c>
      <c r="H632" s="61" t="s">
        <v>293</v>
      </c>
      <c r="I632" s="61" t="s">
        <v>433</v>
      </c>
      <c r="J632" s="61" t="n">
        <v>49.56</v>
      </c>
      <c r="K632" s="61" t="s">
        <v>434</v>
      </c>
      <c r="L632" s="61" t="s">
        <v>435</v>
      </c>
      <c r="M632" s="42"/>
      <c r="N632" s="46" t="e">
        <f t="shared" si="29"/>
        <v>#DIV/0!</v>
      </c>
      <c r="O632" s="46" t="str">
        <f t="shared" si="30"/>
        <v/>
      </c>
      <c r="P632" s="46">
        <f t="shared" si="31"/>
        <v>1</v>
      </c>
      <c r="Q632" s="46"/>
      <c r="R632" s="45"/>
      <c r="S632" s="45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</row>
    <row r="633" spans="1:31" ht="14.25">
      <c r="A633" s="67" t="s">
        <v>705</v>
      </c>
      <c r="B633" s="68" t="s">
        <v>745</v>
      </c>
      <c r="C633" s="67" t="s">
        <v>741</v>
      </c>
      <c r="D633" s="75" t="n">
        <v>-9.8</v>
      </c>
      <c r="E633" s="76" t="s">
        <v>0</v>
      </c>
      <c r="F633" s="57" t="str">
        <f>IFERROR(VLOOKUP(C633,$C$9:H632,4,FALSE),"")</f>
        <v/>
      </c>
      <c r="G633" s="61" t="s">
        <v>350</v>
      </c>
      <c r="H633" s="61" t="s">
        <v>322</v>
      </c>
      <c r="I633" s="61" t="s">
        <v>479</v>
      </c>
      <c r="J633" s="61" t="n">
        <v>9.8</v>
      </c>
      <c r="K633" s="61" t="s">
        <v>434</v>
      </c>
      <c r="L633" s="61" t="s">
        <v>435</v>
      </c>
      <c r="M633" s="42"/>
      <c r="N633" s="46" t="e">
        <f t="shared" si="29"/>
        <v>#DIV/0!</v>
      </c>
      <c r="O633" s="46" t="str">
        <f t="shared" si="30"/>
        <v/>
      </c>
      <c r="P633" s="46">
        <f t="shared" si="31"/>
        <v>1</v>
      </c>
      <c r="Q633" s="46"/>
      <c r="R633" s="45"/>
      <c r="S633" s="45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</row>
    <row r="634" spans="1:31" ht="14.25">
      <c r="A634" s="67" t="s">
        <v>705</v>
      </c>
      <c r="B634" s="68" t="s">
        <v>745</v>
      </c>
      <c r="C634" s="67" t="s">
        <v>432</v>
      </c>
      <c r="D634" s="75" t="n">
        <v>22.0</v>
      </c>
      <c r="E634" s="76" t="s">
        <v>0</v>
      </c>
      <c r="F634" s="57" t="str">
        <f>IFERROR(VLOOKUP(C634,$C$9:H633,4,FALSE),"")</f>
        <v/>
      </c>
      <c r="G634" s="61" t="s">
        <v>350</v>
      </c>
      <c r="H634" s="61" t="s">
        <v>404</v>
      </c>
      <c r="I634" s="61" t="s">
        <v>433</v>
      </c>
      <c r="J634" s="61" t="n">
        <v>22.0</v>
      </c>
      <c r="K634" s="61" t="s">
        <v>434</v>
      </c>
      <c r="L634" s="61" t="s">
        <v>435</v>
      </c>
      <c r="M634" s="42"/>
      <c r="N634" s="46" t="e">
        <f t="shared" si="29"/>
        <v>#DIV/0!</v>
      </c>
      <c r="O634" s="46" t="str">
        <f t="shared" si="30"/>
        <v/>
      </c>
      <c r="P634" s="46">
        <f t="shared" si="31"/>
        <v>1</v>
      </c>
      <c r="Q634" s="46"/>
      <c r="R634" s="45"/>
      <c r="S634" s="45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</row>
    <row r="635" spans="1:31" ht="14.25">
      <c r="A635" s="67" t="s">
        <v>719</v>
      </c>
      <c r="B635" s="68" t="s">
        <v>745</v>
      </c>
      <c r="C635" s="67" t="s">
        <v>526</v>
      </c>
      <c r="D635" s="75" t="n">
        <v>56.95</v>
      </c>
      <c r="E635" s="76" t="s">
        <v>0</v>
      </c>
      <c r="F635" s="57" t="str">
        <f>IFERROR(VLOOKUP(C635,$C$9:H634,4,FALSE),"")</f>
        <v/>
      </c>
      <c r="G635" s="61" t="str">
        <f>IFERROR(VLOOKUP(C635,$C$9:G634,5,FALSE),"")</f>
        <v/>
      </c>
      <c r="H635" s="61" t="str">
        <f>IFERROR(VLOOKUP(C635,$C$9:H634,6,FALSE),"")</f>
        <v/>
      </c>
      <c r="I635" s="61" t="s">
        <v>433</v>
      </c>
      <c r="J635" s="61" t="n">
        <v>56.95</v>
      </c>
      <c r="K635" s="61" t="s">
        <v>434</v>
      </c>
      <c r="L635" s="61" t="s">
        <v>435</v>
      </c>
      <c r="M635" s="42"/>
      <c r="N635" s="46" t="e">
        <f t="shared" si="29"/>
        <v>#DIV/0!</v>
      </c>
      <c r="O635" s="46" t="str">
        <f t="shared" si="30"/>
        <v/>
      </c>
      <c r="P635" s="46">
        <f t="shared" si="31"/>
        <v>1</v>
      </c>
      <c r="Q635" s="46"/>
      <c r="R635" s="45"/>
      <c r="S635" s="45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</row>
    <row r="636" spans="1:31" ht="14.25">
      <c r="A636" s="67" t="s">
        <v>705</v>
      </c>
      <c r="B636" s="68" t="s">
        <v>746</v>
      </c>
      <c r="C636" s="67" t="s">
        <v>747</v>
      </c>
      <c r="D636" s="75" t="n">
        <v>150.0</v>
      </c>
      <c r="E636" s="76" t="s">
        <v>0</v>
      </c>
      <c r="F636" s="57" t="str">
        <f>IFERROR(VLOOKUP(C636,$C$9:H635,4,FALSE),"")</f>
        <v/>
      </c>
      <c r="G636" s="61" t="str">
        <f>IFERROR(VLOOKUP(C636,$C$9:G635,5,FALSE),"")</f>
        <v/>
      </c>
      <c r="H636" s="61" t="str">
        <f>IFERROR(VLOOKUP(C636,$C$9:H635,6,FALSE),"")</f>
        <v/>
      </c>
      <c r="I636" s="61" t="s">
        <v>433</v>
      </c>
      <c r="J636" s="61" t="n">
        <v>150.0</v>
      </c>
      <c r="K636" s="61" t="s">
        <v>434</v>
      </c>
      <c r="L636" s="61" t="s">
        <v>435</v>
      </c>
      <c r="M636" s="42"/>
      <c r="N636" s="46" t="e">
        <f t="shared" si="29"/>
        <v>#DIV/0!</v>
      </c>
      <c r="O636" s="46" t="str">
        <f t="shared" si="30"/>
        <v/>
      </c>
      <c r="P636" s="46">
        <f t="shared" si="31"/>
        <v>1</v>
      </c>
      <c r="Q636" s="46"/>
      <c r="R636" s="45"/>
      <c r="S636" s="45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</row>
    <row r="637" spans="1:31" ht="14.25">
      <c r="A637" s="67" t="s">
        <v>705</v>
      </c>
      <c r="B637" s="68" t="s">
        <v>746</v>
      </c>
      <c r="C637" s="67" t="s">
        <v>439</v>
      </c>
      <c r="D637" s="75" t="n">
        <v>139.6</v>
      </c>
      <c r="E637" s="76" t="s">
        <v>0</v>
      </c>
      <c r="F637" s="57" t="str">
        <f>IFERROR(VLOOKUP(C637,$C$9:H636,4,FALSE),"")</f>
        <v/>
      </c>
      <c r="G637" s="61" t="s">
        <v>350</v>
      </c>
      <c r="H637" s="61" t="s">
        <v>404</v>
      </c>
      <c r="I637" s="61" t="s">
        <v>433</v>
      </c>
      <c r="J637" s="61" t="n">
        <v>139.6</v>
      </c>
      <c r="K637" s="61" t="s">
        <v>434</v>
      </c>
      <c r="L637" s="61" t="s">
        <v>435</v>
      </c>
      <c r="M637" s="42"/>
      <c r="N637" s="46" t="e">
        <f t="shared" si="29"/>
        <v>#DIV/0!</v>
      </c>
      <c r="O637" s="46" t="str">
        <f t="shared" si="30"/>
        <v/>
      </c>
      <c r="P637" s="46">
        <f t="shared" si="31"/>
        <v>1</v>
      </c>
      <c r="Q637" s="46"/>
      <c r="R637" s="45"/>
      <c r="S637" s="45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</row>
    <row r="638" spans="1:31" ht="14.25">
      <c r="A638" s="67" t="s">
        <v>705</v>
      </c>
      <c r="B638" s="68" t="s">
        <v>746</v>
      </c>
      <c r="C638" s="67" t="s">
        <v>440</v>
      </c>
      <c r="D638" s="75" t="n">
        <v>37.5</v>
      </c>
      <c r="E638" s="76" t="s">
        <v>0</v>
      </c>
      <c r="F638" s="57" t="str">
        <f>IFERROR(VLOOKUP(C638,$C$9:H637,4,FALSE),"")</f>
        <v/>
      </c>
      <c r="G638" s="61" t="str">
        <f>IFERROR(VLOOKUP(C638,$C$9:G637,5,FALSE),"")</f>
        <v/>
      </c>
      <c r="H638" s="61" t="str">
        <f>IFERROR(VLOOKUP(C638,$C$9:H637,6,FALSE),"")</f>
        <v/>
      </c>
      <c r="I638" s="61" t="s">
        <v>433</v>
      </c>
      <c r="J638" s="61" t="n">
        <v>37.5</v>
      </c>
      <c r="K638" s="61" t="s">
        <v>434</v>
      </c>
      <c r="L638" s="61" t="s">
        <v>435</v>
      </c>
      <c r="M638" s="42"/>
      <c r="N638" s="46" t="e">
        <f t="shared" si="29"/>
        <v>#DIV/0!</v>
      </c>
      <c r="O638" s="46" t="str">
        <f t="shared" si="30"/>
        <v/>
      </c>
      <c r="P638" s="46">
        <f t="shared" si="31"/>
        <v>1</v>
      </c>
      <c r="Q638" s="46"/>
      <c r="R638" s="45"/>
      <c r="S638" s="45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</row>
    <row r="639" spans="1:31" ht="14.25">
      <c r="A639" s="67" t="s">
        <v>705</v>
      </c>
      <c r="B639" s="68" t="s">
        <v>746</v>
      </c>
      <c r="C639" s="67" t="s">
        <v>748</v>
      </c>
      <c r="D639" s="75" t="n">
        <v>178.65</v>
      </c>
      <c r="E639" s="76" t="s">
        <v>0</v>
      </c>
      <c r="F639" s="57" t="str">
        <f>IFERROR(VLOOKUP(C639,$C$9:H638,4,FALSE),"")</f>
        <v/>
      </c>
      <c r="G639" s="61" t="str">
        <f>IFERROR(VLOOKUP(C639,$C$9:G638,5,FALSE),"")</f>
        <v/>
      </c>
      <c r="H639" s="61" t="str">
        <f>IFERROR(VLOOKUP(C639,$C$9:H638,6,FALSE),"")</f>
        <v/>
      </c>
      <c r="I639" s="61" t="s">
        <v>433</v>
      </c>
      <c r="J639" s="61" t="n">
        <v>178.65</v>
      </c>
      <c r="K639" s="61" t="s">
        <v>434</v>
      </c>
      <c r="L639" s="61" t="s">
        <v>435</v>
      </c>
      <c r="M639" s="42"/>
      <c r="N639" s="46" t="e">
        <f t="shared" si="29"/>
        <v>#DIV/0!</v>
      </c>
      <c r="O639" s="46" t="str">
        <f t="shared" si="30"/>
        <v/>
      </c>
      <c r="P639" s="46">
        <f t="shared" si="31"/>
        <v>1</v>
      </c>
      <c r="Q639" s="46"/>
      <c r="R639" s="45"/>
      <c r="S639" s="45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</row>
    <row r="640" spans="1:31" ht="14.25">
      <c r="A640" s="67" t="s">
        <v>707</v>
      </c>
      <c r="B640" s="68" t="s">
        <v>746</v>
      </c>
      <c r="C640" s="67" t="s">
        <v>452</v>
      </c>
      <c r="D640" s="75" t="n">
        <v>56.95</v>
      </c>
      <c r="E640" s="76" t="s">
        <v>0</v>
      </c>
      <c r="F640" s="57" t="str">
        <f>IFERROR(VLOOKUP(C640,$C$9:H639,4,FALSE),"")</f>
        <v/>
      </c>
      <c r="G640" s="61" t="s">
        <v>414</v>
      </c>
      <c r="H640" s="61" t="s">
        <v>414</v>
      </c>
      <c r="I640" s="61"/>
      <c r="J640" s="61" t="n">
        <v>0.0</v>
      </c>
      <c r="K640" s="61"/>
      <c r="L640" s="61" t="s">
        <v>445</v>
      </c>
      <c r="M640" s="42"/>
      <c r="N640" s="46" t="e">
        <f t="shared" si="29"/>
        <v>#DIV/0!</v>
      </c>
      <c r="O640" s="46" t="str">
        <f t="shared" si="30"/>
        <v/>
      </c>
      <c r="P640" s="46">
        <f t="shared" si="31"/>
        <v>1</v>
      </c>
      <c r="Q640" s="46"/>
      <c r="R640" s="45"/>
      <c r="S640" s="45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</row>
    <row r="641" spans="1:31" ht="14.25">
      <c r="A641" s="67" t="s">
        <v>705</v>
      </c>
      <c r="B641" s="68" t="s">
        <v>749</v>
      </c>
      <c r="C641" s="67" t="s">
        <v>750</v>
      </c>
      <c r="D641" s="75" t="n">
        <v>50.0</v>
      </c>
      <c r="E641" s="76" t="s">
        <v>0</v>
      </c>
      <c r="F641" s="57" t="str">
        <f>IFERROR(VLOOKUP(C641,$C$9:H640,4,FALSE),"")</f>
        <v/>
      </c>
      <c r="G641" s="61" t="str">
        <f>IFERROR(VLOOKUP(C641,$C$9:G640,5,FALSE),"")</f>
        <v/>
      </c>
      <c r="H641" s="61" t="str">
        <f>IFERROR(VLOOKUP(C641,$C$9:H640,6,FALSE),"")</f>
        <v/>
      </c>
      <c r="I641" s="61" t="s">
        <v>433</v>
      </c>
      <c r="J641" s="61" t="n">
        <v>50.0</v>
      </c>
      <c r="K641" s="61" t="s">
        <v>434</v>
      </c>
      <c r="L641" s="61" t="s">
        <v>435</v>
      </c>
      <c r="M641" s="42"/>
      <c r="N641" s="46" t="e">
        <f t="shared" si="29"/>
        <v>#DIV/0!</v>
      </c>
      <c r="O641" s="46" t="str">
        <f t="shared" si="30"/>
        <v/>
      </c>
      <c r="P641" s="46">
        <f t="shared" si="31"/>
        <v>1</v>
      </c>
      <c r="Q641" s="46"/>
      <c r="R641" s="45"/>
      <c r="S641" s="45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</row>
    <row r="642" spans="1:31" ht="14.25">
      <c r="A642" s="67" t="s">
        <v>705</v>
      </c>
      <c r="B642" s="68" t="s">
        <v>749</v>
      </c>
      <c r="C642" s="67" t="s">
        <v>607</v>
      </c>
      <c r="D642" s="75" t="n">
        <v>68.0</v>
      </c>
      <c r="E642" s="76" t="s">
        <v>0</v>
      </c>
      <c r="F642" s="57" t="str">
        <f>IFERROR(VLOOKUP(C642,$C$9:H641,4,FALSE),"")</f>
        <v/>
      </c>
      <c r="G642" s="61" t="str">
        <f>IFERROR(VLOOKUP(C642,$C$9:G641,5,FALSE),"")</f>
        <v/>
      </c>
      <c r="H642" s="61" t="str">
        <f>IFERROR(VLOOKUP(C642,$C$9:H641,6,FALSE),"")</f>
        <v/>
      </c>
      <c r="I642" s="61" t="s">
        <v>433</v>
      </c>
      <c r="J642" s="61" t="n">
        <v>68.0</v>
      </c>
      <c r="K642" s="61" t="s">
        <v>434</v>
      </c>
      <c r="L642" s="61" t="s">
        <v>435</v>
      </c>
      <c r="M642" s="42"/>
      <c r="N642" s="46" t="e">
        <f t="shared" si="29"/>
        <v>#DIV/0!</v>
      </c>
      <c r="O642" s="46" t="str">
        <f t="shared" si="30"/>
        <v/>
      </c>
      <c r="P642" s="46">
        <f t="shared" si="31"/>
        <v>1</v>
      </c>
      <c r="Q642" s="46"/>
      <c r="R642" s="45"/>
      <c r="S642" s="45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</row>
    <row r="643" spans="1:31" ht="14.25">
      <c r="A643" s="67" t="s">
        <v>705</v>
      </c>
      <c r="B643" s="68" t="s">
        <v>749</v>
      </c>
      <c r="C643" s="67" t="s">
        <v>751</v>
      </c>
      <c r="D643" s="75" t="n">
        <v>192.0</v>
      </c>
      <c r="E643" s="76" t="s">
        <v>0</v>
      </c>
      <c r="F643" s="57" t="str">
        <f>IFERROR(VLOOKUP(C643,$C$9:H642,4,FALSE),"")</f>
        <v/>
      </c>
      <c r="G643" s="61" t="str">
        <f>IFERROR(VLOOKUP(C643,$C$9:G642,5,FALSE),"")</f>
        <v/>
      </c>
      <c r="H643" s="61" t="str">
        <f>IFERROR(VLOOKUP(C643,$C$9:H642,6,FALSE),"")</f>
        <v/>
      </c>
      <c r="I643" s="61" t="s">
        <v>433</v>
      </c>
      <c r="J643" s="61" t="n">
        <v>192.0</v>
      </c>
      <c r="K643" s="61" t="s">
        <v>434</v>
      </c>
      <c r="L643" s="61" t="s">
        <v>435</v>
      </c>
      <c r="M643" s="42"/>
      <c r="N643" s="46" t="e">
        <f t="shared" si="29"/>
        <v>#DIV/0!</v>
      </c>
      <c r="O643" s="46" t="str">
        <f t="shared" si="30"/>
        <v/>
      </c>
      <c r="P643" s="46">
        <f t="shared" si="31"/>
        <v>1</v>
      </c>
      <c r="Q643" s="46"/>
      <c r="R643" s="45"/>
      <c r="S643" s="45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</row>
    <row r="644" spans="1:31" ht="14.25">
      <c r="A644" s="67" t="s">
        <v>705</v>
      </c>
      <c r="B644" s="68" t="s">
        <v>749</v>
      </c>
      <c r="C644" s="67" t="s">
        <v>442</v>
      </c>
      <c r="D644" s="75" t="n">
        <v>190.0</v>
      </c>
      <c r="E644" s="76" t="s">
        <v>0</v>
      </c>
      <c r="F644" s="57" t="str">
        <f>IFERROR(VLOOKUP(C644,$C$9:H643,4,FALSE),"")</f>
        <v/>
      </c>
      <c r="G644" s="61" t="str">
        <f>IFERROR(VLOOKUP(C644,$C$9:G643,5,FALSE),"")</f>
        <v/>
      </c>
      <c r="H644" s="61" t="str">
        <f>IFERROR(VLOOKUP(C644,$C$9:H643,6,FALSE),"")</f>
        <v/>
      </c>
      <c r="I644" s="61" t="s">
        <v>433</v>
      </c>
      <c r="J644" s="61" t="n">
        <v>190.0</v>
      </c>
      <c r="K644" s="61" t="s">
        <v>434</v>
      </c>
      <c r="L644" s="61" t="s">
        <v>435</v>
      </c>
      <c r="M644" s="42"/>
      <c r="N644" s="46" t="e">
        <f t="shared" si="29"/>
        <v>#DIV/0!</v>
      </c>
      <c r="O644" s="46" t="str">
        <f t="shared" si="30"/>
        <v/>
      </c>
      <c r="P644" s="46">
        <f t="shared" si="31"/>
        <v>1</v>
      </c>
      <c r="Q644" s="46"/>
      <c r="R644" s="45"/>
      <c r="S644" s="45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</row>
    <row r="645" spans="1:31" ht="14.25">
      <c r="A645" s="67" t="s">
        <v>705</v>
      </c>
      <c r="B645" s="68" t="s">
        <v>749</v>
      </c>
      <c r="C645" s="67" t="s">
        <v>439</v>
      </c>
      <c r="D645" s="75" t="n">
        <v>112.18</v>
      </c>
      <c r="E645" s="76" t="s">
        <v>0</v>
      </c>
      <c r="F645" s="57" t="str">
        <f>IFERROR(VLOOKUP(C645,$C$9:H644,4,FALSE),"")</f>
        <v/>
      </c>
      <c r="G645" s="61" t="s">
        <v>350</v>
      </c>
      <c r="H645" s="61" t="s">
        <v>404</v>
      </c>
      <c r="I645" s="61" t="s">
        <v>433</v>
      </c>
      <c r="J645" s="61" t="n">
        <v>112.18</v>
      </c>
      <c r="K645" s="61" t="s">
        <v>434</v>
      </c>
      <c r="L645" s="61" t="s">
        <v>435</v>
      </c>
      <c r="M645" s="42"/>
      <c r="N645" s="46" t="e">
        <f t="shared" si="29"/>
        <v>#DIV/0!</v>
      </c>
      <c r="O645" s="46" t="str">
        <f t="shared" si="30"/>
        <v/>
      </c>
      <c r="P645" s="46">
        <f t="shared" si="31"/>
        <v>1</v>
      </c>
      <c r="Q645" s="46"/>
      <c r="R645" s="45"/>
      <c r="S645" s="45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</row>
    <row r="646" spans="1:31" ht="14.25">
      <c r="A646" s="67" t="s">
        <v>705</v>
      </c>
      <c r="B646" s="68" t="s">
        <v>752</v>
      </c>
      <c r="C646" s="67" t="s">
        <v>525</v>
      </c>
      <c r="D646" s="75" t="n">
        <v>25.8</v>
      </c>
      <c r="E646" s="76" t="s">
        <v>0</v>
      </c>
      <c r="F646" s="57" t="str">
        <f>IFERROR(VLOOKUP(C646,$C$9:H645,4,FALSE),"")</f>
        <v/>
      </c>
      <c r="G646" s="61" t="s">
        <v>352</v>
      </c>
      <c r="H646" s="61" t="s">
        <v>293</v>
      </c>
      <c r="I646" s="61" t="s">
        <v>433</v>
      </c>
      <c r="J646" s="61" t="n">
        <v>25.8</v>
      </c>
      <c r="K646" s="61" t="s">
        <v>434</v>
      </c>
      <c r="L646" s="61" t="s">
        <v>435</v>
      </c>
      <c r="M646" s="42"/>
      <c r="N646" s="46" t="e">
        <f t="shared" si="29"/>
        <v>#DIV/0!</v>
      </c>
      <c r="O646" s="46" t="str">
        <f t="shared" si="30"/>
        <v/>
      </c>
      <c r="P646" s="46">
        <f t="shared" si="31"/>
        <v>1</v>
      </c>
      <c r="Q646" s="46"/>
      <c r="R646" s="45"/>
      <c r="S646" s="45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</row>
    <row r="647" spans="1:31" ht="14.25">
      <c r="A647" s="67" t="s">
        <v>705</v>
      </c>
      <c r="B647" s="68" t="s">
        <v>752</v>
      </c>
      <c r="C647" s="67" t="s">
        <v>753</v>
      </c>
      <c r="D647" s="75" t="n">
        <v>298.0</v>
      </c>
      <c r="E647" s="76" t="s">
        <v>0</v>
      </c>
      <c r="F647" s="57" t="str">
        <f>IFERROR(VLOOKUP(C647,$C$9:H646,4,FALSE),"")</f>
        <v/>
      </c>
      <c r="G647" s="61" t="str">
        <f>IFERROR(VLOOKUP(C647,$C$9:G646,5,FALSE),"")</f>
        <v/>
      </c>
      <c r="H647" s="61" t="str">
        <f>IFERROR(VLOOKUP(C647,$C$9:H646,6,FALSE),"")</f>
        <v/>
      </c>
      <c r="I647" s="61" t="s">
        <v>433</v>
      </c>
      <c r="J647" s="61" t="n">
        <v>298.0</v>
      </c>
      <c r="K647" s="61" t="s">
        <v>434</v>
      </c>
      <c r="L647" s="61" t="s">
        <v>435</v>
      </c>
      <c r="M647" s="42"/>
      <c r="N647" s="46" t="e">
        <f t="shared" si="29"/>
        <v>#DIV/0!</v>
      </c>
      <c r="O647" s="46" t="str">
        <f t="shared" si="30"/>
        <v/>
      </c>
      <c r="P647" s="46">
        <f t="shared" si="31"/>
        <v>1</v>
      </c>
      <c r="Q647" s="46"/>
      <c r="R647" s="45"/>
      <c r="S647" s="45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</row>
    <row r="648" spans="1:31" ht="14.25">
      <c r="A648" s="67" t="s">
        <v>705</v>
      </c>
      <c r="B648" s="68" t="s">
        <v>752</v>
      </c>
      <c r="C648" s="67" t="s">
        <v>471</v>
      </c>
      <c r="D648" s="75" t="n">
        <v>19.9</v>
      </c>
      <c r="E648" s="76" t="s">
        <v>0</v>
      </c>
      <c r="F648" s="57" t="str">
        <f>IFERROR(VLOOKUP(C648,$C$9:H647,4,FALSE),"")</f>
        <v/>
      </c>
      <c r="G648" s="61" t="str">
        <f>IFERROR(VLOOKUP(C648,$C$9:G647,5,FALSE),"")</f>
        <v/>
      </c>
      <c r="H648" s="61" t="str">
        <f>IFERROR(VLOOKUP(C648,$C$9:H647,6,FALSE),"")</f>
        <v/>
      </c>
      <c r="I648" s="61" t="s">
        <v>433</v>
      </c>
      <c r="J648" s="61" t="n">
        <v>19.9</v>
      </c>
      <c r="K648" s="61" t="s">
        <v>434</v>
      </c>
      <c r="L648" s="61" t="s">
        <v>435</v>
      </c>
      <c r="M648" s="42"/>
      <c r="N648" s="46" t="e">
        <f t="shared" si="29"/>
        <v>#DIV/0!</v>
      </c>
      <c r="O648" s="46" t="str">
        <f t="shared" si="30"/>
        <v/>
      </c>
      <c r="P648" s="46">
        <f t="shared" si="31"/>
        <v>1</v>
      </c>
      <c r="Q648" s="46"/>
      <c r="R648" s="45"/>
      <c r="S648" s="45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</row>
    <row r="649" spans="1:31" ht="14.25">
      <c r="A649" s="67" t="s">
        <v>705</v>
      </c>
      <c r="B649" s="79" t="s">
        <v>752</v>
      </c>
      <c r="C649" s="77" t="s">
        <v>681</v>
      </c>
      <c r="D649" s="75" t="n">
        <v>76.7</v>
      </c>
      <c r="E649" s="76" t="s">
        <v>0</v>
      </c>
      <c r="F649" s="57" t="str">
        <f>IFERROR(VLOOKUP(C649,$C$9:H648,4,FALSE),"")</f>
        <v/>
      </c>
      <c r="G649" s="61" t="str">
        <f>IFERROR(VLOOKUP(C649,$C$9:G648,5,FALSE),"")</f>
        <v/>
      </c>
      <c r="H649" s="61" t="str">
        <f>IFERROR(VLOOKUP(C649,$C$9:H648,6,FALSE),"")</f>
        <v/>
      </c>
      <c r="I649" s="61" t="s">
        <v>433</v>
      </c>
      <c r="J649" s="61" t="n">
        <v>76.7</v>
      </c>
      <c r="K649" s="61" t="s">
        <v>434</v>
      </c>
      <c r="L649" s="61" t="s">
        <v>435</v>
      </c>
      <c r="M649" s="42"/>
      <c r="N649" s="46" t="e">
        <f t="shared" si="29"/>
        <v>#DIV/0!</v>
      </c>
      <c r="O649" s="46" t="str">
        <f t="shared" si="30"/>
        <v/>
      </c>
      <c r="P649" s="46">
        <f t="shared" si="31"/>
        <v>1</v>
      </c>
      <c r="Q649" s="46"/>
      <c r="R649" s="45"/>
      <c r="S649" s="45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</row>
    <row r="650" spans="1:31" ht="14.25">
      <c r="A650" s="67" t="s">
        <v>705</v>
      </c>
      <c r="B650" s="72" t="s">
        <v>752</v>
      </c>
      <c r="C650" s="67" t="s">
        <v>440</v>
      </c>
      <c r="D650" s="75" t="n">
        <v>75.0</v>
      </c>
      <c r="E650" s="76" t="s">
        <v>0</v>
      </c>
      <c r="F650" s="57" t="str">
        <f>IFERROR(VLOOKUP(C650,$C$9:H649,4,FALSE),"")</f>
        <v/>
      </c>
      <c r="G650" s="61" t="str">
        <f>IFERROR(VLOOKUP(C650,$C$9:G649,5,FALSE),"")</f>
        <v/>
      </c>
      <c r="H650" s="61" t="str">
        <f>IFERROR(VLOOKUP(C650,$C$9:H649,6,FALSE),"")</f>
        <v/>
      </c>
      <c r="I650" s="61" t="s">
        <v>433</v>
      </c>
      <c r="J650" s="61" t="n">
        <v>75.0</v>
      </c>
      <c r="K650" s="61" t="s">
        <v>434</v>
      </c>
      <c r="L650" s="61" t="s">
        <v>435</v>
      </c>
      <c r="M650" s="42"/>
      <c r="N650" s="46" t="e">
        <f t="shared" ref="N650:N713" si="32">IF(OR(F650=$P$1,F650="",F650=0),D650/$B$2,IF(OR(F650=$P$2,F650=$P$3,F650=$P$4),D650/(O650*P650),D650/O650))</f>
        <v>#DIV/0!</v>
      </c>
      <c r="O650" s="46" t="str">
        <f t="shared" ref="O650:O713" si="33">IFERROR(VLOOKUP(F650,$P$1:$Q$4,2,0),F650)</f>
        <v/>
      </c>
      <c r="P650" s="46">
        <f t="shared" si="31"/>
        <v>1</v>
      </c>
      <c r="Q650" s="46"/>
      <c r="R650" s="45"/>
      <c r="S650" s="45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</row>
    <row r="651" spans="1:31" ht="14.25">
      <c r="A651" s="67" t="s">
        <v>705</v>
      </c>
      <c r="B651" s="68" t="s">
        <v>752</v>
      </c>
      <c r="C651" s="67" t="s">
        <v>438</v>
      </c>
      <c r="D651" s="75" t="n">
        <v>99.0</v>
      </c>
      <c r="E651" s="76" t="s">
        <v>0</v>
      </c>
      <c r="F651" s="57" t="str">
        <f>IFERROR(VLOOKUP(C651,$C$9:H650,4,FALSE),"")</f>
        <v/>
      </c>
      <c r="G651" s="61" t="str">
        <f>IFERROR(VLOOKUP(C651,$C$9:G650,5,FALSE),"")</f>
        <v/>
      </c>
      <c r="H651" s="61" t="str">
        <f>IFERROR(VLOOKUP(C651,$C$9:H650,6,FALSE),"")</f>
        <v/>
      </c>
      <c r="I651" s="61" t="s">
        <v>433</v>
      </c>
      <c r="J651" s="61" t="n">
        <v>99.0</v>
      </c>
      <c r="K651" s="61" t="s">
        <v>434</v>
      </c>
      <c r="L651" s="61" t="s">
        <v>435</v>
      </c>
      <c r="M651" s="42"/>
      <c r="N651" s="46" t="e">
        <f t="shared" si="32"/>
        <v>#DIV/0!</v>
      </c>
      <c r="O651" s="46" t="str">
        <f t="shared" si="33"/>
        <v/>
      </c>
      <c r="P651" s="46">
        <f t="shared" ref="P651:P714" si="34">IF(C651="",1,COUNTIFS($C$9:$C$1499,C651,$H$9:$H$1499,H651))</f>
        <v>1</v>
      </c>
      <c r="Q651" s="46"/>
      <c r="R651" s="45"/>
      <c r="S651" s="45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</row>
    <row r="652" spans="1:31" ht="14.25">
      <c r="A652" s="67" t="s">
        <v>705</v>
      </c>
      <c r="B652" s="68" t="s">
        <v>754</v>
      </c>
      <c r="C652" s="67" t="s">
        <v>755</v>
      </c>
      <c r="D652" s="75" t="n">
        <v>16.0</v>
      </c>
      <c r="E652" s="76" t="s">
        <v>0</v>
      </c>
      <c r="F652" s="57" t="str">
        <f>IFERROR(VLOOKUP(C652,$C$9:H651,4,FALSE),"")</f>
        <v/>
      </c>
      <c r="G652" s="61" t="s">
        <v>352</v>
      </c>
      <c r="H652" s="61" t="s">
        <v>17</v>
      </c>
      <c r="I652" s="61" t="s">
        <v>433</v>
      </c>
      <c r="J652" s="61" t="n">
        <v>16.0</v>
      </c>
      <c r="K652" s="61" t="s">
        <v>434</v>
      </c>
      <c r="L652" s="61" t="s">
        <v>435</v>
      </c>
      <c r="M652" s="42"/>
      <c r="N652" s="46" t="e">
        <f t="shared" si="32"/>
        <v>#DIV/0!</v>
      </c>
      <c r="O652" s="46" t="str">
        <f t="shared" si="33"/>
        <v/>
      </c>
      <c r="P652" s="46">
        <f t="shared" si="34"/>
        <v>1</v>
      </c>
      <c r="Q652" s="46"/>
      <c r="R652" s="45"/>
      <c r="S652" s="45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</row>
    <row r="653" spans="1:31" ht="14.25">
      <c r="A653" s="67" t="s">
        <v>718</v>
      </c>
      <c r="B653" s="68" t="s">
        <v>754</v>
      </c>
      <c r="C653" s="67" t="s">
        <v>523</v>
      </c>
      <c r="D653" s="75" t="n">
        <v>3.9</v>
      </c>
      <c r="E653" s="76" t="s">
        <v>0</v>
      </c>
      <c r="F653" s="57" t="str">
        <f>IFERROR(VLOOKUP(C653,$C$9:H652,4,FALSE),"")</f>
        <v/>
      </c>
      <c r="G653" s="61" t="s">
        <v>361</v>
      </c>
      <c r="H653" s="61" t="s">
        <v>331</v>
      </c>
      <c r="I653" s="61" t="s">
        <v>464</v>
      </c>
      <c r="J653" s="61" t="n">
        <v>3.9</v>
      </c>
      <c r="K653" s="61" t="s">
        <v>434</v>
      </c>
      <c r="L653" s="61" t="s">
        <v>435</v>
      </c>
      <c r="M653" s="42"/>
      <c r="N653" s="46" t="e">
        <f t="shared" si="32"/>
        <v>#DIV/0!</v>
      </c>
      <c r="O653" s="46" t="str">
        <f t="shared" si="33"/>
        <v/>
      </c>
      <c r="P653" s="46">
        <f t="shared" si="34"/>
        <v>1</v>
      </c>
      <c r="Q653" s="46"/>
      <c r="R653" s="45"/>
      <c r="S653" s="45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</row>
    <row r="654" spans="1:31" ht="14.25">
      <c r="A654" s="67" t="s">
        <v>719</v>
      </c>
      <c r="B654" s="68" t="s">
        <v>754</v>
      </c>
      <c r="C654" s="67" t="s">
        <v>526</v>
      </c>
      <c r="D654" s="75" t="n">
        <v>56.95</v>
      </c>
      <c r="E654" s="76" t="s">
        <v>0</v>
      </c>
      <c r="F654" s="57" t="str">
        <f>IFERROR(VLOOKUP(C654,$C$9:H653,4,FALSE),"")</f>
        <v/>
      </c>
      <c r="G654" s="61" t="str">
        <f>IFERROR(VLOOKUP(C654,$C$9:G653,5,FALSE),"")</f>
        <v/>
      </c>
      <c r="H654" s="61" t="str">
        <f>IFERROR(VLOOKUP(C654,$C$9:H653,6,FALSE),"")</f>
        <v/>
      </c>
      <c r="I654" s="61" t="s">
        <v>433</v>
      </c>
      <c r="J654" s="61" t="n">
        <v>56.95</v>
      </c>
      <c r="K654" s="61" t="s">
        <v>434</v>
      </c>
      <c r="L654" s="61" t="s">
        <v>435</v>
      </c>
      <c r="M654" s="42"/>
      <c r="N654" s="46" t="e">
        <f t="shared" si="32"/>
        <v>#DIV/0!</v>
      </c>
      <c r="O654" s="46" t="str">
        <f t="shared" si="33"/>
        <v/>
      </c>
      <c r="P654" s="46">
        <f t="shared" si="34"/>
        <v>1</v>
      </c>
      <c r="Q654" s="46"/>
      <c r="R654" s="45"/>
      <c r="S654" s="45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</row>
    <row r="655" spans="1:31" ht="14.25">
      <c r="A655" s="67" t="s">
        <v>707</v>
      </c>
      <c r="B655" s="68" t="s">
        <v>754</v>
      </c>
      <c r="C655" s="67" t="s">
        <v>5</v>
      </c>
      <c r="D655" s="75" t="n">
        <v>115.0</v>
      </c>
      <c r="E655" s="76" t="s">
        <v>1</v>
      </c>
      <c r="F655" s="57" t="str">
        <f>IFERROR(VLOOKUP(C655,$C$9:H654,4,FALSE),"")</f>
        <v/>
      </c>
      <c r="G655" s="61" t="s">
        <v>346</v>
      </c>
      <c r="H655" s="61" t="s">
        <v>5</v>
      </c>
      <c r="I655" s="61" t="s">
        <v>490</v>
      </c>
      <c r="J655" s="61" t="n">
        <v>0.0</v>
      </c>
      <c r="K655" s="61"/>
      <c r="L655" s="61" t="s">
        <v>445</v>
      </c>
      <c r="M655" s="42"/>
      <c r="N655" s="46" t="e">
        <f t="shared" si="32"/>
        <v>#DIV/0!</v>
      </c>
      <c r="O655" s="46" t="str">
        <f t="shared" si="33"/>
        <v/>
      </c>
      <c r="P655" s="46">
        <f t="shared" si="34"/>
        <v>1</v>
      </c>
      <c r="Q655" s="46"/>
      <c r="R655" s="45"/>
      <c r="S655" s="45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</row>
    <row r="656" spans="1:31" ht="14.25">
      <c r="A656" s="67" t="s">
        <v>705</v>
      </c>
      <c r="B656" s="68" t="s">
        <v>756</v>
      </c>
      <c r="C656" s="67" t="s">
        <v>439</v>
      </c>
      <c r="D656" s="75" t="n">
        <v>114.45</v>
      </c>
      <c r="E656" s="76" t="s">
        <v>0</v>
      </c>
      <c r="F656" s="57" t="str">
        <f>IFERROR(VLOOKUP(C656,$C$9:H655,4,FALSE),"")</f>
        <v/>
      </c>
      <c r="G656" s="61" t="s">
        <v>350</v>
      </c>
      <c r="H656" s="61" t="s">
        <v>404</v>
      </c>
      <c r="I656" s="61" t="s">
        <v>433</v>
      </c>
      <c r="J656" s="61" t="n">
        <v>114.45</v>
      </c>
      <c r="K656" s="61" t="s">
        <v>434</v>
      </c>
      <c r="L656" s="61" t="s">
        <v>435</v>
      </c>
      <c r="M656" s="42"/>
      <c r="N656" s="46" t="e">
        <f t="shared" si="32"/>
        <v>#DIV/0!</v>
      </c>
      <c r="O656" s="46" t="str">
        <f t="shared" si="33"/>
        <v/>
      </c>
      <c r="P656" s="46">
        <f t="shared" si="34"/>
        <v>1</v>
      </c>
      <c r="Q656" s="46"/>
      <c r="R656" s="45"/>
      <c r="S656" s="45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</row>
    <row r="657" spans="1:31" ht="14.25">
      <c r="A657" s="67" t="s">
        <v>705</v>
      </c>
      <c r="B657" s="79" t="s">
        <v>756</v>
      </c>
      <c r="C657" s="77" t="s">
        <v>439</v>
      </c>
      <c r="D657" s="75" t="n">
        <v>146.78</v>
      </c>
      <c r="E657" s="76" t="s">
        <v>0</v>
      </c>
      <c r="F657" s="57" t="str">
        <f>IFERROR(VLOOKUP(C657,$C$9:H656,4,FALSE),"")</f>
        <v/>
      </c>
      <c r="G657" s="61" t="s">
        <v>350</v>
      </c>
      <c r="H657" s="61" t="s">
        <v>404</v>
      </c>
      <c r="I657" s="61" t="s">
        <v>433</v>
      </c>
      <c r="J657" s="61" t="n">
        <v>146.78</v>
      </c>
      <c r="K657" s="61" t="s">
        <v>434</v>
      </c>
      <c r="L657" s="61" t="s">
        <v>435</v>
      </c>
      <c r="M657" s="42"/>
      <c r="N657" s="46" t="e">
        <f t="shared" si="32"/>
        <v>#DIV/0!</v>
      </c>
      <c r="O657" s="46" t="str">
        <f t="shared" si="33"/>
        <v/>
      </c>
      <c r="P657" s="46">
        <f t="shared" si="34"/>
        <v>1</v>
      </c>
      <c r="Q657" s="46"/>
      <c r="R657" s="45"/>
      <c r="S657" s="45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</row>
    <row r="658" spans="1:31" ht="14.25">
      <c r="A658" s="67" t="s">
        <v>707</v>
      </c>
      <c r="B658" s="68" t="s">
        <v>756</v>
      </c>
      <c r="C658" s="67" t="s">
        <v>452</v>
      </c>
      <c r="D658" s="75" t="n">
        <v>60.85</v>
      </c>
      <c r="E658" s="76" t="s">
        <v>0</v>
      </c>
      <c r="F658" s="57" t="str">
        <f>IFERROR(VLOOKUP(C658,$C$9:H657,4,FALSE),"")</f>
        <v/>
      </c>
      <c r="G658" s="61" t="s">
        <v>414</v>
      </c>
      <c r="H658" s="61" t="s">
        <v>414</v>
      </c>
      <c r="I658" s="61"/>
      <c r="J658" s="61" t="n">
        <v>0.0</v>
      </c>
      <c r="K658" s="61"/>
      <c r="L658" s="61" t="s">
        <v>445</v>
      </c>
      <c r="M658" s="42"/>
      <c r="N658" s="46" t="e">
        <f t="shared" si="32"/>
        <v>#DIV/0!</v>
      </c>
      <c r="O658" s="46" t="str">
        <f t="shared" si="33"/>
        <v/>
      </c>
      <c r="P658" s="46">
        <f t="shared" si="34"/>
        <v>1</v>
      </c>
      <c r="Q658" s="46"/>
      <c r="R658" s="45"/>
      <c r="S658" s="45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</row>
    <row r="659" spans="1:31" ht="14.25">
      <c r="A659" s="67" t="s">
        <v>705</v>
      </c>
      <c r="B659" s="68" t="s">
        <v>757</v>
      </c>
      <c r="C659" s="67" t="s">
        <v>439</v>
      </c>
      <c r="D659" s="75" t="n">
        <v>5.24</v>
      </c>
      <c r="E659" s="76" t="s">
        <v>0</v>
      </c>
      <c r="F659" s="57" t="str">
        <f>IFERROR(VLOOKUP(C659,$C$9:H658,4,FALSE),"")</f>
        <v/>
      </c>
      <c r="G659" s="61" t="s">
        <v>350</v>
      </c>
      <c r="H659" s="61" t="s">
        <v>404</v>
      </c>
      <c r="I659" s="61" t="s">
        <v>433</v>
      </c>
      <c r="J659" s="61" t="n">
        <v>5.24</v>
      </c>
      <c r="K659" s="61" t="s">
        <v>434</v>
      </c>
      <c r="L659" s="61" t="s">
        <v>435</v>
      </c>
      <c r="M659" s="42"/>
      <c r="N659" s="46" t="e">
        <f t="shared" si="32"/>
        <v>#DIV/0!</v>
      </c>
      <c r="O659" s="46" t="str">
        <f t="shared" si="33"/>
        <v/>
      </c>
      <c r="P659" s="46">
        <f t="shared" si="34"/>
        <v>1</v>
      </c>
      <c r="Q659" s="46"/>
      <c r="R659" s="45"/>
      <c r="S659" s="45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</row>
    <row r="660" spans="1:31" ht="14.25">
      <c r="A660" s="67" t="s">
        <v>705</v>
      </c>
      <c r="B660" s="68" t="s">
        <v>757</v>
      </c>
      <c r="C660" s="67" t="s">
        <v>442</v>
      </c>
      <c r="D660" s="75" t="n">
        <v>190.0</v>
      </c>
      <c r="E660" s="76" t="s">
        <v>0</v>
      </c>
      <c r="F660" s="57" t="str">
        <f>IFERROR(VLOOKUP(C660,$C$9:H659,4,FALSE),"")</f>
        <v/>
      </c>
      <c r="G660" s="61" t="str">
        <f>IFERROR(VLOOKUP(C660,$C$9:G659,5,FALSE),"")</f>
        <v/>
      </c>
      <c r="H660" s="61" t="str">
        <f>IFERROR(VLOOKUP(C660,$C$9:H659,6,FALSE),"")</f>
        <v/>
      </c>
      <c r="I660" s="61" t="s">
        <v>433</v>
      </c>
      <c r="J660" s="61" t="n">
        <v>190.0</v>
      </c>
      <c r="K660" s="61" t="s">
        <v>434</v>
      </c>
      <c r="L660" s="61" t="s">
        <v>435</v>
      </c>
      <c r="M660" s="42"/>
      <c r="N660" s="46" t="e">
        <f t="shared" si="32"/>
        <v>#DIV/0!</v>
      </c>
      <c r="O660" s="46" t="str">
        <f t="shared" si="33"/>
        <v/>
      </c>
      <c r="P660" s="46">
        <f t="shared" si="34"/>
        <v>1</v>
      </c>
      <c r="Q660" s="46"/>
      <c r="R660" s="45"/>
      <c r="S660" s="45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</row>
    <row r="661" spans="1:31" ht="14.25">
      <c r="A661" s="67" t="s">
        <v>705</v>
      </c>
      <c r="B661" s="68" t="s">
        <v>758</v>
      </c>
      <c r="C661" s="67" t="s">
        <v>432</v>
      </c>
      <c r="D661" s="75" t="n">
        <v>21.0</v>
      </c>
      <c r="E661" s="76" t="s">
        <v>0</v>
      </c>
      <c r="F661" s="57" t="str">
        <f>IFERROR(VLOOKUP(C661,$C$9:H660,4,FALSE),"")</f>
        <v/>
      </c>
      <c r="G661" s="61" t="s">
        <v>350</v>
      </c>
      <c r="H661" s="61" t="s">
        <v>404</v>
      </c>
      <c r="I661" s="61" t="s">
        <v>433</v>
      </c>
      <c r="J661" s="61" t="n">
        <v>21.0</v>
      </c>
      <c r="K661" s="61" t="s">
        <v>434</v>
      </c>
      <c r="L661" s="61" t="s">
        <v>435</v>
      </c>
      <c r="M661" s="42"/>
      <c r="N661" s="46" t="e">
        <f t="shared" si="32"/>
        <v>#DIV/0!</v>
      </c>
      <c r="O661" s="46" t="str">
        <f t="shared" si="33"/>
        <v/>
      </c>
      <c r="P661" s="46">
        <f t="shared" si="34"/>
        <v>1</v>
      </c>
      <c r="Q661" s="46"/>
      <c r="R661" s="45"/>
      <c r="S661" s="45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</row>
    <row r="662" spans="1:31" ht="14.25">
      <c r="A662" s="67" t="s">
        <v>705</v>
      </c>
      <c r="B662" s="68" t="s">
        <v>758</v>
      </c>
      <c r="C662" s="67" t="s">
        <v>449</v>
      </c>
      <c r="D662" s="75" t="n">
        <v>18.0</v>
      </c>
      <c r="E662" s="76" t="s">
        <v>0</v>
      </c>
      <c r="F662" s="57" t="str">
        <f>IFERROR(VLOOKUP(C662,$C$9:H661,4,FALSE),"")</f>
        <v/>
      </c>
      <c r="G662" s="61" t="s">
        <v>350</v>
      </c>
      <c r="H662" s="61" t="s">
        <v>404</v>
      </c>
      <c r="I662" s="61" t="s">
        <v>433</v>
      </c>
      <c r="J662" s="61" t="n">
        <v>18.0</v>
      </c>
      <c r="K662" s="61" t="s">
        <v>434</v>
      </c>
      <c r="L662" s="61" t="s">
        <v>435</v>
      </c>
      <c r="M662" s="42"/>
      <c r="N662" s="46" t="e">
        <f t="shared" si="32"/>
        <v>#DIV/0!</v>
      </c>
      <c r="O662" s="46" t="str">
        <f t="shared" si="33"/>
        <v/>
      </c>
      <c r="P662" s="46">
        <f t="shared" si="34"/>
        <v>1</v>
      </c>
      <c r="Q662" s="46"/>
      <c r="R662" s="45"/>
      <c r="S662" s="45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</row>
    <row r="663" spans="1:31" ht="14.25">
      <c r="A663" s="67" t="s">
        <v>705</v>
      </c>
      <c r="B663" s="68" t="s">
        <v>758</v>
      </c>
      <c r="C663" s="67" t="s">
        <v>530</v>
      </c>
      <c r="D663" s="75" t="n">
        <v>25.0</v>
      </c>
      <c r="E663" s="76" t="s">
        <v>0</v>
      </c>
      <c r="F663" s="57" t="str">
        <f>IFERROR(VLOOKUP(C663,$C$9:H662,4,FALSE),"")</f>
        <v/>
      </c>
      <c r="G663" s="61" t="str">
        <f>IFERROR(VLOOKUP(C663,$C$9:G662,5,FALSE),"")</f>
        <v/>
      </c>
      <c r="H663" s="61" t="str">
        <f>IFERROR(VLOOKUP(C663,$C$9:H662,6,FALSE),"")</f>
        <v/>
      </c>
      <c r="I663" s="61" t="s">
        <v>433</v>
      </c>
      <c r="J663" s="61" t="n">
        <v>25.0</v>
      </c>
      <c r="K663" s="61" t="s">
        <v>434</v>
      </c>
      <c r="L663" s="61" t="s">
        <v>435</v>
      </c>
      <c r="M663" s="42"/>
      <c r="N663" s="46" t="e">
        <f t="shared" si="32"/>
        <v>#DIV/0!</v>
      </c>
      <c r="O663" s="46" t="str">
        <f t="shared" si="33"/>
        <v/>
      </c>
      <c r="P663" s="46">
        <f t="shared" si="34"/>
        <v>1</v>
      </c>
      <c r="Q663" s="46"/>
      <c r="R663" s="45"/>
      <c r="S663" s="45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</row>
    <row r="664" spans="1:31" ht="14.25">
      <c r="A664" s="67" t="s">
        <v>705</v>
      </c>
      <c r="B664" s="68" t="s">
        <v>758</v>
      </c>
      <c r="C664" s="67" t="s">
        <v>440</v>
      </c>
      <c r="D664" s="75" t="n">
        <v>37.5</v>
      </c>
      <c r="E664" s="76" t="s">
        <v>0</v>
      </c>
      <c r="F664" s="57" t="str">
        <f>IFERROR(VLOOKUP(C664,$C$9:H663,4,FALSE),"")</f>
        <v/>
      </c>
      <c r="G664" s="61" t="str">
        <f>IFERROR(VLOOKUP(C664,$C$9:G663,5,FALSE),"")</f>
        <v/>
      </c>
      <c r="H664" s="61" t="str">
        <f>IFERROR(VLOOKUP(C664,$C$9:H663,6,FALSE),"")</f>
        <v/>
      </c>
      <c r="I664" s="61" t="s">
        <v>433</v>
      </c>
      <c r="J664" s="61" t="n">
        <v>37.5</v>
      </c>
      <c r="K664" s="61" t="s">
        <v>434</v>
      </c>
      <c r="L664" s="61" t="s">
        <v>435</v>
      </c>
      <c r="M664" s="42"/>
      <c r="N664" s="46" t="e">
        <f t="shared" si="32"/>
        <v>#DIV/0!</v>
      </c>
      <c r="O664" s="46" t="str">
        <f t="shared" si="33"/>
        <v/>
      </c>
      <c r="P664" s="46">
        <f t="shared" si="34"/>
        <v>1</v>
      </c>
      <c r="Q664" s="46"/>
      <c r="R664" s="45"/>
      <c r="S664" s="45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</row>
    <row r="665" spans="1:31" ht="14.25">
      <c r="A665" s="67" t="s">
        <v>705</v>
      </c>
      <c r="B665" s="68" t="s">
        <v>758</v>
      </c>
      <c r="C665" s="67" t="s">
        <v>513</v>
      </c>
      <c r="D665" s="75" t="n">
        <v>15.0</v>
      </c>
      <c r="E665" s="76" t="s">
        <v>0</v>
      </c>
      <c r="F665" s="57" t="str">
        <f>IFERROR(VLOOKUP(C665,$C$9:H664,4,FALSE),"")</f>
        <v/>
      </c>
      <c r="G665" s="61" t="str">
        <f>IFERROR(VLOOKUP(C665,$C$9:G664,5,FALSE),"")</f>
        <v/>
      </c>
      <c r="H665" s="61" t="str">
        <f>IFERROR(VLOOKUP(C665,$C$9:H664,6,FALSE),"")</f>
        <v/>
      </c>
      <c r="I665" s="61" t="s">
        <v>677</v>
      </c>
      <c r="J665" s="61" t="n">
        <v>15.0</v>
      </c>
      <c r="K665" s="61" t="s">
        <v>434</v>
      </c>
      <c r="L665" s="61" t="s">
        <v>435</v>
      </c>
      <c r="M665" s="42"/>
      <c r="N665" s="46" t="e">
        <f t="shared" si="32"/>
        <v>#DIV/0!</v>
      </c>
      <c r="O665" s="46" t="str">
        <f t="shared" si="33"/>
        <v/>
      </c>
      <c r="P665" s="46">
        <f t="shared" si="34"/>
        <v>1</v>
      </c>
      <c r="Q665" s="46"/>
      <c r="R665" s="45"/>
      <c r="S665" s="45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</row>
    <row r="666" spans="1:31" ht="14.25">
      <c r="A666" s="67" t="s">
        <v>718</v>
      </c>
      <c r="B666" s="68" t="s">
        <v>758</v>
      </c>
      <c r="C666" s="67" t="s">
        <v>759</v>
      </c>
      <c r="D666" s="75" t="n">
        <v>72.9</v>
      </c>
      <c r="E666" s="76" t="s">
        <v>0</v>
      </c>
      <c r="F666" s="57" t="str">
        <f>IFERROR(VLOOKUP(C666,$C$9:H665,4,FALSE),"")</f>
        <v/>
      </c>
      <c r="G666" s="61" t="str">
        <f>IFERROR(VLOOKUP(C666,$C$9:G665,5,FALSE),"")</f>
        <v/>
      </c>
      <c r="H666" s="61" t="str">
        <f>IFERROR(VLOOKUP(C666,$C$9:H665,6,FALSE),"")</f>
        <v/>
      </c>
      <c r="I666" s="61" t="s">
        <v>433</v>
      </c>
      <c r="J666" s="61" t="n">
        <v>72.9</v>
      </c>
      <c r="K666" s="61" t="s">
        <v>434</v>
      </c>
      <c r="L666" s="61" t="s">
        <v>435</v>
      </c>
      <c r="M666" s="42"/>
      <c r="N666" s="46" t="e">
        <f t="shared" si="32"/>
        <v>#DIV/0!</v>
      </c>
      <c r="O666" s="46" t="str">
        <f t="shared" si="33"/>
        <v/>
      </c>
      <c r="P666" s="46">
        <f t="shared" si="34"/>
        <v>1</v>
      </c>
      <c r="Q666" s="46"/>
      <c r="R666" s="45"/>
      <c r="S666" s="45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</row>
    <row r="667" spans="1:31" ht="14.25">
      <c r="A667" s="67" t="s">
        <v>707</v>
      </c>
      <c r="B667" s="68" t="s">
        <v>758</v>
      </c>
      <c r="C667" s="67" t="s">
        <v>546</v>
      </c>
      <c r="D667" s="75" t="n">
        <v>3820.0</v>
      </c>
      <c r="E667" s="76" t="s">
        <v>1</v>
      </c>
      <c r="F667" s="57" t="str">
        <f>IFERROR(VLOOKUP(C667,$C$9:H666,4,FALSE),"")</f>
        <v/>
      </c>
      <c r="G667" s="61" t="str">
        <f>IFERROR(VLOOKUP(C667,$C$9:G666,5,FALSE),"")</f>
        <v/>
      </c>
      <c r="H667" s="61" t="str">
        <f>IFERROR(VLOOKUP(C667,$C$9:H666,6,FALSE),"")</f>
        <v/>
      </c>
      <c r="I667" s="61" t="s">
        <v>490</v>
      </c>
      <c r="J667" s="61" t="n">
        <v>0.0</v>
      </c>
      <c r="K667" s="61"/>
      <c r="L667" s="61" t="s">
        <v>445</v>
      </c>
      <c r="M667" s="42"/>
      <c r="N667" s="46" t="e">
        <f t="shared" si="32"/>
        <v>#DIV/0!</v>
      </c>
      <c r="O667" s="46" t="str">
        <f t="shared" si="33"/>
        <v/>
      </c>
      <c r="P667" s="46">
        <f t="shared" si="34"/>
        <v>1</v>
      </c>
      <c r="Q667" s="46"/>
      <c r="R667" s="45"/>
      <c r="S667" s="45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</row>
    <row r="668" spans="1:31" ht="14.25">
      <c r="A668" s="67" t="s">
        <v>707</v>
      </c>
      <c r="B668" s="68" t="s">
        <v>758</v>
      </c>
      <c r="C668" s="67" t="s">
        <v>546</v>
      </c>
      <c r="D668" s="75" t="n">
        <v>5802.0</v>
      </c>
      <c r="E668" s="76" t="s">
        <v>1</v>
      </c>
      <c r="F668" s="57" t="str">
        <f>IFERROR(VLOOKUP(C668,$C$9:H667,4,FALSE),"")</f>
        <v/>
      </c>
      <c r="G668" s="61" t="str">
        <f>IFERROR(VLOOKUP(C668,$C$9:G667,5,FALSE),"")</f>
        <v/>
      </c>
      <c r="H668" s="61" t="str">
        <f>IFERROR(VLOOKUP(C668,$C$9:H667,6,FALSE),"")</f>
        <v/>
      </c>
      <c r="I668" s="61" t="s">
        <v>490</v>
      </c>
      <c r="J668" s="61" t="n">
        <v>0.0</v>
      </c>
      <c r="K668" s="61"/>
      <c r="L668" s="61" t="s">
        <v>445</v>
      </c>
      <c r="M668" s="42"/>
      <c r="N668" s="46" t="e">
        <f t="shared" si="32"/>
        <v>#DIV/0!</v>
      </c>
      <c r="O668" s="46" t="str">
        <f t="shared" si="33"/>
        <v/>
      </c>
      <c r="P668" s="46">
        <f t="shared" si="34"/>
        <v>1</v>
      </c>
      <c r="Q668" s="46"/>
      <c r="R668" s="45"/>
      <c r="S668" s="45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</row>
    <row r="669" spans="1:31" ht="14.25">
      <c r="A669" s="67" t="s">
        <v>707</v>
      </c>
      <c r="B669" s="68" t="s">
        <v>758</v>
      </c>
      <c r="C669" s="67" t="s">
        <v>465</v>
      </c>
      <c r="D669" s="75" t="n">
        <v>500.0</v>
      </c>
      <c r="E669" s="76" t="s">
        <v>1</v>
      </c>
      <c r="F669" s="57" t="str">
        <f>IFERROR(VLOOKUP(C669,$C$9:H668,4,FALSE),"")</f>
        <v/>
      </c>
      <c r="G669" s="61" t="str">
        <f>IFERROR(VLOOKUP(C669,$C$9:G668,5,FALSE),"")</f>
        <v/>
      </c>
      <c r="H669" s="61" t="str">
        <f>IFERROR(VLOOKUP(C669,$C$9:H668,6,FALSE),"")</f>
        <v/>
      </c>
      <c r="I669" s="61" t="s">
        <v>466</v>
      </c>
      <c r="J669" s="61" t="n">
        <v>0.0</v>
      </c>
      <c r="K669" s="61"/>
      <c r="L669" s="61" t="s">
        <v>445</v>
      </c>
      <c r="M669" s="42"/>
      <c r="N669" s="46" t="e">
        <f t="shared" si="32"/>
        <v>#DIV/0!</v>
      </c>
      <c r="O669" s="46" t="str">
        <f t="shared" si="33"/>
        <v/>
      </c>
      <c r="P669" s="46">
        <f t="shared" si="34"/>
        <v>1</v>
      </c>
      <c r="Q669" s="46"/>
      <c r="R669" s="45"/>
      <c r="S669" s="45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</row>
    <row r="670" spans="1:31" ht="14.25">
      <c r="A670" s="67" t="s">
        <v>705</v>
      </c>
      <c r="B670" s="68" t="s">
        <v>760</v>
      </c>
      <c r="C670" s="67" t="s">
        <v>761</v>
      </c>
      <c r="D670" s="75" t="n">
        <v>-90.0</v>
      </c>
      <c r="E670" s="76" t="s">
        <v>0</v>
      </c>
      <c r="F670" s="57" t="str">
        <f>IFERROR(VLOOKUP(C670,$C$9:H669,4,FALSE),"")</f>
        <v/>
      </c>
      <c r="G670" s="61" t="str">
        <f>IFERROR(VLOOKUP(C670,$C$9:G669,5,FALSE),"")</f>
        <v/>
      </c>
      <c r="H670" s="61" t="str">
        <f>IFERROR(VLOOKUP(C670,$C$9:H669,6,FALSE),"")</f>
        <v/>
      </c>
      <c r="I670" s="61" t="s">
        <v>479</v>
      </c>
      <c r="J670" s="61" t="n">
        <v>90.0</v>
      </c>
      <c r="K670" s="61" t="s">
        <v>434</v>
      </c>
      <c r="L670" s="61" t="s">
        <v>435</v>
      </c>
      <c r="M670" s="42"/>
      <c r="N670" s="46" t="e">
        <f t="shared" si="32"/>
        <v>#DIV/0!</v>
      </c>
      <c r="O670" s="46" t="str">
        <f t="shared" si="33"/>
        <v/>
      </c>
      <c r="P670" s="46">
        <f t="shared" si="34"/>
        <v>1</v>
      </c>
      <c r="Q670" s="46"/>
      <c r="R670" s="45"/>
      <c r="S670" s="45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</row>
    <row r="671" spans="1:31" ht="14.25">
      <c r="A671" s="67" t="s">
        <v>705</v>
      </c>
      <c r="B671" s="68" t="s">
        <v>760</v>
      </c>
      <c r="C671" s="67" t="s">
        <v>639</v>
      </c>
      <c r="D671" s="75" t="n">
        <v>550.0</v>
      </c>
      <c r="E671" s="76" t="s">
        <v>0</v>
      </c>
      <c r="F671" s="57" t="str">
        <f>IFERROR(VLOOKUP(C671,$C$9:H670,4,FALSE),"")</f>
        <v/>
      </c>
      <c r="G671" s="61" t="str">
        <f>IFERROR(VLOOKUP(C671,$C$9:G670,5,FALSE),"")</f>
        <v/>
      </c>
      <c r="H671" s="61" t="str">
        <f>IFERROR(VLOOKUP(C671,$C$9:H670,6,FALSE),"")</f>
        <v/>
      </c>
      <c r="I671" s="61" t="s">
        <v>762</v>
      </c>
      <c r="J671" s="61" t="n">
        <v>550.0</v>
      </c>
      <c r="K671" s="61" t="s">
        <v>434</v>
      </c>
      <c r="L671" s="61" t="s">
        <v>435</v>
      </c>
      <c r="M671" s="42"/>
      <c r="N671" s="46" t="e">
        <f t="shared" si="32"/>
        <v>#DIV/0!</v>
      </c>
      <c r="O671" s="46" t="str">
        <f t="shared" si="33"/>
        <v/>
      </c>
      <c r="P671" s="46">
        <f t="shared" si="34"/>
        <v>1</v>
      </c>
      <c r="Q671" s="46"/>
      <c r="R671" s="45"/>
      <c r="S671" s="45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</row>
    <row r="672" spans="1:31" ht="14.25">
      <c r="A672" s="67" t="s">
        <v>705</v>
      </c>
      <c r="B672" s="68" t="s">
        <v>760</v>
      </c>
      <c r="C672" s="67" t="s">
        <v>439</v>
      </c>
      <c r="D672" s="75" t="n">
        <v>74.55</v>
      </c>
      <c r="E672" s="76" t="s">
        <v>0</v>
      </c>
      <c r="F672" s="57" t="str">
        <f>IFERROR(VLOOKUP(C672,$C$9:H671,4,FALSE),"")</f>
        <v/>
      </c>
      <c r="G672" s="61" t="s">
        <v>350</v>
      </c>
      <c r="H672" s="61" t="s">
        <v>404</v>
      </c>
      <c r="I672" s="61" t="s">
        <v>433</v>
      </c>
      <c r="J672" s="61" t="n">
        <v>74.55</v>
      </c>
      <c r="K672" s="61" t="s">
        <v>434</v>
      </c>
      <c r="L672" s="61" t="s">
        <v>435</v>
      </c>
      <c r="M672" s="42"/>
      <c r="N672" s="46" t="e">
        <f t="shared" si="32"/>
        <v>#DIV/0!</v>
      </c>
      <c r="O672" s="46" t="str">
        <f t="shared" si="33"/>
        <v/>
      </c>
      <c r="P672" s="46">
        <f t="shared" si="34"/>
        <v>1</v>
      </c>
      <c r="Q672" s="46"/>
      <c r="R672" s="45"/>
      <c r="S672" s="45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</row>
    <row r="673" spans="1:31" ht="14.25">
      <c r="A673" s="67" t="s">
        <v>705</v>
      </c>
      <c r="B673" s="68" t="s">
        <v>760</v>
      </c>
      <c r="C673" s="67" t="s">
        <v>439</v>
      </c>
      <c r="D673" s="75" t="n">
        <v>114.56</v>
      </c>
      <c r="E673" s="76" t="s">
        <v>0</v>
      </c>
      <c r="F673" s="57" t="str">
        <f>IFERROR(VLOOKUP(C673,$C$9:H672,4,FALSE),"")</f>
        <v/>
      </c>
      <c r="G673" s="61" t="s">
        <v>350</v>
      </c>
      <c r="H673" s="61" t="s">
        <v>404</v>
      </c>
      <c r="I673" s="61" t="s">
        <v>433</v>
      </c>
      <c r="J673" s="61" t="n">
        <v>114.56</v>
      </c>
      <c r="K673" s="61" t="s">
        <v>434</v>
      </c>
      <c r="L673" s="61" t="s">
        <v>435</v>
      </c>
      <c r="M673" s="42"/>
      <c r="N673" s="46" t="e">
        <f t="shared" si="32"/>
        <v>#DIV/0!</v>
      </c>
      <c r="O673" s="46" t="str">
        <f t="shared" si="33"/>
        <v/>
      </c>
      <c r="P673" s="46">
        <f t="shared" si="34"/>
        <v>1</v>
      </c>
      <c r="Q673" s="46"/>
      <c r="R673" s="45"/>
      <c r="S673" s="45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</row>
    <row r="674" spans="1:31" ht="14.25">
      <c r="A674" s="67" t="s">
        <v>705</v>
      </c>
      <c r="B674" s="68" t="s">
        <v>763</v>
      </c>
      <c r="C674" s="67" t="s">
        <v>439</v>
      </c>
      <c r="D674" s="75" t="n">
        <v>106.05</v>
      </c>
      <c r="E674" s="76" t="s">
        <v>0</v>
      </c>
      <c r="F674" s="57" t="str">
        <f>IFERROR(VLOOKUP(C674,$C$9:H673,4,FALSE),"")</f>
        <v/>
      </c>
      <c r="G674" s="61" t="s">
        <v>350</v>
      </c>
      <c r="H674" s="61" t="s">
        <v>404</v>
      </c>
      <c r="I674" s="61" t="s">
        <v>433</v>
      </c>
      <c r="J674" s="61" t="n">
        <v>106.05</v>
      </c>
      <c r="K674" s="61" t="s">
        <v>434</v>
      </c>
      <c r="L674" s="61" t="s">
        <v>435</v>
      </c>
      <c r="M674" s="42"/>
      <c r="N674" s="46" t="e">
        <f t="shared" si="32"/>
        <v>#DIV/0!</v>
      </c>
      <c r="O674" s="46" t="str">
        <f t="shared" si="33"/>
        <v/>
      </c>
      <c r="P674" s="46">
        <f t="shared" si="34"/>
        <v>1</v>
      </c>
      <c r="Q674" s="46"/>
      <c r="R674" s="45"/>
      <c r="S674" s="45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</row>
    <row r="675" spans="1:31" ht="14.25">
      <c r="A675" s="67" t="s">
        <v>705</v>
      </c>
      <c r="B675" s="68" t="s">
        <v>764</v>
      </c>
      <c r="C675" s="67" t="s">
        <v>460</v>
      </c>
      <c r="D675" s="75" t="n">
        <v>300.07</v>
      </c>
      <c r="E675" s="76" t="s">
        <v>0</v>
      </c>
      <c r="F675" s="57" t="str">
        <f>IFERROR(VLOOKUP(C675,$C$9:H674,4,FALSE),"")</f>
        <v/>
      </c>
      <c r="G675" s="61" t="str">
        <f>IFERROR(VLOOKUP(C675,$C$9:G674,5,FALSE),"")</f>
        <v/>
      </c>
      <c r="H675" s="61" t="str">
        <f>IFERROR(VLOOKUP(C675,$C$9:H674,6,FALSE),"")</f>
        <v/>
      </c>
      <c r="I675" s="61" t="s">
        <v>433</v>
      </c>
      <c r="J675" s="61" t="n">
        <v>300.07</v>
      </c>
      <c r="K675" s="61" t="s">
        <v>434</v>
      </c>
      <c r="L675" s="61" t="s">
        <v>435</v>
      </c>
      <c r="M675" s="42"/>
      <c r="N675" s="46" t="e">
        <f t="shared" si="32"/>
        <v>#DIV/0!</v>
      </c>
      <c r="O675" s="46" t="str">
        <f t="shared" si="33"/>
        <v/>
      </c>
      <c r="P675" s="46">
        <f t="shared" si="34"/>
        <v>1</v>
      </c>
      <c r="Q675" s="46"/>
      <c r="R675" s="45"/>
      <c r="S675" s="45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</row>
    <row r="676" spans="1:31" ht="14.25">
      <c r="A676" s="67" t="s">
        <v>705</v>
      </c>
      <c r="B676" s="68" t="s">
        <v>765</v>
      </c>
      <c r="C676" s="67" t="s">
        <v>537</v>
      </c>
      <c r="D676" s="75" t="n">
        <v>120.0</v>
      </c>
      <c r="E676" s="76" t="s">
        <v>0</v>
      </c>
      <c r="F676" s="57" t="str">
        <f>IFERROR(VLOOKUP(C676,$C$9:H675,4,FALSE),"")</f>
        <v/>
      </c>
      <c r="G676" s="61" t="s">
        <v>350</v>
      </c>
      <c r="H676" s="61" t="s">
        <v>340</v>
      </c>
      <c r="I676" s="61" t="s">
        <v>437</v>
      </c>
      <c r="J676" s="61" t="n">
        <v>120.0</v>
      </c>
      <c r="K676" s="61" t="s">
        <v>434</v>
      </c>
      <c r="L676" s="61" t="s">
        <v>435</v>
      </c>
      <c r="M676" s="42"/>
      <c r="N676" s="46" t="e">
        <f t="shared" si="32"/>
        <v>#DIV/0!</v>
      </c>
      <c r="O676" s="46" t="str">
        <f t="shared" si="33"/>
        <v/>
      </c>
      <c r="P676" s="46">
        <f t="shared" si="34"/>
        <v>1</v>
      </c>
      <c r="Q676" s="46"/>
      <c r="R676" s="45"/>
      <c r="S676" s="45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</row>
    <row r="677" spans="1:31" ht="14.25">
      <c r="A677" s="67" t="s">
        <v>705</v>
      </c>
      <c r="B677" s="68" t="s">
        <v>765</v>
      </c>
      <c r="C677" s="67" t="s">
        <v>766</v>
      </c>
      <c r="D677" s="75" t="n">
        <v>96.2</v>
      </c>
      <c r="E677" s="76" t="s">
        <v>0</v>
      </c>
      <c r="F677" s="57" t="str">
        <f>IFERROR(VLOOKUP(C677,$C$9:H676,4,FALSE),"")</f>
        <v/>
      </c>
      <c r="G677" s="61" t="str">
        <f>IFERROR(VLOOKUP(C677,$C$9:G676,5,FALSE),"")</f>
        <v/>
      </c>
      <c r="H677" s="61" t="str">
        <f>IFERROR(VLOOKUP(C677,$C$9:H676,6,FALSE),"")</f>
        <v/>
      </c>
      <c r="I677" s="61" t="s">
        <v>433</v>
      </c>
      <c r="J677" s="61" t="n">
        <v>96.2</v>
      </c>
      <c r="K677" s="61" t="s">
        <v>434</v>
      </c>
      <c r="L677" s="61" t="s">
        <v>435</v>
      </c>
      <c r="M677" s="42"/>
      <c r="N677" s="46" t="e">
        <f t="shared" si="32"/>
        <v>#DIV/0!</v>
      </c>
      <c r="O677" s="46" t="str">
        <f t="shared" si="33"/>
        <v/>
      </c>
      <c r="P677" s="46">
        <f t="shared" si="34"/>
        <v>1</v>
      </c>
      <c r="Q677" s="46"/>
      <c r="R677" s="45"/>
      <c r="S677" s="45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</row>
    <row r="678" spans="1:31" ht="14.25">
      <c r="A678" s="67" t="s">
        <v>705</v>
      </c>
      <c r="B678" s="68" t="s">
        <v>767</v>
      </c>
      <c r="C678" s="67" t="s">
        <v>541</v>
      </c>
      <c r="D678" s="75" t="n">
        <v>217.14</v>
      </c>
      <c r="E678" s="76" t="s">
        <v>0</v>
      </c>
      <c r="F678" s="57" t="str">
        <f>IFERROR(VLOOKUP(C678,$C$9:H677,4,FALSE),"")</f>
        <v/>
      </c>
      <c r="G678" s="61" t="s">
        <v>354</v>
      </c>
      <c r="H678" s="61" t="s">
        <v>400</v>
      </c>
      <c r="I678" s="61" t="s">
        <v>437</v>
      </c>
      <c r="J678" s="61" t="n">
        <v>217.14</v>
      </c>
      <c r="K678" s="61" t="s">
        <v>434</v>
      </c>
      <c r="L678" s="61" t="s">
        <v>435</v>
      </c>
      <c r="M678" s="42"/>
      <c r="N678" s="46" t="e">
        <f t="shared" si="32"/>
        <v>#DIV/0!</v>
      </c>
      <c r="O678" s="46" t="str">
        <f t="shared" si="33"/>
        <v/>
      </c>
      <c r="P678" s="46">
        <f t="shared" si="34"/>
        <v>1</v>
      </c>
      <c r="Q678" s="46"/>
      <c r="R678" s="45"/>
      <c r="S678" s="45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</row>
    <row r="679" spans="1:31" ht="14.25">
      <c r="A679" s="67" t="s">
        <v>705</v>
      </c>
      <c r="B679" s="79" t="s">
        <v>767</v>
      </c>
      <c r="C679" s="77" t="s">
        <v>627</v>
      </c>
      <c r="D679" s="75" t="n">
        <v>105.0</v>
      </c>
      <c r="E679" s="76" t="s">
        <v>0</v>
      </c>
      <c r="F679" s="57" t="str">
        <f>IFERROR(VLOOKUP(C679,$C$9:H678,4,FALSE),"")</f>
        <v/>
      </c>
      <c r="G679" s="61" t="str">
        <f>IFERROR(VLOOKUP(C679,$C$9:G678,5,FALSE),"")</f>
        <v/>
      </c>
      <c r="H679" s="61" t="str">
        <f>IFERROR(VLOOKUP(C679,$C$9:H678,6,FALSE),"")</f>
        <v/>
      </c>
      <c r="I679" s="61" t="s">
        <v>433</v>
      </c>
      <c r="J679" s="61" t="n">
        <v>105.0</v>
      </c>
      <c r="K679" s="61" t="s">
        <v>434</v>
      </c>
      <c r="L679" s="61" t="s">
        <v>435</v>
      </c>
      <c r="M679" s="42"/>
      <c r="N679" s="46" t="e">
        <f t="shared" si="32"/>
        <v>#DIV/0!</v>
      </c>
      <c r="O679" s="46" t="str">
        <f t="shared" si="33"/>
        <v/>
      </c>
      <c r="P679" s="46">
        <f t="shared" si="34"/>
        <v>1</v>
      </c>
      <c r="Q679" s="46"/>
      <c r="R679" s="45"/>
      <c r="S679" s="45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</row>
    <row r="680" spans="1:31" ht="14.25">
      <c r="A680" s="67" t="s">
        <v>705</v>
      </c>
      <c r="B680" s="68" t="s">
        <v>767</v>
      </c>
      <c r="C680" s="67" t="s">
        <v>494</v>
      </c>
      <c r="D680" s="75" t="n">
        <v>18.0</v>
      </c>
      <c r="E680" s="76" t="s">
        <v>0</v>
      </c>
      <c r="F680" s="57" t="str">
        <f>IFERROR(VLOOKUP(C680,$C$9:H679,4,FALSE),"")</f>
        <v/>
      </c>
      <c r="G680" s="61" t="s">
        <v>350</v>
      </c>
      <c r="H680" s="61" t="s">
        <v>404</v>
      </c>
      <c r="I680" s="61" t="s">
        <v>433</v>
      </c>
      <c r="J680" s="61" t="n">
        <v>18.0</v>
      </c>
      <c r="K680" s="61" t="s">
        <v>434</v>
      </c>
      <c r="L680" s="61" t="s">
        <v>435</v>
      </c>
      <c r="M680" s="42"/>
      <c r="N680" s="46" t="e">
        <f t="shared" si="32"/>
        <v>#DIV/0!</v>
      </c>
      <c r="O680" s="46" t="str">
        <f t="shared" si="33"/>
        <v/>
      </c>
      <c r="P680" s="46">
        <f t="shared" si="34"/>
        <v>1</v>
      </c>
      <c r="Q680" s="46"/>
      <c r="R680" s="45"/>
      <c r="S680" s="45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</row>
    <row r="681" spans="1:31" ht="14.25">
      <c r="A681" s="67" t="s">
        <v>705</v>
      </c>
      <c r="B681" s="68" t="s">
        <v>767</v>
      </c>
      <c r="C681" s="67" t="s">
        <v>495</v>
      </c>
      <c r="D681" s="75" t="n">
        <v>33.9</v>
      </c>
      <c r="E681" s="76" t="s">
        <v>0</v>
      </c>
      <c r="F681" s="57" t="str">
        <f>IFERROR(VLOOKUP(C681,$C$9:H680,4,FALSE),"")</f>
        <v/>
      </c>
      <c r="G681" s="61" t="s">
        <v>352</v>
      </c>
      <c r="H681" s="61" t="s">
        <v>293</v>
      </c>
      <c r="I681" s="61" t="s">
        <v>433</v>
      </c>
      <c r="J681" s="61" t="n">
        <v>33.9</v>
      </c>
      <c r="K681" s="61" t="s">
        <v>434</v>
      </c>
      <c r="L681" s="61" t="s">
        <v>435</v>
      </c>
      <c r="M681" s="42"/>
      <c r="N681" s="46" t="e">
        <f t="shared" si="32"/>
        <v>#DIV/0!</v>
      </c>
      <c r="O681" s="46" t="str">
        <f t="shared" si="33"/>
        <v/>
      </c>
      <c r="P681" s="46">
        <f t="shared" si="34"/>
        <v>1</v>
      </c>
      <c r="Q681" s="46"/>
      <c r="R681" s="45"/>
      <c r="S681" s="45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</row>
    <row r="682" spans="1:31" ht="14.25">
      <c r="A682" s="67" t="s">
        <v>705</v>
      </c>
      <c r="B682" s="68" t="s">
        <v>767</v>
      </c>
      <c r="C682" s="67" t="s">
        <v>440</v>
      </c>
      <c r="D682" s="75" t="n">
        <v>37.5</v>
      </c>
      <c r="E682" s="76" t="s">
        <v>0</v>
      </c>
      <c r="F682" s="57" t="str">
        <f>IFERROR(VLOOKUP(C682,$C$9:H681,4,FALSE),"")</f>
        <v/>
      </c>
      <c r="G682" s="61" t="str">
        <f>IFERROR(VLOOKUP(C682,$C$9:G681,5,FALSE),"")</f>
        <v/>
      </c>
      <c r="H682" s="61" t="str">
        <f>IFERROR(VLOOKUP(C682,$C$9:H681,6,FALSE),"")</f>
        <v/>
      </c>
      <c r="I682" s="61" t="s">
        <v>433</v>
      </c>
      <c r="J682" s="61" t="n">
        <v>37.5</v>
      </c>
      <c r="K682" s="61" t="s">
        <v>434</v>
      </c>
      <c r="L682" s="61" t="s">
        <v>435</v>
      </c>
      <c r="M682" s="42"/>
      <c r="N682" s="46" t="e">
        <f t="shared" si="32"/>
        <v>#DIV/0!</v>
      </c>
      <c r="O682" s="46" t="str">
        <f t="shared" si="33"/>
        <v/>
      </c>
      <c r="P682" s="46">
        <f t="shared" si="34"/>
        <v>1</v>
      </c>
      <c r="Q682" s="46"/>
      <c r="R682" s="45"/>
      <c r="S682" s="45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</row>
    <row r="683" spans="1:31" ht="14.25">
      <c r="A683" s="67" t="s">
        <v>705</v>
      </c>
      <c r="B683" s="68" t="s">
        <v>767</v>
      </c>
      <c r="C683" s="67" t="s">
        <v>441</v>
      </c>
      <c r="D683" s="75" t="n">
        <v>18.0</v>
      </c>
      <c r="E683" s="76" t="s">
        <v>0</v>
      </c>
      <c r="F683" s="57" t="str">
        <f>IFERROR(VLOOKUP(C683,$C$9:H682,4,FALSE),"")</f>
        <v/>
      </c>
      <c r="G683" s="61" t="str">
        <f>IFERROR(VLOOKUP(C683,$C$9:G682,5,FALSE),"")</f>
        <v/>
      </c>
      <c r="H683" s="61" t="str">
        <f>IFERROR(VLOOKUP(C683,$C$9:H682,6,FALSE),"")</f>
        <v/>
      </c>
      <c r="I683" s="61" t="s">
        <v>433</v>
      </c>
      <c r="J683" s="61" t="n">
        <v>18.0</v>
      </c>
      <c r="K683" s="61" t="s">
        <v>434</v>
      </c>
      <c r="L683" s="61" t="s">
        <v>435</v>
      </c>
      <c r="M683" s="42"/>
      <c r="N683" s="46" t="e">
        <f t="shared" si="32"/>
        <v>#DIV/0!</v>
      </c>
      <c r="O683" s="46" t="str">
        <f t="shared" si="33"/>
        <v/>
      </c>
      <c r="P683" s="46">
        <f t="shared" si="34"/>
        <v>1</v>
      </c>
      <c r="Q683" s="46"/>
      <c r="R683" s="45"/>
      <c r="S683" s="45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</row>
    <row r="684" spans="1:31" ht="14.25">
      <c r="A684" s="67" t="s">
        <v>705</v>
      </c>
      <c r="B684" s="68" t="s">
        <v>767</v>
      </c>
      <c r="C684" s="67" t="s">
        <v>458</v>
      </c>
      <c r="D684" s="75" t="n">
        <v>3.0</v>
      </c>
      <c r="E684" s="76" t="s">
        <v>0</v>
      </c>
      <c r="F684" s="57" t="str">
        <f>IFERROR(VLOOKUP(C684,$C$9:H683,4,FALSE),"")</f>
        <v/>
      </c>
      <c r="G684" s="61" t="s">
        <v>350</v>
      </c>
      <c r="H684" s="61" t="s">
        <v>404</v>
      </c>
      <c r="I684" s="61" t="s">
        <v>433</v>
      </c>
      <c r="J684" s="61" t="n">
        <v>3.0</v>
      </c>
      <c r="K684" s="61" t="s">
        <v>434</v>
      </c>
      <c r="L684" s="61" t="s">
        <v>435</v>
      </c>
      <c r="M684" s="42"/>
      <c r="N684" s="46" t="e">
        <f t="shared" si="32"/>
        <v>#DIV/0!</v>
      </c>
      <c r="O684" s="46" t="str">
        <f t="shared" si="33"/>
        <v/>
      </c>
      <c r="P684" s="46">
        <f t="shared" si="34"/>
        <v>1</v>
      </c>
      <c r="Q684" s="46"/>
      <c r="R684" s="45"/>
      <c r="S684" s="45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</row>
    <row r="685" spans="1:31" ht="14.25">
      <c r="A685" s="67" t="s">
        <v>705</v>
      </c>
      <c r="B685" s="68" t="s">
        <v>767</v>
      </c>
      <c r="C685" s="67" t="s">
        <v>676</v>
      </c>
      <c r="D685" s="75" t="n">
        <v>18.0</v>
      </c>
      <c r="E685" s="76" t="s">
        <v>0</v>
      </c>
      <c r="F685" s="57" t="str">
        <f>IFERROR(VLOOKUP(C685,$C$9:H684,4,FALSE),"")</f>
        <v/>
      </c>
      <c r="G685" s="61" t="str">
        <f>IFERROR(VLOOKUP(C685,$C$9:G684,5,FALSE),"")</f>
        <v/>
      </c>
      <c r="H685" s="61" t="str">
        <f>IFERROR(VLOOKUP(C685,$C$9:H684,6,FALSE),"")</f>
        <v/>
      </c>
      <c r="I685" s="61" t="s">
        <v>433</v>
      </c>
      <c r="J685" s="61" t="n">
        <v>18.0</v>
      </c>
      <c r="K685" s="61" t="s">
        <v>434</v>
      </c>
      <c r="L685" s="61" t="s">
        <v>435</v>
      </c>
      <c r="M685" s="42"/>
      <c r="N685" s="46" t="e">
        <f t="shared" si="32"/>
        <v>#DIV/0!</v>
      </c>
      <c r="O685" s="46" t="str">
        <f t="shared" si="33"/>
        <v/>
      </c>
      <c r="P685" s="46">
        <f t="shared" si="34"/>
        <v>1</v>
      </c>
      <c r="Q685" s="46"/>
      <c r="R685" s="45"/>
      <c r="S685" s="45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</row>
    <row r="686" spans="1:31" ht="14.25">
      <c r="A686" s="67" t="s">
        <v>705</v>
      </c>
      <c r="B686" s="68" t="s">
        <v>767</v>
      </c>
      <c r="C686" s="67" t="s">
        <v>676</v>
      </c>
      <c r="D686" s="75" t="n">
        <v>39.0</v>
      </c>
      <c r="E686" s="76" t="s">
        <v>0</v>
      </c>
      <c r="F686" s="57" t="str">
        <f>IFERROR(VLOOKUP(C686,$C$9:H685,4,FALSE),"")</f>
        <v/>
      </c>
      <c r="G686" s="61" t="str">
        <f>IFERROR(VLOOKUP(C686,$C$9:G685,5,FALSE),"")</f>
        <v/>
      </c>
      <c r="H686" s="61" t="str">
        <f>IFERROR(VLOOKUP(C686,$C$9:H685,6,FALSE),"")</f>
        <v/>
      </c>
      <c r="I686" s="61" t="s">
        <v>433</v>
      </c>
      <c r="J686" s="61" t="n">
        <v>39.0</v>
      </c>
      <c r="K686" s="61" t="s">
        <v>434</v>
      </c>
      <c r="L686" s="61" t="s">
        <v>435</v>
      </c>
      <c r="M686" s="42"/>
      <c r="N686" s="46" t="e">
        <f t="shared" si="32"/>
        <v>#DIV/0!</v>
      </c>
      <c r="O686" s="46" t="str">
        <f t="shared" si="33"/>
        <v/>
      </c>
      <c r="P686" s="46">
        <f t="shared" si="34"/>
        <v>1</v>
      </c>
      <c r="Q686" s="46"/>
      <c r="R686" s="45"/>
      <c r="S686" s="45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</row>
    <row r="687" spans="1:31" ht="14.25">
      <c r="A687" s="67" t="s">
        <v>707</v>
      </c>
      <c r="B687" s="68" t="s">
        <v>767</v>
      </c>
      <c r="C687" s="67" t="s">
        <v>444</v>
      </c>
      <c r="D687" s="75" t="n">
        <v>237.74</v>
      </c>
      <c r="E687" s="76" t="s">
        <v>0</v>
      </c>
      <c r="F687" s="57" t="str">
        <f>IFERROR(VLOOKUP(C687,$C$9:H686,4,FALSE),"")</f>
        <v/>
      </c>
      <c r="G687" s="61" t="str">
        <f>IFERROR(VLOOKUP(C687,$C$9:G686,5,FALSE),"")</f>
        <v/>
      </c>
      <c r="H687" s="61" t="str">
        <f>IFERROR(VLOOKUP(C687,$C$9:H686,6,FALSE),"")</f>
        <v/>
      </c>
      <c r="I687" s="61"/>
      <c r="J687" s="61" t="n">
        <v>0.0</v>
      </c>
      <c r="K687" s="61"/>
      <c r="L687" s="61" t="s">
        <v>445</v>
      </c>
      <c r="M687" s="42"/>
      <c r="N687" s="46" t="e">
        <f t="shared" si="32"/>
        <v>#DIV/0!</v>
      </c>
      <c r="O687" s="46" t="str">
        <f t="shared" si="33"/>
        <v/>
      </c>
      <c r="P687" s="46">
        <f t="shared" si="34"/>
        <v>1</v>
      </c>
      <c r="Q687" s="46"/>
      <c r="R687" s="45"/>
      <c r="S687" s="45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</row>
    <row r="688" spans="1:31" ht="14.25">
      <c r="A688" s="67" t="s">
        <v>707</v>
      </c>
      <c r="B688" s="68" t="s">
        <v>767</v>
      </c>
      <c r="C688" s="67" t="s">
        <v>446</v>
      </c>
      <c r="D688" s="75" t="n">
        <v>371.8</v>
      </c>
      <c r="E688" s="76" t="s">
        <v>0</v>
      </c>
      <c r="F688" s="57" t="str">
        <f>IFERROR(VLOOKUP(C688,$C$9:H687,4,FALSE),"")</f>
        <v/>
      </c>
      <c r="G688" s="61" t="str">
        <f>IFERROR(VLOOKUP(C688,$C$9:G687,5,FALSE),"")</f>
        <v/>
      </c>
      <c r="H688" s="61" t="str">
        <f>IFERROR(VLOOKUP(C688,$C$9:H687,6,FALSE),"")</f>
        <v/>
      </c>
      <c r="I688" s="61"/>
      <c r="J688" s="61" t="n">
        <v>0.0</v>
      </c>
      <c r="K688" s="61"/>
      <c r="L688" s="61" t="s">
        <v>445</v>
      </c>
      <c r="M688" s="42"/>
      <c r="N688" s="46" t="e">
        <f t="shared" si="32"/>
        <v>#DIV/0!</v>
      </c>
      <c r="O688" s="46" t="str">
        <f t="shared" si="33"/>
        <v/>
      </c>
      <c r="P688" s="46">
        <f t="shared" si="34"/>
        <v>1</v>
      </c>
      <c r="Q688" s="46"/>
      <c r="R688" s="45"/>
      <c r="S688" s="45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</row>
    <row r="689" spans="1:31" ht="14.25">
      <c r="A689" s="67" t="s">
        <v>707</v>
      </c>
      <c r="B689" s="68" t="s">
        <v>767</v>
      </c>
      <c r="C689" s="67" t="s">
        <v>544</v>
      </c>
      <c r="D689" s="75" t="n">
        <v>144.01</v>
      </c>
      <c r="E689" s="76" t="s">
        <v>0</v>
      </c>
      <c r="F689" s="57" t="str">
        <f>IFERROR(VLOOKUP(C689,$C$9:H688,4,FALSE),"")</f>
        <v/>
      </c>
      <c r="G689" s="61" t="str">
        <f>IFERROR(VLOOKUP(C689,$C$9:G688,5,FALSE),"")</f>
        <v/>
      </c>
      <c r="H689" s="61" t="str">
        <f>IFERROR(VLOOKUP(C689,$C$9:H688,6,FALSE),"")</f>
        <v/>
      </c>
      <c r="I689" s="61" t="s">
        <v>545</v>
      </c>
      <c r="J689" s="61" t="n">
        <v>0.0</v>
      </c>
      <c r="K689" s="61"/>
      <c r="L689" s="61" t="s">
        <v>445</v>
      </c>
      <c r="M689" s="42"/>
      <c r="N689" s="46" t="e">
        <f t="shared" si="32"/>
        <v>#DIV/0!</v>
      </c>
      <c r="O689" s="46" t="str">
        <f t="shared" si="33"/>
        <v/>
      </c>
      <c r="P689" s="46">
        <f t="shared" si="34"/>
        <v>1</v>
      </c>
      <c r="Q689" s="46"/>
      <c r="R689" s="45"/>
      <c r="S689" s="45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</row>
    <row r="690" spans="1:31" ht="14.25">
      <c r="A690" s="67" t="s">
        <v>707</v>
      </c>
      <c r="B690" s="68" t="s">
        <v>767</v>
      </c>
      <c r="C690" s="67" t="s">
        <v>452</v>
      </c>
      <c r="D690" s="75" t="n">
        <v>72.9</v>
      </c>
      <c r="E690" s="76" t="s">
        <v>0</v>
      </c>
      <c r="F690" s="57" t="str">
        <f>IFERROR(VLOOKUP(C690,$C$9:H689,4,FALSE),"")</f>
        <v/>
      </c>
      <c r="G690" s="61" t="s">
        <v>414</v>
      </c>
      <c r="H690" s="61" t="s">
        <v>414</v>
      </c>
      <c r="I690" s="61"/>
      <c r="J690" s="61" t="n">
        <v>0.0</v>
      </c>
      <c r="K690" s="61"/>
      <c r="L690" s="61" t="s">
        <v>445</v>
      </c>
      <c r="M690" s="42"/>
      <c r="N690" s="46" t="e">
        <f t="shared" si="32"/>
        <v>#DIV/0!</v>
      </c>
      <c r="O690" s="46" t="str">
        <f t="shared" si="33"/>
        <v/>
      </c>
      <c r="P690" s="46">
        <f t="shared" si="34"/>
        <v>1</v>
      </c>
      <c r="Q690" s="46"/>
      <c r="R690" s="45"/>
      <c r="S690" s="45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</row>
    <row r="691" spans="1:31" ht="14.25">
      <c r="A691" s="67" t="s">
        <v>707</v>
      </c>
      <c r="B691" s="79" t="s">
        <v>767</v>
      </c>
      <c r="C691" s="77" t="s">
        <v>549</v>
      </c>
      <c r="D691" s="75" t="n">
        <v>300.0</v>
      </c>
      <c r="E691" s="76" t="s">
        <v>1</v>
      </c>
      <c r="F691" s="57" t="str">
        <f>IFERROR(VLOOKUP(C691,$C$9:H690,4,FALSE),"")</f>
        <v/>
      </c>
      <c r="G691" s="61" t="str">
        <f>IFERROR(VLOOKUP(C691,$C$9:G690,5,FALSE),"")</f>
        <v/>
      </c>
      <c r="H691" s="61" t="str">
        <f>IFERROR(VLOOKUP(C691,$C$9:H690,6,FALSE),"")</f>
        <v/>
      </c>
      <c r="I691" s="61" t="s">
        <v>550</v>
      </c>
      <c r="J691" s="61" t="n">
        <v>0.0</v>
      </c>
      <c r="K691" s="61"/>
      <c r="L691" s="61" t="s">
        <v>445</v>
      </c>
      <c r="M691" s="42"/>
      <c r="N691" s="46" t="e">
        <f t="shared" si="32"/>
        <v>#DIV/0!</v>
      </c>
      <c r="O691" s="46" t="str">
        <f t="shared" si="33"/>
        <v/>
      </c>
      <c r="P691" s="46">
        <f t="shared" si="34"/>
        <v>1</v>
      </c>
      <c r="Q691" s="46"/>
      <c r="R691" s="45"/>
      <c r="S691" s="45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</row>
    <row r="692" spans="1:31" ht="14.25">
      <c r="A692" s="67" t="s">
        <v>705</v>
      </c>
      <c r="B692" s="72" t="s">
        <v>768</v>
      </c>
      <c r="C692" s="67" t="s">
        <v>456</v>
      </c>
      <c r="D692" s="75" t="n">
        <v>50.0</v>
      </c>
      <c r="E692" s="76" t="s">
        <v>0</v>
      </c>
      <c r="F692" s="57" t="str">
        <f>IFERROR(VLOOKUP(C692,$C$9:H691,4,FALSE),"")</f>
        <v/>
      </c>
      <c r="G692" s="61" t="str">
        <f>IFERROR(VLOOKUP(C692,$C$9:G691,5,FALSE),"")</f>
        <v/>
      </c>
      <c r="H692" s="61" t="str">
        <f>IFERROR(VLOOKUP(C692,$C$9:H691,6,FALSE),"")</f>
        <v/>
      </c>
      <c r="I692" s="61" t="s">
        <v>433</v>
      </c>
      <c r="J692" s="61" t="n">
        <v>50.0</v>
      </c>
      <c r="K692" s="61" t="s">
        <v>434</v>
      </c>
      <c r="L692" s="61" t="s">
        <v>435</v>
      </c>
      <c r="M692" s="42"/>
      <c r="N692" s="46" t="e">
        <f t="shared" si="32"/>
        <v>#DIV/0!</v>
      </c>
      <c r="O692" s="46" t="str">
        <f t="shared" si="33"/>
        <v/>
      </c>
      <c r="P692" s="46">
        <f t="shared" si="34"/>
        <v>1</v>
      </c>
      <c r="Q692" s="46"/>
      <c r="R692" s="45"/>
      <c r="S692" s="45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</row>
    <row r="693" spans="1:31" ht="14.25">
      <c r="A693" s="67" t="s">
        <v>705</v>
      </c>
      <c r="B693" s="68" t="s">
        <v>768</v>
      </c>
      <c r="C693" s="67" t="s">
        <v>589</v>
      </c>
      <c r="D693" s="75" t="n">
        <v>11.6</v>
      </c>
      <c r="E693" s="76" t="s">
        <v>0</v>
      </c>
      <c r="F693" s="57" t="str">
        <f>IFERROR(VLOOKUP(C693,$C$9:H692,4,FALSE),"")</f>
        <v/>
      </c>
      <c r="G693" s="61" t="s">
        <v>350</v>
      </c>
      <c r="H693" s="61" t="s">
        <v>404</v>
      </c>
      <c r="I693" s="61" t="s">
        <v>433</v>
      </c>
      <c r="J693" s="61" t="n">
        <v>11.6</v>
      </c>
      <c r="K693" s="61" t="s">
        <v>434</v>
      </c>
      <c r="L693" s="61" t="s">
        <v>435</v>
      </c>
      <c r="M693" s="42"/>
      <c r="N693" s="46" t="e">
        <f t="shared" si="32"/>
        <v>#DIV/0!</v>
      </c>
      <c r="O693" s="46" t="str">
        <f t="shared" si="33"/>
        <v/>
      </c>
      <c r="P693" s="46">
        <f t="shared" si="34"/>
        <v>1</v>
      </c>
      <c r="Q693" s="46"/>
      <c r="R693" s="45"/>
      <c r="S693" s="45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</row>
    <row r="694" spans="1:31" ht="14.25">
      <c r="A694" s="67" t="s">
        <v>705</v>
      </c>
      <c r="B694" s="68" t="s">
        <v>768</v>
      </c>
      <c r="C694" s="67" t="s">
        <v>627</v>
      </c>
      <c r="D694" s="75" t="n">
        <v>75.0</v>
      </c>
      <c r="E694" s="76" t="s">
        <v>0</v>
      </c>
      <c r="F694" s="57" t="str">
        <f>IFERROR(VLOOKUP(C694,$C$9:H693,4,FALSE),"")</f>
        <v/>
      </c>
      <c r="G694" s="61" t="str">
        <f>IFERROR(VLOOKUP(C694,$C$9:G693,5,FALSE),"")</f>
        <v/>
      </c>
      <c r="H694" s="61" t="str">
        <f>IFERROR(VLOOKUP(C694,$C$9:H693,6,FALSE),"")</f>
        <v/>
      </c>
      <c r="I694" s="61" t="s">
        <v>433</v>
      </c>
      <c r="J694" s="61" t="n">
        <v>75.0</v>
      </c>
      <c r="K694" s="61" t="s">
        <v>434</v>
      </c>
      <c r="L694" s="61" t="s">
        <v>435</v>
      </c>
      <c r="M694" s="42"/>
      <c r="N694" s="46" t="e">
        <f t="shared" si="32"/>
        <v>#DIV/0!</v>
      </c>
      <c r="O694" s="46" t="str">
        <f t="shared" si="33"/>
        <v/>
      </c>
      <c r="P694" s="46">
        <f t="shared" si="34"/>
        <v>1</v>
      </c>
      <c r="Q694" s="46"/>
      <c r="R694" s="45"/>
      <c r="S694" s="45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</row>
    <row r="695" spans="1:31" ht="14.25">
      <c r="A695" s="67" t="s">
        <v>705</v>
      </c>
      <c r="B695" s="68" t="s">
        <v>768</v>
      </c>
      <c r="C695" s="67" t="s">
        <v>635</v>
      </c>
      <c r="D695" s="75" t="n">
        <v>237.0</v>
      </c>
      <c r="E695" s="76" t="s">
        <v>0</v>
      </c>
      <c r="F695" s="57" t="str">
        <f>IFERROR(VLOOKUP(C695,$C$9:H694,4,FALSE),"")</f>
        <v/>
      </c>
      <c r="G695" s="61" t="str">
        <f>IFERROR(VLOOKUP(C695,$C$9:G694,5,FALSE),"")</f>
        <v/>
      </c>
      <c r="H695" s="61" t="str">
        <f>IFERROR(VLOOKUP(C695,$C$9:H694,6,FALSE),"")</f>
        <v/>
      </c>
      <c r="I695" s="61" t="s">
        <v>437</v>
      </c>
      <c r="J695" s="61" t="n">
        <v>237.0</v>
      </c>
      <c r="K695" s="61" t="s">
        <v>434</v>
      </c>
      <c r="L695" s="61" t="s">
        <v>435</v>
      </c>
      <c r="M695" s="42"/>
      <c r="N695" s="46" t="e">
        <f t="shared" si="32"/>
        <v>#DIV/0!</v>
      </c>
      <c r="O695" s="46" t="str">
        <f t="shared" si="33"/>
        <v/>
      </c>
      <c r="P695" s="46">
        <f t="shared" si="34"/>
        <v>1</v>
      </c>
      <c r="Q695" s="46"/>
      <c r="R695" s="45"/>
      <c r="S695" s="45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</row>
    <row r="696" spans="1:31" ht="14.25">
      <c r="A696" s="67" t="s">
        <v>705</v>
      </c>
      <c r="B696" s="68" t="s">
        <v>768</v>
      </c>
      <c r="C696" s="67" t="s">
        <v>639</v>
      </c>
      <c r="D696" s="75" t="n">
        <v>260.0</v>
      </c>
      <c r="E696" s="76" t="s">
        <v>0</v>
      </c>
      <c r="F696" s="57" t="str">
        <f>IFERROR(VLOOKUP(C696,$C$9:H695,4,FALSE),"")</f>
        <v/>
      </c>
      <c r="G696" s="61" t="str">
        <f>IFERROR(VLOOKUP(C696,$C$9:G695,5,FALSE),"")</f>
        <v/>
      </c>
      <c r="H696" s="61" t="str">
        <f>IFERROR(VLOOKUP(C696,$C$9:H695,6,FALSE),"")</f>
        <v/>
      </c>
      <c r="I696" s="61" t="s">
        <v>640</v>
      </c>
      <c r="J696" s="61" t="n">
        <v>260.0</v>
      </c>
      <c r="K696" s="61" t="s">
        <v>434</v>
      </c>
      <c r="L696" s="61" t="s">
        <v>435</v>
      </c>
      <c r="M696" s="42"/>
      <c r="N696" s="46" t="e">
        <f t="shared" si="32"/>
        <v>#DIV/0!</v>
      </c>
      <c r="O696" s="46" t="str">
        <f t="shared" si="33"/>
        <v/>
      </c>
      <c r="P696" s="46">
        <f t="shared" si="34"/>
        <v>1</v>
      </c>
      <c r="Q696" s="46"/>
      <c r="R696" s="45"/>
      <c r="S696" s="45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</row>
    <row r="697" spans="1:31" ht="14.25">
      <c r="A697" s="67" t="s">
        <v>705</v>
      </c>
      <c r="B697" s="68" t="s">
        <v>768</v>
      </c>
      <c r="C697" s="67" t="s">
        <v>441</v>
      </c>
      <c r="D697" s="75" t="n">
        <v>15.0</v>
      </c>
      <c r="E697" s="76" t="s">
        <v>0</v>
      </c>
      <c r="F697" s="57" t="str">
        <f>IFERROR(VLOOKUP(C697,$C$9:H696,4,FALSE),"")</f>
        <v/>
      </c>
      <c r="G697" s="61" t="str">
        <f>IFERROR(VLOOKUP(C697,$C$9:G696,5,FALSE),"")</f>
        <v/>
      </c>
      <c r="H697" s="61" t="str">
        <f>IFERROR(VLOOKUP(C697,$C$9:H696,6,FALSE),"")</f>
        <v/>
      </c>
      <c r="I697" s="61" t="s">
        <v>433</v>
      </c>
      <c r="J697" s="61" t="n">
        <v>15.0</v>
      </c>
      <c r="K697" s="61" t="s">
        <v>434</v>
      </c>
      <c r="L697" s="61" t="s">
        <v>435</v>
      </c>
      <c r="M697" s="42"/>
      <c r="N697" s="46" t="e">
        <f t="shared" si="32"/>
        <v>#DIV/0!</v>
      </c>
      <c r="O697" s="46" t="str">
        <f t="shared" si="33"/>
        <v/>
      </c>
      <c r="P697" s="46">
        <f t="shared" si="34"/>
        <v>1</v>
      </c>
      <c r="Q697" s="46"/>
      <c r="R697" s="45"/>
      <c r="S697" s="45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</row>
    <row r="698" spans="1:31" ht="14.25">
      <c r="A698" s="67" t="s">
        <v>719</v>
      </c>
      <c r="B698" s="68" t="s">
        <v>768</v>
      </c>
      <c r="C698" s="67" t="s">
        <v>526</v>
      </c>
      <c r="D698" s="75" t="n">
        <v>206.95</v>
      </c>
      <c r="E698" s="76" t="s">
        <v>0</v>
      </c>
      <c r="F698" s="57" t="str">
        <f>IFERROR(VLOOKUP(C698,$C$9:H697,4,FALSE),"")</f>
        <v/>
      </c>
      <c r="G698" s="61" t="str">
        <f>IFERROR(VLOOKUP(C698,$C$9:G697,5,FALSE),"")</f>
        <v/>
      </c>
      <c r="H698" s="61" t="str">
        <f>IFERROR(VLOOKUP(C698,$C$9:H697,6,FALSE),"")</f>
        <v/>
      </c>
      <c r="I698" s="61" t="s">
        <v>433</v>
      </c>
      <c r="J698" s="61" t="n">
        <v>206.95</v>
      </c>
      <c r="K698" s="61" t="s">
        <v>434</v>
      </c>
      <c r="L698" s="61" t="s">
        <v>435</v>
      </c>
      <c r="M698" s="42"/>
      <c r="N698" s="46" t="e">
        <f t="shared" si="32"/>
        <v>#DIV/0!</v>
      </c>
      <c r="O698" s="46" t="str">
        <f t="shared" si="33"/>
        <v/>
      </c>
      <c r="P698" s="46">
        <f t="shared" si="34"/>
        <v>1</v>
      </c>
      <c r="Q698" s="46"/>
      <c r="R698" s="45"/>
      <c r="S698" s="45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</row>
    <row r="699" spans="1:31" ht="14.25">
      <c r="A699" s="67" t="s">
        <v>705</v>
      </c>
      <c r="B699" s="68" t="s">
        <v>769</v>
      </c>
      <c r="C699" s="67" t="s">
        <v>770</v>
      </c>
      <c r="D699" s="75" t="n">
        <v>54.27</v>
      </c>
      <c r="E699" s="76" t="s">
        <v>0</v>
      </c>
      <c r="F699" s="57" t="str">
        <f>IFERROR(VLOOKUP(C699,$C$9:H698,4,FALSE),"")</f>
        <v/>
      </c>
      <c r="G699" s="61" t="str">
        <f>IFERROR(VLOOKUP(C699,$C$9:G698,5,FALSE),"")</f>
        <v/>
      </c>
      <c r="H699" s="61" t="str">
        <f>IFERROR(VLOOKUP(C699,$C$9:H698,6,FALSE),"")</f>
        <v/>
      </c>
      <c r="I699" s="61" t="s">
        <v>437</v>
      </c>
      <c r="J699" s="61" t="n">
        <v>54.27</v>
      </c>
      <c r="K699" s="61" t="s">
        <v>434</v>
      </c>
      <c r="L699" s="61" t="s">
        <v>435</v>
      </c>
      <c r="M699" s="42"/>
      <c r="N699" s="46" t="e">
        <f t="shared" si="32"/>
        <v>#DIV/0!</v>
      </c>
      <c r="O699" s="46" t="str">
        <f t="shared" si="33"/>
        <v/>
      </c>
      <c r="P699" s="46">
        <f t="shared" si="34"/>
        <v>1</v>
      </c>
      <c r="Q699" s="46"/>
      <c r="R699" s="45"/>
      <c r="S699" s="45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</row>
    <row r="700" spans="1:31" ht="14.25">
      <c r="A700" s="67" t="s">
        <v>705</v>
      </c>
      <c r="B700" s="68" t="s">
        <v>769</v>
      </c>
      <c r="C700" s="67" t="s">
        <v>771</v>
      </c>
      <c r="D700" s="75" t="n">
        <v>63.25</v>
      </c>
      <c r="E700" s="76" t="s">
        <v>0</v>
      </c>
      <c r="F700" s="57" t="str">
        <f>IFERROR(VLOOKUP(C700,$C$9:H699,4,FALSE),"")</f>
        <v/>
      </c>
      <c r="G700" s="61" t="str">
        <f>IFERROR(VLOOKUP(C700,$C$9:G699,5,FALSE),"")</f>
        <v/>
      </c>
      <c r="H700" s="61" t="str">
        <f>IFERROR(VLOOKUP(C700,$C$9:H699,6,FALSE),"")</f>
        <v/>
      </c>
      <c r="I700" s="61" t="s">
        <v>433</v>
      </c>
      <c r="J700" s="61" t="n">
        <v>63.25</v>
      </c>
      <c r="K700" s="61" t="s">
        <v>434</v>
      </c>
      <c r="L700" s="61" t="s">
        <v>435</v>
      </c>
      <c r="M700" s="42"/>
      <c r="N700" s="46" t="e">
        <f t="shared" si="32"/>
        <v>#DIV/0!</v>
      </c>
      <c r="O700" s="46" t="str">
        <f t="shared" si="33"/>
        <v/>
      </c>
      <c r="P700" s="46">
        <f t="shared" si="34"/>
        <v>1</v>
      </c>
      <c r="Q700" s="46"/>
      <c r="R700" s="45"/>
      <c r="S700" s="45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</row>
    <row r="701" spans="1:31" ht="14.25">
      <c r="A701" s="67" t="s">
        <v>705</v>
      </c>
      <c r="B701" s="68" t="s">
        <v>769</v>
      </c>
      <c r="C701" s="67" t="s">
        <v>772</v>
      </c>
      <c r="D701" s="75" t="n">
        <v>13.0</v>
      </c>
      <c r="E701" s="76" t="s">
        <v>0</v>
      </c>
      <c r="F701" s="57" t="str">
        <f>IFERROR(VLOOKUP(C701,$C$9:H700,4,FALSE),"")</f>
        <v/>
      </c>
      <c r="G701" s="61" t="str">
        <f>IFERROR(VLOOKUP(C701,$C$9:G700,5,FALSE),"")</f>
        <v/>
      </c>
      <c r="H701" s="61" t="str">
        <f>IFERROR(VLOOKUP(C701,$C$9:H700,6,FALSE),"")</f>
        <v/>
      </c>
      <c r="I701" s="61" t="s">
        <v>433</v>
      </c>
      <c r="J701" s="61" t="n">
        <v>13.0</v>
      </c>
      <c r="K701" s="61" t="s">
        <v>434</v>
      </c>
      <c r="L701" s="61" t="s">
        <v>435</v>
      </c>
      <c r="M701" s="42"/>
      <c r="N701" s="46" t="e">
        <f t="shared" si="32"/>
        <v>#DIV/0!</v>
      </c>
      <c r="O701" s="46" t="str">
        <f t="shared" si="33"/>
        <v/>
      </c>
      <c r="P701" s="46">
        <f t="shared" si="34"/>
        <v>1</v>
      </c>
      <c r="Q701" s="46"/>
      <c r="R701" s="45"/>
      <c r="S701" s="45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</row>
    <row r="702" spans="1:31" ht="14.25">
      <c r="A702" s="67" t="s">
        <v>705</v>
      </c>
      <c r="B702" s="68" t="s">
        <v>769</v>
      </c>
      <c r="C702" s="67" t="s">
        <v>773</v>
      </c>
      <c r="D702" s="75" t="n">
        <v>123.0</v>
      </c>
      <c r="E702" s="76" t="s">
        <v>0</v>
      </c>
      <c r="F702" s="57" t="str">
        <f>IFERROR(VLOOKUP(C702,$C$9:H701,4,FALSE),"")</f>
        <v/>
      </c>
      <c r="G702" s="61" t="str">
        <f>IFERROR(VLOOKUP(C702,$C$9:G701,5,FALSE),"")</f>
        <v/>
      </c>
      <c r="H702" s="61" t="str">
        <f>IFERROR(VLOOKUP(C702,$C$9:H701,6,FALSE),"")</f>
        <v/>
      </c>
      <c r="I702" s="61" t="s">
        <v>433</v>
      </c>
      <c r="J702" s="61" t="n">
        <v>123.0</v>
      </c>
      <c r="K702" s="61" t="s">
        <v>434</v>
      </c>
      <c r="L702" s="61" t="s">
        <v>435</v>
      </c>
      <c r="M702" s="42"/>
      <c r="N702" s="46" t="e">
        <f t="shared" si="32"/>
        <v>#DIV/0!</v>
      </c>
      <c r="O702" s="46" t="str">
        <f t="shared" si="33"/>
        <v/>
      </c>
      <c r="P702" s="46">
        <f t="shared" si="34"/>
        <v>1</v>
      </c>
      <c r="Q702" s="46"/>
      <c r="R702" s="45"/>
      <c r="S702" s="45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</row>
    <row r="703" spans="1:31" ht="14.25">
      <c r="A703" s="67" t="s">
        <v>705</v>
      </c>
      <c r="B703" s="68" t="s">
        <v>769</v>
      </c>
      <c r="C703" s="67" t="s">
        <v>439</v>
      </c>
      <c r="D703" s="75" t="n">
        <v>94.5</v>
      </c>
      <c r="E703" s="76" t="s">
        <v>0</v>
      </c>
      <c r="F703" s="57" t="str">
        <f>IFERROR(VLOOKUP(C703,$C$9:H702,4,FALSE),"")</f>
        <v/>
      </c>
      <c r="G703" s="61" t="s">
        <v>350</v>
      </c>
      <c r="H703" s="61" t="s">
        <v>404</v>
      </c>
      <c r="I703" s="61" t="s">
        <v>433</v>
      </c>
      <c r="J703" s="61" t="n">
        <v>94.5</v>
      </c>
      <c r="K703" s="61" t="s">
        <v>434</v>
      </c>
      <c r="L703" s="61" t="s">
        <v>435</v>
      </c>
      <c r="M703" s="42"/>
      <c r="N703" s="46" t="e">
        <f t="shared" si="32"/>
        <v>#DIV/0!</v>
      </c>
      <c r="O703" s="46" t="str">
        <f t="shared" si="33"/>
        <v/>
      </c>
      <c r="P703" s="46">
        <f t="shared" si="34"/>
        <v>1</v>
      </c>
      <c r="Q703" s="46"/>
      <c r="R703" s="45"/>
      <c r="S703" s="45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</row>
    <row r="704" spans="1:31" ht="14.25">
      <c r="A704" s="67" t="s">
        <v>705</v>
      </c>
      <c r="B704" s="71" t="s">
        <v>769</v>
      </c>
      <c r="C704" s="67" t="s">
        <v>439</v>
      </c>
      <c r="D704" s="75" t="n">
        <v>115.9</v>
      </c>
      <c r="E704" s="76" t="s">
        <v>0</v>
      </c>
      <c r="F704" s="57" t="str">
        <f>IFERROR(VLOOKUP(C704,$C$9:H703,4,FALSE),"")</f>
        <v/>
      </c>
      <c r="G704" s="61" t="s">
        <v>350</v>
      </c>
      <c r="H704" s="61" t="s">
        <v>404</v>
      </c>
      <c r="I704" s="61" t="s">
        <v>433</v>
      </c>
      <c r="J704" s="61" t="n">
        <v>115.9</v>
      </c>
      <c r="K704" s="61" t="s">
        <v>434</v>
      </c>
      <c r="L704" s="61" t="s">
        <v>435</v>
      </c>
      <c r="M704" s="42"/>
      <c r="N704" s="46" t="e">
        <f t="shared" si="32"/>
        <v>#DIV/0!</v>
      </c>
      <c r="O704" s="46" t="str">
        <f t="shared" si="33"/>
        <v/>
      </c>
      <c r="P704" s="46">
        <f t="shared" si="34"/>
        <v>1</v>
      </c>
      <c r="Q704" s="46"/>
      <c r="R704" s="45"/>
      <c r="S704" s="45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</row>
    <row r="705" spans="1:31" ht="14.25">
      <c r="A705" s="67" t="s">
        <v>705</v>
      </c>
      <c r="B705" s="68" t="s">
        <v>769</v>
      </c>
      <c r="C705" s="67" t="s">
        <v>442</v>
      </c>
      <c r="D705" s="75" t="n">
        <v>190.0</v>
      </c>
      <c r="E705" s="76" t="s">
        <v>0</v>
      </c>
      <c r="F705" s="57" t="str">
        <f>IFERROR(VLOOKUP(C705,$C$9:H704,4,FALSE),"")</f>
        <v/>
      </c>
      <c r="G705" s="61" t="str">
        <f>IFERROR(VLOOKUP(C705,$C$9:G704,5,FALSE),"")</f>
        <v/>
      </c>
      <c r="H705" s="61" t="str">
        <f>IFERROR(VLOOKUP(C705,$C$9:H704,6,FALSE),"")</f>
        <v/>
      </c>
      <c r="I705" s="61" t="s">
        <v>433</v>
      </c>
      <c r="J705" s="61" t="n">
        <v>190.0</v>
      </c>
      <c r="K705" s="61" t="s">
        <v>434</v>
      </c>
      <c r="L705" s="61" t="s">
        <v>435</v>
      </c>
      <c r="M705" s="42"/>
      <c r="N705" s="46" t="e">
        <f t="shared" si="32"/>
        <v>#DIV/0!</v>
      </c>
      <c r="O705" s="46" t="str">
        <f t="shared" si="33"/>
        <v/>
      </c>
      <c r="P705" s="46">
        <f t="shared" si="34"/>
        <v>1</v>
      </c>
      <c r="Q705" s="46"/>
      <c r="R705" s="45"/>
      <c r="S705" s="45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</row>
    <row r="706" spans="1:31" ht="14.25">
      <c r="A706" s="67" t="s">
        <v>707</v>
      </c>
      <c r="B706" s="68" t="s">
        <v>769</v>
      </c>
      <c r="C706" s="67" t="s">
        <v>452</v>
      </c>
      <c r="D706" s="75" t="n">
        <v>206.95</v>
      </c>
      <c r="E706" s="76" t="s">
        <v>0</v>
      </c>
      <c r="F706" s="57" t="str">
        <f>IFERROR(VLOOKUP(C706,$C$9:H705,4,FALSE),"")</f>
        <v/>
      </c>
      <c r="G706" s="61" t="s">
        <v>414</v>
      </c>
      <c r="H706" s="61" t="s">
        <v>414</v>
      </c>
      <c r="I706" s="61"/>
      <c r="J706" s="61" t="n">
        <v>0.0</v>
      </c>
      <c r="K706" s="61"/>
      <c r="L706" s="61" t="s">
        <v>445</v>
      </c>
      <c r="M706" s="42"/>
      <c r="N706" s="46" t="e">
        <f t="shared" si="32"/>
        <v>#DIV/0!</v>
      </c>
      <c r="O706" s="46" t="str">
        <f t="shared" si="33"/>
        <v/>
      </c>
      <c r="P706" s="46">
        <f t="shared" si="34"/>
        <v>1</v>
      </c>
      <c r="Q706" s="46"/>
      <c r="R706" s="45"/>
      <c r="S706" s="45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</row>
    <row r="707" spans="1:31" ht="14.25">
      <c r="A707" s="67" t="s">
        <v>430</v>
      </c>
      <c r="B707" s="68" t="s">
        <v>542</v>
      </c>
      <c r="C707" s="67" t="s">
        <v>774</v>
      </c>
      <c r="D707" s="75" t="n">
        <v>137.0</v>
      </c>
      <c r="E707" s="76" t="s">
        <v>0</v>
      </c>
      <c r="F707" s="57" t="str">
        <f>IFERROR(VLOOKUP(C707,$C$9:H706,4,FALSE),"")</f>
        <v/>
      </c>
      <c r="G707" s="61" t="s">
        <v>414</v>
      </c>
      <c r="H707" s="61" t="s">
        <v>775</v>
      </c>
      <c r="I707" s="61" t="s">
        <v>776</v>
      </c>
      <c r="J707" s="61" t="n">
        <v>1343.0</v>
      </c>
      <c r="K707" s="61" t="s">
        <v>434</v>
      </c>
      <c r="L707" s="61" t="s">
        <v>435</v>
      </c>
      <c r="M707" s="42"/>
      <c r="N707" s="46" t="e">
        <f t="shared" si="32"/>
        <v>#DIV/0!</v>
      </c>
      <c r="O707" s="46" t="str">
        <f t="shared" si="33"/>
        <v/>
      </c>
      <c r="P707" s="46">
        <f t="shared" si="34"/>
        <v>1</v>
      </c>
      <c r="Q707" s="46"/>
      <c r="R707" s="45"/>
      <c r="S707" s="45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</row>
    <row r="708" spans="1:31" ht="14.25">
      <c r="A708" s="67" t="s">
        <v>565</v>
      </c>
      <c r="B708" s="68" t="s">
        <v>551</v>
      </c>
      <c r="C708" s="67" t="s">
        <v>777</v>
      </c>
      <c r="D708" s="75" t="n">
        <v>114.0</v>
      </c>
      <c r="E708" s="76" t="s">
        <v>0</v>
      </c>
      <c r="F708" s="57" t="str">
        <f>IFERROR(VLOOKUP(C708,$C$9:H707,4,FALSE),"")</f>
        <v/>
      </c>
      <c r="G708" s="61" t="s">
        <v>414</v>
      </c>
      <c r="H708" s="61" t="s">
        <v>775</v>
      </c>
      <c r="I708" s="61" t="s">
        <v>778</v>
      </c>
      <c r="J708" s="61" t="n">
        <v>229.9</v>
      </c>
      <c r="K708" s="61" t="s">
        <v>434</v>
      </c>
      <c r="L708" s="61" t="s">
        <v>435</v>
      </c>
      <c r="M708" s="42"/>
      <c r="N708" s="46" t="e">
        <f t="shared" si="32"/>
        <v>#DIV/0!</v>
      </c>
      <c r="O708" s="46" t="str">
        <f t="shared" si="33"/>
        <v/>
      </c>
      <c r="P708" s="46">
        <f t="shared" si="34"/>
        <v>1</v>
      </c>
      <c r="Q708" s="46"/>
      <c r="R708" s="45"/>
      <c r="S708" s="45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</row>
    <row r="709" spans="1:31" ht="14.25">
      <c r="A709" s="67" t="s">
        <v>430</v>
      </c>
      <c r="B709" s="68" t="s">
        <v>551</v>
      </c>
      <c r="C709" s="67" t="s">
        <v>777</v>
      </c>
      <c r="D709" s="75" t="n">
        <v>115.9</v>
      </c>
      <c r="E709" s="76" t="s">
        <v>0</v>
      </c>
      <c r="F709" s="57" t="str">
        <f>IFERROR(VLOOKUP(C709,$C$9:H708,4,FALSE),"")</f>
        <v/>
      </c>
      <c r="G709" s="61" t="s">
        <v>414</v>
      </c>
      <c r="H709" s="61" t="s">
        <v>775</v>
      </c>
      <c r="I709" s="61" t="s">
        <v>779</v>
      </c>
      <c r="J709" s="61" t="n">
        <v>229.9</v>
      </c>
      <c r="K709" s="61" t="s">
        <v>434</v>
      </c>
      <c r="L709" s="61" t="s">
        <v>435</v>
      </c>
      <c r="M709" s="42"/>
      <c r="N709" s="46" t="e">
        <f t="shared" si="32"/>
        <v>#DIV/0!</v>
      </c>
      <c r="O709" s="46" t="str">
        <f t="shared" si="33"/>
        <v/>
      </c>
      <c r="P709" s="46">
        <f t="shared" si="34"/>
        <v>1</v>
      </c>
      <c r="Q709" s="46"/>
      <c r="R709" s="45"/>
      <c r="S709" s="45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</row>
    <row r="710" spans="1:31" ht="14.25">
      <c r="A710" s="67" t="s">
        <v>647</v>
      </c>
      <c r="B710" s="68" t="s">
        <v>542</v>
      </c>
      <c r="C710" s="67" t="s">
        <v>774</v>
      </c>
      <c r="D710" s="75" t="n">
        <v>134.0</v>
      </c>
      <c r="E710" s="76" t="s">
        <v>0</v>
      </c>
      <c r="F710" s="57" t="str">
        <f>IFERROR(VLOOKUP(C710,$C$9:H709,4,FALSE),"")</f>
        <v/>
      </c>
      <c r="G710" s="61" t="s">
        <v>414</v>
      </c>
      <c r="H710" s="61" t="s">
        <v>775</v>
      </c>
      <c r="I710" s="61" t="s">
        <v>780</v>
      </c>
      <c r="J710" s="61" t="n">
        <v>1343.0</v>
      </c>
      <c r="K710" s="61" t="s">
        <v>434</v>
      </c>
      <c r="L710" s="61" t="s">
        <v>435</v>
      </c>
      <c r="M710" s="42"/>
      <c r="N710" s="46" t="e">
        <f t="shared" si="32"/>
        <v>#DIV/0!</v>
      </c>
      <c r="O710" s="46" t="str">
        <f t="shared" si="33"/>
        <v/>
      </c>
      <c r="P710" s="46">
        <f t="shared" si="34"/>
        <v>1</v>
      </c>
      <c r="Q710" s="46"/>
      <c r="R710" s="45"/>
      <c r="S710" s="45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</row>
    <row r="711" spans="1:31" ht="14.25">
      <c r="A711" s="67" t="s">
        <v>565</v>
      </c>
      <c r="B711" s="78" t="s">
        <v>542</v>
      </c>
      <c r="C711" s="77" t="s">
        <v>774</v>
      </c>
      <c r="D711" s="75" t="n">
        <v>134.0</v>
      </c>
      <c r="E711" s="76" t="s">
        <v>0</v>
      </c>
      <c r="F711" s="57" t="str">
        <f>IFERROR(VLOOKUP(C711,$C$9:H710,4,FALSE),"")</f>
        <v/>
      </c>
      <c r="G711" s="61" t="s">
        <v>414</v>
      </c>
      <c r="H711" s="61" t="s">
        <v>775</v>
      </c>
      <c r="I711" s="61" t="s">
        <v>781</v>
      </c>
      <c r="J711" s="61" t="n">
        <v>1343.0</v>
      </c>
      <c r="K711" s="61" t="s">
        <v>434</v>
      </c>
      <c r="L711" s="61" t="s">
        <v>435</v>
      </c>
      <c r="M711" s="42"/>
      <c r="N711" s="46" t="e">
        <f t="shared" si="32"/>
        <v>#DIV/0!</v>
      </c>
      <c r="O711" s="46" t="str">
        <f t="shared" si="33"/>
        <v/>
      </c>
      <c r="P711" s="46">
        <f t="shared" si="34"/>
        <v>1</v>
      </c>
      <c r="Q711" s="46"/>
      <c r="R711" s="45"/>
      <c r="S711" s="45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</row>
    <row r="712" spans="1:31" ht="14.25">
      <c r="A712" s="67" t="s">
        <v>705</v>
      </c>
      <c r="B712" s="78" t="s">
        <v>542</v>
      </c>
      <c r="C712" s="77" t="s">
        <v>774</v>
      </c>
      <c r="D712" s="75" t="n">
        <v>134.0</v>
      </c>
      <c r="E712" s="76" t="s">
        <v>0</v>
      </c>
      <c r="F712" s="57" t="str">
        <f>IFERROR(VLOOKUP(C712,$C$9:H711,4,FALSE),"")</f>
        <v/>
      </c>
      <c r="G712" s="61" t="s">
        <v>414</v>
      </c>
      <c r="H712" s="61" t="s">
        <v>775</v>
      </c>
      <c r="I712" s="61" t="s">
        <v>782</v>
      </c>
      <c r="J712" s="61" t="n">
        <v>1343.0</v>
      </c>
      <c r="K712" s="61" t="s">
        <v>434</v>
      </c>
      <c r="L712" s="61" t="s">
        <v>435</v>
      </c>
      <c r="M712" s="42"/>
      <c r="N712" s="46" t="e">
        <f t="shared" si="32"/>
        <v>#DIV/0!</v>
      </c>
      <c r="O712" s="46" t="str">
        <f t="shared" si="33"/>
        <v/>
      </c>
      <c r="P712" s="46">
        <f t="shared" si="34"/>
        <v>1</v>
      </c>
      <c r="Q712" s="46"/>
      <c r="R712" s="45"/>
      <c r="S712" s="45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</row>
    <row r="713" spans="1:31" ht="14.25">
      <c r="A713" s="67" t="s">
        <v>705</v>
      </c>
      <c r="B713" s="68" t="s">
        <v>577</v>
      </c>
      <c r="C713" s="67" t="s">
        <v>681</v>
      </c>
      <c r="D713" s="75" t="n">
        <v>304.83</v>
      </c>
      <c r="E713" s="76" t="s">
        <v>0</v>
      </c>
      <c r="F713" s="57" t="str">
        <f>IFERROR(VLOOKUP(C713,$C$9:H712,4,FALSE),"")</f>
        <v/>
      </c>
      <c r="G713" s="61" t="s">
        <v>414</v>
      </c>
      <c r="H713" s="61" t="s">
        <v>775</v>
      </c>
      <c r="I713" s="61" t="s">
        <v>783</v>
      </c>
      <c r="J713" s="61" t="n">
        <v>3658.0</v>
      </c>
      <c r="K713" s="61" t="s">
        <v>434</v>
      </c>
      <c r="L713" s="61" t="s">
        <v>435</v>
      </c>
      <c r="M713" s="42"/>
      <c r="N713" s="46" t="e">
        <f t="shared" si="32"/>
        <v>#DIV/0!</v>
      </c>
      <c r="O713" s="46" t="str">
        <f t="shared" si="33"/>
        <v/>
      </c>
      <c r="P713" s="46">
        <f t="shared" si="34"/>
        <v>1</v>
      </c>
      <c r="Q713" s="46"/>
      <c r="R713" s="45"/>
      <c r="S713" s="45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</row>
    <row r="714" spans="1:31" ht="14.25">
      <c r="A714" s="67" t="s">
        <v>647</v>
      </c>
      <c r="B714" s="68" t="s">
        <v>577</v>
      </c>
      <c r="C714" s="67" t="s">
        <v>681</v>
      </c>
      <c r="D714" s="75" t="n">
        <v>304.83</v>
      </c>
      <c r="E714" s="76" t="s">
        <v>0</v>
      </c>
      <c r="F714" s="57" t="str">
        <f>IFERROR(VLOOKUP(C714,$C$9:H713,4,FALSE),"")</f>
        <v/>
      </c>
      <c r="G714" s="61" t="s">
        <v>414</v>
      </c>
      <c r="H714" s="61" t="s">
        <v>775</v>
      </c>
      <c r="I714" s="61" t="s">
        <v>784</v>
      </c>
      <c r="J714" s="61" t="n">
        <v>3658.0</v>
      </c>
      <c r="K714" s="61" t="s">
        <v>434</v>
      </c>
      <c r="L714" s="61" t="s">
        <v>435</v>
      </c>
      <c r="M714" s="42"/>
      <c r="N714" s="46" t="e">
        <f t="shared" ref="N714:N777" si="35">IF(OR(F714=$P$1,F714="",F714=0),D714/$B$2,IF(OR(F714=$P$2,F714=$P$3,F714=$P$4),D714/(O714*P714),D714/O714))</f>
        <v>#DIV/0!</v>
      </c>
      <c r="O714" s="46" t="str">
        <f t="shared" ref="O714:O777" si="36">IFERROR(VLOOKUP(F714,$P$1:$Q$4,2,0),F714)</f>
        <v/>
      </c>
      <c r="P714" s="46">
        <f t="shared" si="34"/>
        <v>1</v>
      </c>
      <c r="Q714" s="46"/>
      <c r="R714" s="45"/>
      <c r="S714" s="45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</row>
    <row r="715" spans="1:31" ht="14.25">
      <c r="A715" s="67" t="s">
        <v>565</v>
      </c>
      <c r="B715" s="68" t="s">
        <v>577</v>
      </c>
      <c r="C715" s="67" t="s">
        <v>681</v>
      </c>
      <c r="D715" s="75" t="n">
        <v>304.87</v>
      </c>
      <c r="E715" s="76" t="s">
        <v>0</v>
      </c>
      <c r="F715" s="57" t="str">
        <f>IFERROR(VLOOKUP(C715,$C$9:H714,4,FALSE),"")</f>
        <v/>
      </c>
      <c r="G715" s="61" t="s">
        <v>414</v>
      </c>
      <c r="H715" s="61" t="s">
        <v>775</v>
      </c>
      <c r="I715" s="61" t="s">
        <v>785</v>
      </c>
      <c r="J715" s="61" t="n">
        <v>3658.0</v>
      </c>
      <c r="K715" s="61" t="s">
        <v>434</v>
      </c>
      <c r="L715" s="61" t="s">
        <v>435</v>
      </c>
      <c r="M715" s="42"/>
      <c r="N715" s="46" t="e">
        <f t="shared" si="35"/>
        <v>#DIV/0!</v>
      </c>
      <c r="O715" s="46" t="str">
        <f t="shared" si="36"/>
        <v/>
      </c>
      <c r="P715" s="46">
        <f t="shared" ref="P715:P778" si="37">IF(C715="",1,COUNTIFS($C$9:$C$1499,C715,$H$9:$H$1499,H715))</f>
        <v>1</v>
      </c>
      <c r="Q715" s="46"/>
      <c r="R715" s="45"/>
      <c r="S715" s="45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</row>
    <row r="716" spans="1:31" ht="14.25">
      <c r="A716" s="67" t="s">
        <v>705</v>
      </c>
      <c r="B716" s="68" t="s">
        <v>620</v>
      </c>
      <c r="C716" s="67" t="s">
        <v>786</v>
      </c>
      <c r="D716" s="75" t="n">
        <v>580.0</v>
      </c>
      <c r="E716" s="76" t="s">
        <v>0</v>
      </c>
      <c r="F716" s="57" t="str">
        <f>IFERROR(VLOOKUP(C716,$C$9:H715,4,FALSE),"")</f>
        <v/>
      </c>
      <c r="G716" s="61" t="s">
        <v>414</v>
      </c>
      <c r="H716" s="61" t="s">
        <v>775</v>
      </c>
      <c r="I716" s="61" t="s">
        <v>780</v>
      </c>
      <c r="J716" s="61" t="n">
        <v>5800.0</v>
      </c>
      <c r="K716" s="61" t="s">
        <v>434</v>
      </c>
      <c r="L716" s="61" t="s">
        <v>435</v>
      </c>
      <c r="M716" s="42"/>
      <c r="N716" s="46" t="e">
        <f t="shared" si="35"/>
        <v>#DIV/0!</v>
      </c>
      <c r="O716" s="46" t="str">
        <f t="shared" si="36"/>
        <v/>
      </c>
      <c r="P716" s="46">
        <f t="shared" si="37"/>
        <v>1</v>
      </c>
      <c r="Q716" s="46"/>
      <c r="R716" s="45"/>
      <c r="S716" s="45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</row>
    <row r="717" spans="1:31" ht="14.25">
      <c r="A717" s="67" t="s">
        <v>647</v>
      </c>
      <c r="B717" s="68" t="s">
        <v>620</v>
      </c>
      <c r="C717" s="67" t="s">
        <v>786</v>
      </c>
      <c r="D717" s="75" t="n">
        <v>580.0</v>
      </c>
      <c r="E717" s="76" t="s">
        <v>0</v>
      </c>
      <c r="F717" s="57" t="str">
        <f>IFERROR(VLOOKUP(C717,$C$9:H716,4,FALSE),"")</f>
        <v/>
      </c>
      <c r="G717" s="61" t="s">
        <v>414</v>
      </c>
      <c r="H717" s="61" t="s">
        <v>775</v>
      </c>
      <c r="I717" s="61" t="s">
        <v>781</v>
      </c>
      <c r="J717" s="61" t="n">
        <v>5800.0</v>
      </c>
      <c r="K717" s="61" t="s">
        <v>434</v>
      </c>
      <c r="L717" s="61" t="s">
        <v>435</v>
      </c>
      <c r="M717" s="42"/>
      <c r="N717" s="46" t="e">
        <f t="shared" si="35"/>
        <v>#DIV/0!</v>
      </c>
      <c r="O717" s="46" t="str">
        <f t="shared" si="36"/>
        <v/>
      </c>
      <c r="P717" s="46">
        <f t="shared" si="37"/>
        <v>1</v>
      </c>
      <c r="Q717" s="46"/>
      <c r="R717" s="45"/>
      <c r="S717" s="45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</row>
    <row r="718" spans="1:31" ht="14.25">
      <c r="A718" s="67" t="s">
        <v>565</v>
      </c>
      <c r="B718" s="68" t="s">
        <v>620</v>
      </c>
      <c r="C718" s="67" t="s">
        <v>786</v>
      </c>
      <c r="D718" s="75" t="n">
        <v>580.0</v>
      </c>
      <c r="E718" s="76" t="s">
        <v>0</v>
      </c>
      <c r="F718" s="57" t="str">
        <f>IFERROR(VLOOKUP(C718,$C$9:H717,4,FALSE),"")</f>
        <v/>
      </c>
      <c r="G718" s="61" t="s">
        <v>414</v>
      </c>
      <c r="H718" s="61" t="s">
        <v>775</v>
      </c>
      <c r="I718" s="61" t="s">
        <v>776</v>
      </c>
      <c r="J718" s="61" t="n">
        <v>5800.0</v>
      </c>
      <c r="K718" s="61" t="s">
        <v>434</v>
      </c>
      <c r="L718" s="61" t="s">
        <v>435</v>
      </c>
      <c r="M718" s="42"/>
      <c r="N718" s="46" t="e">
        <f t="shared" si="35"/>
        <v>#DIV/0!</v>
      </c>
      <c r="O718" s="46" t="str">
        <f t="shared" si="36"/>
        <v/>
      </c>
      <c r="P718" s="46">
        <f t="shared" si="37"/>
        <v>1</v>
      </c>
      <c r="Q718" s="46"/>
      <c r="R718" s="45"/>
      <c r="S718" s="45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</row>
    <row r="719" spans="1:31" ht="14.25">
      <c r="A719" s="67" t="s">
        <v>705</v>
      </c>
      <c r="B719" s="68" t="s">
        <v>745</v>
      </c>
      <c r="C719" s="67" t="s">
        <v>787</v>
      </c>
      <c r="D719" s="75" t="n">
        <v>181.0</v>
      </c>
      <c r="E719" s="76" t="s">
        <v>0</v>
      </c>
      <c r="F719" s="57" t="str">
        <f>IFERROR(VLOOKUP(C719,$C$9:H718,4,FALSE),"")</f>
        <v/>
      </c>
      <c r="G719" s="61" t="s">
        <v>414</v>
      </c>
      <c r="H719" s="61" t="s">
        <v>775</v>
      </c>
      <c r="I719" s="61" t="s">
        <v>788</v>
      </c>
      <c r="J719" s="61" t="n">
        <v>724.0</v>
      </c>
      <c r="K719" s="61" t="s">
        <v>434</v>
      </c>
      <c r="L719" s="61" t="s">
        <v>435</v>
      </c>
      <c r="M719" s="42"/>
      <c r="N719" s="46" t="e">
        <f t="shared" si="35"/>
        <v>#DIV/0!</v>
      </c>
      <c r="O719" s="46" t="str">
        <f t="shared" si="36"/>
        <v/>
      </c>
      <c r="P719" s="46">
        <f t="shared" si="37"/>
        <v>1</v>
      </c>
      <c r="Q719" s="46"/>
      <c r="R719" s="45"/>
      <c r="S719" s="45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</row>
    <row r="720" spans="1:31" ht="14.25">
      <c r="A720" s="67"/>
      <c r="B720" s="68"/>
      <c r="C720" s="67"/>
      <c r="D720" s="75"/>
      <c r="E720" s="76" t="str">
        <f>IFERROR(VLOOKUP(C720,$C$9:E719,3,0),"")</f>
        <v/>
      </c>
      <c r="F720" s="57" t="str">
        <f>IFERROR(VLOOKUP(C720,$C$9:H719,4,FALSE),"")</f>
        <v/>
      </c>
      <c r="G720" s="61" t="str">
        <f>IFERROR(VLOOKUP(C720,$C$9:G719,5,FALSE),"")</f>
        <v/>
      </c>
      <c r="H720" s="61" t="str">
        <f>IFERROR(VLOOKUP(C720,$C$9:H719,6,FALSE),"")</f>
        <v/>
      </c>
      <c r="I720" s="61"/>
      <c r="J720" s="61"/>
      <c r="K720" s="61"/>
      <c r="L720" s="61"/>
      <c r="N720" s="46" t="e">
        <f t="shared" si="35"/>
        <v>#DIV/0!</v>
      </c>
      <c r="O720" s="46" t="str">
        <f t="shared" si="36"/>
        <v/>
      </c>
      <c r="P720" s="46">
        <f t="shared" si="37"/>
        <v>1</v>
      </c>
      <c r="Q720" s="46"/>
      <c r="R720" s="45"/>
      <c r="S720" s="45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</row>
    <row r="721" spans="1:31" ht="14.25">
      <c r="A721" s="67"/>
      <c r="B721" s="68"/>
      <c r="C721" s="67"/>
      <c r="D721" s="75"/>
      <c r="E721" s="76" t="str">
        <f>IFERROR(VLOOKUP(C721,$C$9:E720,3,0),"")</f>
        <v/>
      </c>
      <c r="F721" s="57" t="str">
        <f>IFERROR(VLOOKUP(C721,$C$9:H720,4,FALSE),"")</f>
        <v/>
      </c>
      <c r="G721" s="61" t="str">
        <f>IFERROR(VLOOKUP(C721,$C$9:G720,5,FALSE),"")</f>
        <v/>
      </c>
      <c r="H721" s="61" t="str">
        <f>IFERROR(VLOOKUP(C721,$C$9:H720,6,FALSE),"")</f>
        <v/>
      </c>
      <c r="I721" s="61"/>
      <c r="J721" s="61"/>
      <c r="K721" s="61"/>
      <c r="L721" s="61"/>
      <c r="N721" s="46" t="e">
        <f t="shared" si="35"/>
        <v>#DIV/0!</v>
      </c>
      <c r="O721" s="46" t="str">
        <f t="shared" si="36"/>
        <v/>
      </c>
      <c r="P721" s="46">
        <f t="shared" si="37"/>
        <v>1</v>
      </c>
      <c r="Q721" s="46"/>
      <c r="R721" s="45"/>
      <c r="S721" s="45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</row>
    <row r="722" spans="1:31" ht="14.25">
      <c r="A722" s="67"/>
      <c r="B722" s="78"/>
      <c r="C722" s="77"/>
      <c r="D722" s="75"/>
      <c r="E722" s="76" t="str">
        <f>IFERROR(VLOOKUP(C722,$C$9:E721,3,0),"")</f>
        <v/>
      </c>
      <c r="F722" s="57" t="str">
        <f>IFERROR(VLOOKUP(C722,$C$9:H721,4,FALSE),"")</f>
        <v/>
      </c>
      <c r="G722" s="61" t="str">
        <f>IFERROR(VLOOKUP(C722,$C$9:G721,5,FALSE),"")</f>
        <v/>
      </c>
      <c r="H722" s="61" t="str">
        <f>IFERROR(VLOOKUP(C722,$C$9:H721,6,FALSE),"")</f>
        <v/>
      </c>
      <c r="I722" s="61"/>
      <c r="J722" s="61"/>
      <c r="K722" s="61"/>
      <c r="L722" s="61"/>
      <c r="N722" s="46" t="e">
        <f t="shared" si="35"/>
        <v>#DIV/0!</v>
      </c>
      <c r="O722" s="46" t="str">
        <f t="shared" si="36"/>
        <v/>
      </c>
      <c r="P722" s="46">
        <f t="shared" si="37"/>
        <v>1</v>
      </c>
      <c r="Q722" s="46"/>
      <c r="R722" s="45"/>
      <c r="S722" s="45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</row>
    <row r="723" spans="1:31" ht="14.25">
      <c r="A723" s="67"/>
      <c r="B723" s="71"/>
      <c r="C723" s="67"/>
      <c r="D723" s="75"/>
      <c r="E723" s="76" t="str">
        <f>IFERROR(VLOOKUP(C723,$C$9:E722,3,0),"")</f>
        <v/>
      </c>
      <c r="F723" s="57" t="str">
        <f>IFERROR(VLOOKUP(C723,$C$9:H722,4,FALSE),"")</f>
        <v/>
      </c>
      <c r="G723" s="61" t="str">
        <f>IFERROR(VLOOKUP(C723,$C$9:G722,5,FALSE),"")</f>
        <v/>
      </c>
      <c r="H723" s="61" t="str">
        <f>IFERROR(VLOOKUP(C723,$C$9:H722,6,FALSE),"")</f>
        <v/>
      </c>
      <c r="I723" s="61"/>
      <c r="J723" s="61"/>
      <c r="K723" s="61"/>
      <c r="L723" s="61"/>
      <c r="N723" s="46" t="e">
        <f t="shared" si="35"/>
        <v>#DIV/0!</v>
      </c>
      <c r="O723" s="46" t="str">
        <f t="shared" si="36"/>
        <v/>
      </c>
      <c r="P723" s="46">
        <f t="shared" si="37"/>
        <v>1</v>
      </c>
      <c r="Q723" s="46"/>
      <c r="R723" s="45"/>
      <c r="S723" s="45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</row>
    <row r="724" spans="1:31" ht="14.25">
      <c r="A724" s="67"/>
      <c r="B724" s="68"/>
      <c r="C724" s="67"/>
      <c r="D724" s="75"/>
      <c r="E724" s="76" t="str">
        <f>IFERROR(VLOOKUP(C724,$C$9:E723,3,0),"")</f>
        <v/>
      </c>
      <c r="F724" s="57" t="str">
        <f>IFERROR(VLOOKUP(C724,$C$9:H723,4,FALSE),"")</f>
        <v/>
      </c>
      <c r="G724" s="61" t="str">
        <f>IFERROR(VLOOKUP(C724,$C$9:G723,5,FALSE),"")</f>
        <v/>
      </c>
      <c r="H724" s="61" t="str">
        <f>IFERROR(VLOOKUP(C724,$C$9:H723,6,FALSE),"")</f>
        <v/>
      </c>
      <c r="I724" s="61"/>
      <c r="J724" s="61"/>
      <c r="K724" s="61"/>
      <c r="L724" s="61"/>
      <c r="N724" s="46" t="e">
        <f t="shared" si="35"/>
        <v>#DIV/0!</v>
      </c>
      <c r="O724" s="46" t="str">
        <f t="shared" si="36"/>
        <v/>
      </c>
      <c r="P724" s="46">
        <f t="shared" si="37"/>
        <v>1</v>
      </c>
      <c r="Q724" s="46"/>
      <c r="R724" s="45"/>
      <c r="S724" s="45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</row>
    <row r="725" spans="1:31" ht="14.25">
      <c r="A725" s="67"/>
      <c r="B725" s="68"/>
      <c r="C725" s="67"/>
      <c r="D725" s="75"/>
      <c r="E725" s="76" t="str">
        <f>IFERROR(VLOOKUP(C725,$C$9:E724,3,0),"")</f>
        <v/>
      </c>
      <c r="F725" s="57" t="str">
        <f>IFERROR(VLOOKUP(C725,$C$9:H724,4,FALSE),"")</f>
        <v/>
      </c>
      <c r="G725" s="61" t="str">
        <f>IFERROR(VLOOKUP(C725,$C$9:G724,5,FALSE),"")</f>
        <v/>
      </c>
      <c r="H725" s="61" t="str">
        <f>IFERROR(VLOOKUP(C725,$C$9:H724,6,FALSE),"")</f>
        <v/>
      </c>
      <c r="I725" s="61"/>
      <c r="J725" s="61"/>
      <c r="K725" s="61"/>
      <c r="L725" s="61"/>
      <c r="N725" s="46" t="e">
        <f t="shared" si="35"/>
        <v>#DIV/0!</v>
      </c>
      <c r="O725" s="46" t="str">
        <f t="shared" si="36"/>
        <v/>
      </c>
      <c r="P725" s="46">
        <f t="shared" si="37"/>
        <v>1</v>
      </c>
      <c r="Q725" s="46"/>
      <c r="R725" s="45"/>
      <c r="S725" s="45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</row>
    <row r="726" spans="1:31" ht="14.25">
      <c r="A726" s="67"/>
      <c r="B726" s="68"/>
      <c r="C726" s="67"/>
      <c r="D726" s="75"/>
      <c r="E726" s="76" t="str">
        <f>IFERROR(VLOOKUP(C726,$C$9:E725,3,0),"")</f>
        <v/>
      </c>
      <c r="F726" s="57" t="str">
        <f>IFERROR(VLOOKUP(C726,$C$9:H725,4,FALSE),"")</f>
        <v/>
      </c>
      <c r="G726" s="61" t="str">
        <f>IFERROR(VLOOKUP(C726,$C$9:G725,5,FALSE),"")</f>
        <v/>
      </c>
      <c r="H726" s="61" t="str">
        <f>IFERROR(VLOOKUP(C726,$C$9:H725,6,FALSE),"")</f>
        <v/>
      </c>
      <c r="I726" s="61"/>
      <c r="J726" s="61"/>
      <c r="K726" s="61"/>
      <c r="L726" s="61"/>
      <c r="N726" s="46" t="e">
        <f t="shared" si="35"/>
        <v>#DIV/0!</v>
      </c>
      <c r="O726" s="46" t="str">
        <f t="shared" si="36"/>
        <v/>
      </c>
      <c r="P726" s="46">
        <f t="shared" si="37"/>
        <v>1</v>
      </c>
      <c r="Q726" s="46"/>
      <c r="R726" s="45"/>
      <c r="S726" s="45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</row>
    <row r="727" spans="1:31" ht="14.25">
      <c r="A727" s="67"/>
      <c r="B727" s="68"/>
      <c r="C727" s="67"/>
      <c r="D727" s="75"/>
      <c r="E727" s="76" t="str">
        <f>IFERROR(VLOOKUP(C727,$C$9:E726,3,0),"")</f>
        <v/>
      </c>
      <c r="F727" s="57" t="str">
        <f>IFERROR(VLOOKUP(C727,$C$9:H726,4,FALSE),"")</f>
        <v/>
      </c>
      <c r="G727" s="61" t="str">
        <f>IFERROR(VLOOKUP(C727,$C$9:G726,5,FALSE),"")</f>
        <v/>
      </c>
      <c r="H727" s="61" t="str">
        <f>IFERROR(VLOOKUP(C727,$C$9:H726,6,FALSE),"")</f>
        <v/>
      </c>
      <c r="I727" s="61"/>
      <c r="J727" s="61"/>
      <c r="K727" s="61"/>
      <c r="L727" s="61"/>
      <c r="N727" s="46" t="e">
        <f t="shared" si="35"/>
        <v>#DIV/0!</v>
      </c>
      <c r="O727" s="46" t="str">
        <f t="shared" si="36"/>
        <v/>
      </c>
      <c r="P727" s="46">
        <f t="shared" si="37"/>
        <v>1</v>
      </c>
      <c r="Q727" s="46"/>
      <c r="R727" s="45"/>
      <c r="S727" s="45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</row>
    <row r="728" spans="1:31" ht="14.25">
      <c r="A728" s="67"/>
      <c r="B728" s="68"/>
      <c r="C728" s="67"/>
      <c r="D728" s="75"/>
      <c r="E728" s="76" t="str">
        <f>IFERROR(VLOOKUP(C728,$C$9:E727,3,0),"")</f>
        <v/>
      </c>
      <c r="F728" s="57" t="str">
        <f>IFERROR(VLOOKUP(C728,$C$9:H727,4,FALSE),"")</f>
        <v/>
      </c>
      <c r="G728" s="61" t="str">
        <f>IFERROR(VLOOKUP(C728,$C$9:G727,5,FALSE),"")</f>
        <v/>
      </c>
      <c r="H728" s="61" t="str">
        <f>IFERROR(VLOOKUP(C728,$C$9:H727,6,FALSE),"")</f>
        <v/>
      </c>
      <c r="I728" s="61"/>
      <c r="J728" s="61"/>
      <c r="K728" s="61"/>
      <c r="L728" s="61"/>
      <c r="N728" s="46" t="e">
        <f t="shared" si="35"/>
        <v>#DIV/0!</v>
      </c>
      <c r="O728" s="46" t="str">
        <f t="shared" si="36"/>
        <v/>
      </c>
      <c r="P728" s="46">
        <f t="shared" si="37"/>
        <v>1</v>
      </c>
      <c r="Q728" s="46"/>
      <c r="R728" s="45"/>
      <c r="S728" s="45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</row>
    <row r="729" spans="1:31" ht="14.25">
      <c r="A729" s="67"/>
      <c r="B729" s="68"/>
      <c r="C729" s="67"/>
      <c r="D729" s="75"/>
      <c r="E729" s="76" t="str">
        <f>IFERROR(VLOOKUP(C729,$C$9:E728,3,0),"")</f>
        <v/>
      </c>
      <c r="F729" s="57" t="str">
        <f>IFERROR(VLOOKUP(C729,$C$9:H728,4,FALSE),"")</f>
        <v/>
      </c>
      <c r="G729" s="61" t="str">
        <f>IFERROR(VLOOKUP(C729,$C$9:G728,5,FALSE),"")</f>
        <v/>
      </c>
      <c r="H729" s="61" t="str">
        <f>IFERROR(VLOOKUP(C729,$C$9:H728,6,FALSE),"")</f>
        <v/>
      </c>
      <c r="I729" s="61"/>
      <c r="J729" s="61"/>
      <c r="K729" s="61"/>
      <c r="L729" s="61"/>
      <c r="N729" s="46" t="e">
        <f t="shared" si="35"/>
        <v>#DIV/0!</v>
      </c>
      <c r="O729" s="46" t="str">
        <f t="shared" si="36"/>
        <v/>
      </c>
      <c r="P729" s="46">
        <f t="shared" si="37"/>
        <v>1</v>
      </c>
      <c r="Q729" s="46"/>
      <c r="R729" s="45"/>
      <c r="S729" s="45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</row>
    <row r="730" spans="1:31" ht="14.25">
      <c r="A730" s="67"/>
      <c r="B730" s="68"/>
      <c r="C730" s="67"/>
      <c r="D730" s="75"/>
      <c r="E730" s="76" t="str">
        <f>IFERROR(VLOOKUP(C730,$C$9:E729,3,0),"")</f>
        <v/>
      </c>
      <c r="F730" s="57" t="str">
        <f>IFERROR(VLOOKUP(C730,$C$9:H729,4,FALSE),"")</f>
        <v/>
      </c>
      <c r="G730" s="61" t="str">
        <f>IFERROR(VLOOKUP(C730,$C$9:G729,5,FALSE),"")</f>
        <v/>
      </c>
      <c r="H730" s="61" t="str">
        <f>IFERROR(VLOOKUP(C730,$C$9:H729,6,FALSE),"")</f>
        <v/>
      </c>
      <c r="I730" s="61"/>
      <c r="J730" s="61"/>
      <c r="K730" s="61"/>
      <c r="L730" s="61"/>
      <c r="N730" s="46" t="e">
        <f t="shared" si="35"/>
        <v>#DIV/0!</v>
      </c>
      <c r="O730" s="46" t="str">
        <f t="shared" si="36"/>
        <v/>
      </c>
      <c r="P730" s="46">
        <f t="shared" si="37"/>
        <v>1</v>
      </c>
      <c r="Q730" s="46"/>
      <c r="R730" s="45"/>
      <c r="S730" s="45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</row>
    <row r="731" spans="1:31" ht="14.25">
      <c r="A731" s="67"/>
      <c r="B731" s="68"/>
      <c r="C731" s="67"/>
      <c r="D731" s="75"/>
      <c r="E731" s="76" t="str">
        <f>IFERROR(VLOOKUP(C731,$C$9:E730,3,0),"")</f>
        <v/>
      </c>
      <c r="F731" s="57" t="str">
        <f>IFERROR(VLOOKUP(C731,$C$9:H730,4,FALSE),"")</f>
        <v/>
      </c>
      <c r="G731" s="61" t="str">
        <f>IFERROR(VLOOKUP(C731,$C$9:G730,5,FALSE),"")</f>
        <v/>
      </c>
      <c r="H731" s="61" t="str">
        <f>IFERROR(VLOOKUP(C731,$C$9:H730,6,FALSE),"")</f>
        <v/>
      </c>
      <c r="I731" s="61"/>
      <c r="J731" s="61"/>
      <c r="K731" s="61"/>
      <c r="L731" s="61"/>
      <c r="N731" s="46" t="e">
        <f t="shared" si="35"/>
        <v>#DIV/0!</v>
      </c>
      <c r="O731" s="46" t="str">
        <f t="shared" si="36"/>
        <v/>
      </c>
      <c r="P731" s="46">
        <f t="shared" si="37"/>
        <v>1</v>
      </c>
      <c r="Q731" s="46"/>
      <c r="R731" s="45"/>
      <c r="S731" s="45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</row>
    <row r="732" spans="1:31" ht="14.25">
      <c r="A732" s="67"/>
      <c r="B732" s="78"/>
      <c r="C732" s="77"/>
      <c r="D732" s="75"/>
      <c r="E732" s="76" t="str">
        <f>IFERROR(VLOOKUP(C732,$C$9:E731,3,0),"")</f>
        <v/>
      </c>
      <c r="F732" s="57" t="str">
        <f>IFERROR(VLOOKUP(C732,$C$9:H731,4,FALSE),"")</f>
        <v/>
      </c>
      <c r="G732" s="61" t="str">
        <f>IFERROR(VLOOKUP(C732,$C$9:G731,5,FALSE),"")</f>
        <v/>
      </c>
      <c r="H732" s="61" t="str">
        <f>IFERROR(VLOOKUP(C732,$C$9:H731,6,FALSE),"")</f>
        <v/>
      </c>
      <c r="I732" s="61"/>
      <c r="J732" s="61"/>
      <c r="K732" s="61"/>
      <c r="L732" s="61"/>
      <c r="N732" s="46" t="e">
        <f t="shared" si="35"/>
        <v>#DIV/0!</v>
      </c>
      <c r="O732" s="46" t="str">
        <f t="shared" si="36"/>
        <v/>
      </c>
      <c r="P732" s="46">
        <f t="shared" si="37"/>
        <v>1</v>
      </c>
      <c r="Q732" s="46"/>
      <c r="R732" s="45"/>
      <c r="S732" s="45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</row>
    <row r="733" spans="1:31" ht="14.25">
      <c r="A733" s="67"/>
      <c r="B733" s="71"/>
      <c r="C733" s="67"/>
      <c r="D733" s="75"/>
      <c r="E733" s="76" t="str">
        <f>IFERROR(VLOOKUP(C733,$C$9:E732,3,0),"")</f>
        <v/>
      </c>
      <c r="F733" s="57" t="str">
        <f>IFERROR(VLOOKUP(C733,$C$9:H732,4,FALSE),"")</f>
        <v/>
      </c>
      <c r="G733" s="61" t="str">
        <f>IFERROR(VLOOKUP(C733,$C$9:G732,5,FALSE),"")</f>
        <v/>
      </c>
      <c r="H733" s="61" t="str">
        <f>IFERROR(VLOOKUP(C733,$C$9:H732,6,FALSE),"")</f>
        <v/>
      </c>
      <c r="I733" s="61"/>
      <c r="J733" s="61"/>
      <c r="K733" s="61"/>
      <c r="L733" s="61"/>
      <c r="N733" s="46" t="e">
        <f t="shared" si="35"/>
        <v>#DIV/0!</v>
      </c>
      <c r="O733" s="46" t="str">
        <f t="shared" si="36"/>
        <v/>
      </c>
      <c r="P733" s="46">
        <f t="shared" si="37"/>
        <v>1</v>
      </c>
      <c r="Q733" s="46"/>
      <c r="R733" s="45"/>
      <c r="S733" s="45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</row>
    <row r="734" spans="1:31" ht="14.25">
      <c r="A734" s="67"/>
      <c r="B734" s="68"/>
      <c r="C734" s="67"/>
      <c r="D734" s="75"/>
      <c r="E734" s="76" t="str">
        <f>IFERROR(VLOOKUP(C734,$C$9:E733,3,0),"")</f>
        <v/>
      </c>
      <c r="F734" s="57" t="str">
        <f>IFERROR(VLOOKUP(C734,$C$9:H733,4,FALSE),"")</f>
        <v/>
      </c>
      <c r="G734" s="61" t="str">
        <f>IFERROR(VLOOKUP(C734,$C$9:G733,5,FALSE),"")</f>
        <v/>
      </c>
      <c r="H734" s="61" t="str">
        <f>IFERROR(VLOOKUP(C734,$C$9:H733,6,FALSE),"")</f>
        <v/>
      </c>
      <c r="I734" s="61"/>
      <c r="J734" s="61"/>
      <c r="K734" s="61"/>
      <c r="L734" s="61"/>
      <c r="N734" s="46" t="e">
        <f t="shared" si="35"/>
        <v>#DIV/0!</v>
      </c>
      <c r="O734" s="46" t="str">
        <f t="shared" si="36"/>
        <v/>
      </c>
      <c r="P734" s="46">
        <f t="shared" si="37"/>
        <v>1</v>
      </c>
      <c r="Q734" s="46"/>
      <c r="R734" s="45"/>
      <c r="S734" s="45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</row>
    <row r="735" spans="1:31" ht="14.25">
      <c r="A735" s="67"/>
      <c r="B735" s="68"/>
      <c r="C735" s="67"/>
      <c r="D735" s="75"/>
      <c r="E735" s="76" t="str">
        <f>IFERROR(VLOOKUP(C735,$C$9:E734,3,0),"")</f>
        <v/>
      </c>
      <c r="F735" s="57" t="str">
        <f>IFERROR(VLOOKUP(C735,$C$9:H734,4,FALSE),"")</f>
        <v/>
      </c>
      <c r="G735" s="61" t="str">
        <f>IFERROR(VLOOKUP(C735,$C$9:G734,5,FALSE),"")</f>
        <v/>
      </c>
      <c r="H735" s="61" t="str">
        <f>IFERROR(VLOOKUP(C735,$C$9:H734,6,FALSE),"")</f>
        <v/>
      </c>
      <c r="I735" s="61"/>
      <c r="J735" s="61"/>
      <c r="K735" s="61"/>
      <c r="L735" s="61"/>
      <c r="N735" s="46" t="e">
        <f t="shared" si="35"/>
        <v>#DIV/0!</v>
      </c>
      <c r="O735" s="46" t="str">
        <f t="shared" si="36"/>
        <v/>
      </c>
      <c r="P735" s="46">
        <f t="shared" si="37"/>
        <v>1</v>
      </c>
      <c r="Q735" s="46"/>
      <c r="R735" s="45"/>
      <c r="S735" s="45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</row>
    <row r="736" spans="1:31" ht="14.25">
      <c r="A736" s="67"/>
      <c r="B736" s="68"/>
      <c r="C736" s="67"/>
      <c r="D736" s="75"/>
      <c r="E736" s="76" t="str">
        <f>IFERROR(VLOOKUP(C736,$C$9:E735,3,0),"")</f>
        <v/>
      </c>
      <c r="F736" s="57" t="str">
        <f>IFERROR(VLOOKUP(C736,$C$9:H735,4,FALSE),"")</f>
        <v/>
      </c>
      <c r="G736" s="61" t="str">
        <f>IFERROR(VLOOKUP(C736,$C$9:G735,5,FALSE),"")</f>
        <v/>
      </c>
      <c r="H736" s="61" t="str">
        <f>IFERROR(VLOOKUP(C736,$C$9:H735,6,FALSE),"")</f>
        <v/>
      </c>
      <c r="I736" s="61"/>
      <c r="J736" s="61"/>
      <c r="K736" s="61"/>
      <c r="L736" s="61"/>
      <c r="N736" s="46" t="e">
        <f t="shared" si="35"/>
        <v>#DIV/0!</v>
      </c>
      <c r="O736" s="46" t="str">
        <f t="shared" si="36"/>
        <v/>
      </c>
      <c r="P736" s="46">
        <f t="shared" si="37"/>
        <v>1</v>
      </c>
      <c r="Q736" s="46"/>
      <c r="R736" s="45"/>
      <c r="S736" s="45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</row>
    <row r="737" spans="1:31" ht="14.25">
      <c r="A737" s="67"/>
      <c r="B737" s="68"/>
      <c r="C737" s="67"/>
      <c r="D737" s="75"/>
      <c r="E737" s="76" t="str">
        <f>IFERROR(VLOOKUP(C737,$C$9:E736,3,0),"")</f>
        <v/>
      </c>
      <c r="F737" s="57" t="str">
        <f>IFERROR(VLOOKUP(C737,$C$9:H736,4,FALSE),"")</f>
        <v/>
      </c>
      <c r="G737" s="61" t="str">
        <f>IFERROR(VLOOKUP(C737,$C$9:G736,5,FALSE),"")</f>
        <v/>
      </c>
      <c r="H737" s="61" t="str">
        <f>IFERROR(VLOOKUP(C737,$C$9:H736,6,FALSE),"")</f>
        <v/>
      </c>
      <c r="I737" s="61"/>
      <c r="J737" s="61"/>
      <c r="K737" s="61"/>
      <c r="L737" s="61"/>
      <c r="N737" s="46" t="e">
        <f t="shared" si="35"/>
        <v>#DIV/0!</v>
      </c>
      <c r="O737" s="46" t="str">
        <f t="shared" si="36"/>
        <v/>
      </c>
      <c r="P737" s="46">
        <f t="shared" si="37"/>
        <v>1</v>
      </c>
      <c r="Q737" s="46"/>
      <c r="R737" s="45"/>
      <c r="S737" s="45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</row>
    <row r="738" spans="1:31" ht="14.25">
      <c r="A738" s="67"/>
      <c r="B738" s="68"/>
      <c r="C738" s="67"/>
      <c r="D738" s="75"/>
      <c r="E738" s="76" t="str">
        <f>IFERROR(VLOOKUP(C738,$C$9:E737,3,0),"")</f>
        <v/>
      </c>
      <c r="F738" s="57" t="str">
        <f>IFERROR(VLOOKUP(C738,$C$9:H737,4,FALSE),"")</f>
        <v/>
      </c>
      <c r="G738" s="61" t="str">
        <f>IFERROR(VLOOKUP(C738,$C$9:G737,5,FALSE),"")</f>
        <v/>
      </c>
      <c r="H738" s="61" t="str">
        <f>IFERROR(VLOOKUP(C738,$C$9:H737,6,FALSE),"")</f>
        <v/>
      </c>
      <c r="I738" s="61"/>
      <c r="J738" s="61"/>
      <c r="K738" s="61"/>
      <c r="L738" s="61"/>
      <c r="N738" s="46" t="e">
        <f t="shared" si="35"/>
        <v>#DIV/0!</v>
      </c>
      <c r="O738" s="46" t="str">
        <f t="shared" si="36"/>
        <v/>
      </c>
      <c r="P738" s="46">
        <f t="shared" si="37"/>
        <v>1</v>
      </c>
      <c r="Q738" s="46"/>
      <c r="R738" s="45"/>
      <c r="S738" s="45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</row>
    <row r="739" spans="1:31" ht="14.25">
      <c r="A739" s="67"/>
      <c r="B739" s="68"/>
      <c r="C739" s="67"/>
      <c r="D739" s="75"/>
      <c r="E739" s="76" t="str">
        <f>IFERROR(VLOOKUP(C739,$C$9:E738,3,0),"")</f>
        <v/>
      </c>
      <c r="F739" s="57" t="str">
        <f>IFERROR(VLOOKUP(C739,$C$9:H738,4,FALSE),"")</f>
        <v/>
      </c>
      <c r="G739" s="61" t="str">
        <f>IFERROR(VLOOKUP(C739,$C$9:G738,5,FALSE),"")</f>
        <v/>
      </c>
      <c r="H739" s="61" t="str">
        <f>IFERROR(VLOOKUP(C739,$C$9:H738,6,FALSE),"")</f>
        <v/>
      </c>
      <c r="I739" s="61"/>
      <c r="J739" s="61"/>
      <c r="K739" s="61"/>
      <c r="L739" s="61"/>
      <c r="N739" s="46" t="e">
        <f t="shared" si="35"/>
        <v>#DIV/0!</v>
      </c>
      <c r="O739" s="46" t="str">
        <f t="shared" si="36"/>
        <v/>
      </c>
      <c r="P739" s="46">
        <f t="shared" si="37"/>
        <v>1</v>
      </c>
      <c r="Q739" s="46"/>
      <c r="R739" s="45"/>
      <c r="S739" s="45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</row>
    <row r="740" spans="1:31" ht="14.25">
      <c r="A740" s="67"/>
      <c r="B740" s="68"/>
      <c r="C740" s="67"/>
      <c r="D740" s="75"/>
      <c r="E740" s="76" t="str">
        <f>IFERROR(VLOOKUP(C740,$C$9:E739,3,0),"")</f>
        <v/>
      </c>
      <c r="F740" s="57" t="str">
        <f>IFERROR(VLOOKUP(C740,$C$9:H739,4,FALSE),"")</f>
        <v/>
      </c>
      <c r="G740" s="61" t="str">
        <f>IFERROR(VLOOKUP(C740,$C$9:G739,5,FALSE),"")</f>
        <v/>
      </c>
      <c r="H740" s="61" t="str">
        <f>IFERROR(VLOOKUP(C740,$C$9:H739,6,FALSE),"")</f>
        <v/>
      </c>
      <c r="I740" s="61"/>
      <c r="J740" s="61"/>
      <c r="K740" s="61"/>
      <c r="L740" s="61"/>
      <c r="N740" s="46" t="e">
        <f t="shared" si="35"/>
        <v>#DIV/0!</v>
      </c>
      <c r="O740" s="46" t="str">
        <f t="shared" si="36"/>
        <v/>
      </c>
      <c r="P740" s="46">
        <f t="shared" si="37"/>
        <v>1</v>
      </c>
      <c r="Q740" s="46"/>
      <c r="R740" s="45"/>
      <c r="S740" s="45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</row>
    <row r="741" spans="1:31" ht="14.25">
      <c r="A741" s="67"/>
      <c r="B741" s="68"/>
      <c r="C741" s="67"/>
      <c r="D741" s="75"/>
      <c r="E741" s="76" t="str">
        <f>IFERROR(VLOOKUP(C741,$C$9:E740,3,0),"")</f>
        <v/>
      </c>
      <c r="F741" s="57" t="str">
        <f>IFERROR(VLOOKUP(C741,$C$9:H740,4,FALSE),"")</f>
        <v/>
      </c>
      <c r="G741" s="61" t="str">
        <f>IFERROR(VLOOKUP(C741,$C$9:G740,5,FALSE),"")</f>
        <v/>
      </c>
      <c r="H741" s="61" t="str">
        <f>IFERROR(VLOOKUP(C741,$C$9:H740,6,FALSE),"")</f>
        <v/>
      </c>
      <c r="I741" s="61"/>
      <c r="J741" s="61"/>
      <c r="K741" s="61"/>
      <c r="L741" s="61"/>
      <c r="N741" s="46" t="e">
        <f t="shared" si="35"/>
        <v>#DIV/0!</v>
      </c>
      <c r="O741" s="46" t="str">
        <f t="shared" si="36"/>
        <v/>
      </c>
      <c r="P741" s="46">
        <f t="shared" si="37"/>
        <v>1</v>
      </c>
      <c r="Q741" s="46"/>
      <c r="R741" s="45"/>
      <c r="S741" s="45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</row>
    <row r="742" spans="1:31" ht="14.25">
      <c r="A742" s="67"/>
      <c r="B742" s="68"/>
      <c r="C742" s="67"/>
      <c r="D742" s="75"/>
      <c r="E742" s="76" t="str">
        <f>IFERROR(VLOOKUP(C742,$C$9:E741,3,0),"")</f>
        <v/>
      </c>
      <c r="F742" s="57" t="str">
        <f>IFERROR(VLOOKUP(C742,$C$9:H741,4,FALSE),"")</f>
        <v/>
      </c>
      <c r="G742" s="61" t="str">
        <f>IFERROR(VLOOKUP(C742,$C$9:G741,5,FALSE),"")</f>
        <v/>
      </c>
      <c r="H742" s="61" t="str">
        <f>IFERROR(VLOOKUP(C742,$C$9:H741,6,FALSE),"")</f>
        <v/>
      </c>
      <c r="I742" s="61"/>
      <c r="J742" s="61"/>
      <c r="K742" s="61"/>
      <c r="L742" s="61"/>
      <c r="N742" s="46" t="e">
        <f t="shared" si="35"/>
        <v>#DIV/0!</v>
      </c>
      <c r="O742" s="46" t="str">
        <f t="shared" si="36"/>
        <v/>
      </c>
      <c r="P742" s="46">
        <f t="shared" si="37"/>
        <v>1</v>
      </c>
      <c r="Q742" s="46"/>
      <c r="R742" s="45"/>
      <c r="S742" s="45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</row>
    <row r="743" spans="1:31" ht="14.25">
      <c r="A743" s="67"/>
      <c r="B743" s="68"/>
      <c r="C743" s="67"/>
      <c r="D743" s="75"/>
      <c r="E743" s="76" t="str">
        <f>IFERROR(VLOOKUP(C743,$C$9:E742,3,0),"")</f>
        <v/>
      </c>
      <c r="F743" s="57" t="str">
        <f>IFERROR(VLOOKUP(C743,$C$9:H742,4,FALSE),"")</f>
        <v/>
      </c>
      <c r="G743" s="61" t="str">
        <f>IFERROR(VLOOKUP(C743,$C$9:G742,5,FALSE),"")</f>
        <v/>
      </c>
      <c r="H743" s="61" t="str">
        <f>IFERROR(VLOOKUP(C743,$C$9:H742,6,FALSE),"")</f>
        <v/>
      </c>
      <c r="I743" s="61"/>
      <c r="J743" s="61"/>
      <c r="K743" s="61"/>
      <c r="L743" s="61"/>
      <c r="N743" s="46" t="e">
        <f t="shared" si="35"/>
        <v>#DIV/0!</v>
      </c>
      <c r="O743" s="46" t="str">
        <f t="shared" si="36"/>
        <v/>
      </c>
      <c r="P743" s="46">
        <f t="shared" si="37"/>
        <v>1</v>
      </c>
      <c r="Q743" s="46"/>
      <c r="R743" s="45"/>
      <c r="S743" s="45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</row>
    <row r="744" spans="1:31" ht="14.25">
      <c r="A744" s="67"/>
      <c r="B744" s="68"/>
      <c r="C744" s="67"/>
      <c r="D744" s="75"/>
      <c r="E744" s="76" t="str">
        <f>IFERROR(VLOOKUP(C744,$C$9:E743,3,0),"")</f>
        <v/>
      </c>
      <c r="F744" s="57" t="str">
        <f>IFERROR(VLOOKUP(C744,$C$9:H743,4,FALSE),"")</f>
        <v/>
      </c>
      <c r="G744" s="61" t="str">
        <f>IFERROR(VLOOKUP(C744,$C$9:G743,5,FALSE),"")</f>
        <v/>
      </c>
      <c r="H744" s="61" t="str">
        <f>IFERROR(VLOOKUP(C744,$C$9:H743,6,FALSE),"")</f>
        <v/>
      </c>
      <c r="I744" s="61"/>
      <c r="J744" s="61"/>
      <c r="K744" s="61"/>
      <c r="L744" s="61"/>
      <c r="N744" s="46" t="e">
        <f t="shared" si="35"/>
        <v>#DIV/0!</v>
      </c>
      <c r="O744" s="46" t="str">
        <f t="shared" si="36"/>
        <v/>
      </c>
      <c r="P744" s="46">
        <f t="shared" si="37"/>
        <v>1</v>
      </c>
      <c r="Q744" s="46"/>
      <c r="R744" s="45"/>
      <c r="S744" s="45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</row>
    <row r="745" spans="1:31" ht="14.25">
      <c r="A745" s="67"/>
      <c r="B745" s="68"/>
      <c r="C745" s="67"/>
      <c r="D745" s="75"/>
      <c r="E745" s="76" t="str">
        <f>IFERROR(VLOOKUP(C745,$C$9:E744,3,0),"")</f>
        <v/>
      </c>
      <c r="F745" s="57" t="str">
        <f>IFERROR(VLOOKUP(C745,$C$9:H744,4,FALSE),"")</f>
        <v/>
      </c>
      <c r="G745" s="61" t="str">
        <f>IFERROR(VLOOKUP(C745,$C$9:G744,5,FALSE),"")</f>
        <v/>
      </c>
      <c r="H745" s="61" t="str">
        <f>IFERROR(VLOOKUP(C745,$C$9:H744,6,FALSE),"")</f>
        <v/>
      </c>
      <c r="I745" s="61"/>
      <c r="J745" s="61"/>
      <c r="K745" s="61"/>
      <c r="L745" s="61"/>
      <c r="N745" s="46" t="e">
        <f t="shared" si="35"/>
        <v>#DIV/0!</v>
      </c>
      <c r="O745" s="46" t="str">
        <f t="shared" si="36"/>
        <v/>
      </c>
      <c r="P745" s="46">
        <f t="shared" si="37"/>
        <v>1</v>
      </c>
      <c r="Q745" s="46"/>
      <c r="R745" s="45"/>
      <c r="S745" s="45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</row>
    <row r="746" spans="1:31" ht="14.25">
      <c r="A746" s="67"/>
      <c r="B746" s="68"/>
      <c r="C746" s="67"/>
      <c r="D746" s="75"/>
      <c r="E746" s="76" t="str">
        <f>IFERROR(VLOOKUP(C746,$C$9:E745,3,0),"")</f>
        <v/>
      </c>
      <c r="F746" s="57" t="str">
        <f>IFERROR(VLOOKUP(C746,$C$9:H745,4,FALSE),"")</f>
        <v/>
      </c>
      <c r="G746" s="61" t="str">
        <f>IFERROR(VLOOKUP(C746,$C$9:G745,5,FALSE),"")</f>
        <v/>
      </c>
      <c r="H746" s="61" t="str">
        <f>IFERROR(VLOOKUP(C746,$C$9:H745,6,FALSE),"")</f>
        <v/>
      </c>
      <c r="I746" s="61"/>
      <c r="J746" s="61"/>
      <c r="K746" s="61"/>
      <c r="L746" s="61"/>
      <c r="N746" s="46" t="e">
        <f t="shared" si="35"/>
        <v>#DIV/0!</v>
      </c>
      <c r="O746" s="46" t="str">
        <f t="shared" si="36"/>
        <v/>
      </c>
      <c r="P746" s="46">
        <f t="shared" si="37"/>
        <v>1</v>
      </c>
      <c r="Q746" s="46"/>
      <c r="R746" s="45"/>
      <c r="S746" s="45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</row>
    <row r="747" spans="1:31" ht="14.25">
      <c r="A747" s="67"/>
      <c r="B747" s="68"/>
      <c r="C747" s="67"/>
      <c r="D747" s="75"/>
      <c r="E747" s="76" t="str">
        <f>IFERROR(VLOOKUP(C747,$C$9:E746,3,0),"")</f>
        <v/>
      </c>
      <c r="F747" s="57" t="str">
        <f>IFERROR(VLOOKUP(C747,$C$9:H746,4,FALSE),"")</f>
        <v/>
      </c>
      <c r="G747" s="61" t="str">
        <f>IFERROR(VLOOKUP(C747,$C$9:G746,5,FALSE),"")</f>
        <v/>
      </c>
      <c r="H747" s="61" t="str">
        <f>IFERROR(VLOOKUP(C747,$C$9:H746,6,FALSE),"")</f>
        <v/>
      </c>
      <c r="I747" s="61"/>
      <c r="J747" s="61"/>
      <c r="K747" s="61"/>
      <c r="L747" s="61"/>
      <c r="N747" s="46" t="e">
        <f t="shared" si="35"/>
        <v>#DIV/0!</v>
      </c>
      <c r="O747" s="46" t="str">
        <f t="shared" si="36"/>
        <v/>
      </c>
      <c r="P747" s="46">
        <f t="shared" si="37"/>
        <v>1</v>
      </c>
      <c r="Q747" s="46"/>
      <c r="R747" s="45"/>
      <c r="S747" s="45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</row>
    <row r="748" spans="1:31" ht="14.25">
      <c r="A748" s="67"/>
      <c r="B748" s="79"/>
      <c r="C748" s="77"/>
      <c r="D748" s="75"/>
      <c r="E748" s="76" t="str">
        <f>IFERROR(VLOOKUP(C748,$C$9:E747,3,0),"")</f>
        <v/>
      </c>
      <c r="F748" s="57" t="str">
        <f>IFERROR(VLOOKUP(C748,$C$9:H747,4,FALSE),"")</f>
        <v/>
      </c>
      <c r="G748" s="61" t="str">
        <f>IFERROR(VLOOKUP(C748,$C$9:G747,5,FALSE),"")</f>
        <v/>
      </c>
      <c r="H748" s="61" t="str">
        <f>IFERROR(VLOOKUP(C748,$C$9:H747,6,FALSE),"")</f>
        <v/>
      </c>
      <c r="I748" s="61"/>
      <c r="J748" s="61"/>
      <c r="K748" s="61"/>
      <c r="L748" s="61"/>
      <c r="N748" s="46" t="e">
        <f t="shared" si="35"/>
        <v>#DIV/0!</v>
      </c>
      <c r="O748" s="46" t="str">
        <f t="shared" si="36"/>
        <v/>
      </c>
      <c r="P748" s="46">
        <f t="shared" si="37"/>
        <v>1</v>
      </c>
      <c r="Q748" s="46"/>
      <c r="R748" s="45"/>
      <c r="S748" s="45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</row>
    <row r="749" spans="1:31" ht="14.25">
      <c r="A749" s="67"/>
      <c r="B749" s="68"/>
      <c r="C749" s="67"/>
      <c r="D749" s="75"/>
      <c r="E749" s="76" t="str">
        <f>IFERROR(VLOOKUP(C749,$C$9:E748,3,0),"")</f>
        <v/>
      </c>
      <c r="F749" s="57" t="str">
        <f>IFERROR(VLOOKUP(C749,$C$9:H748,4,FALSE),"")</f>
        <v/>
      </c>
      <c r="G749" s="61" t="str">
        <f>IFERROR(VLOOKUP(C749,$C$9:G748,5,FALSE),"")</f>
        <v/>
      </c>
      <c r="H749" s="61" t="str">
        <f>IFERROR(VLOOKUP(C749,$C$9:H748,6,FALSE),"")</f>
        <v/>
      </c>
      <c r="I749" s="61"/>
      <c r="J749" s="61"/>
      <c r="K749" s="61"/>
      <c r="L749" s="61"/>
      <c r="N749" s="46" t="e">
        <f t="shared" si="35"/>
        <v>#DIV/0!</v>
      </c>
      <c r="O749" s="46" t="str">
        <f t="shared" si="36"/>
        <v/>
      </c>
      <c r="P749" s="46">
        <f t="shared" si="37"/>
        <v>1</v>
      </c>
      <c r="Q749" s="46"/>
      <c r="R749" s="45"/>
      <c r="S749" s="45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</row>
    <row r="750" spans="1:31" ht="14.25">
      <c r="A750" s="67"/>
      <c r="B750" s="68"/>
      <c r="C750" s="67"/>
      <c r="D750" s="75"/>
      <c r="E750" s="76" t="str">
        <f>IFERROR(VLOOKUP(C750,$C$9:E749,3,0),"")</f>
        <v/>
      </c>
      <c r="F750" s="57" t="str">
        <f>IFERROR(VLOOKUP(C750,$C$9:H749,4,FALSE),"")</f>
        <v/>
      </c>
      <c r="G750" s="61" t="str">
        <f>IFERROR(VLOOKUP(C750,$C$9:G749,5,FALSE),"")</f>
        <v/>
      </c>
      <c r="H750" s="61" t="str">
        <f>IFERROR(VLOOKUP(C750,$C$9:H749,6,FALSE),"")</f>
        <v/>
      </c>
      <c r="I750" s="61"/>
      <c r="J750" s="61"/>
      <c r="K750" s="61"/>
      <c r="L750" s="61"/>
      <c r="N750" s="46" t="e">
        <f t="shared" si="35"/>
        <v>#DIV/0!</v>
      </c>
      <c r="O750" s="46" t="str">
        <f t="shared" si="36"/>
        <v/>
      </c>
      <c r="P750" s="46">
        <f t="shared" si="37"/>
        <v>1</v>
      </c>
      <c r="Q750" s="46"/>
      <c r="R750" s="45"/>
      <c r="S750" s="45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</row>
    <row r="751" spans="1:31" ht="14.25">
      <c r="A751" s="67"/>
      <c r="B751" s="68"/>
      <c r="C751" s="67"/>
      <c r="D751" s="75"/>
      <c r="E751" s="76" t="str">
        <f>IFERROR(VLOOKUP(C751,$C$9:E750,3,0),"")</f>
        <v/>
      </c>
      <c r="F751" s="57" t="str">
        <f>IFERROR(VLOOKUP(C751,$C$9:H750,4,FALSE),"")</f>
        <v/>
      </c>
      <c r="G751" s="61" t="str">
        <f>IFERROR(VLOOKUP(C751,$C$9:G750,5,FALSE),"")</f>
        <v/>
      </c>
      <c r="H751" s="61" t="str">
        <f>IFERROR(VLOOKUP(C751,$C$9:H750,6,FALSE),"")</f>
        <v/>
      </c>
      <c r="I751" s="61"/>
      <c r="J751" s="61"/>
      <c r="K751" s="61"/>
      <c r="L751" s="61"/>
      <c r="N751" s="46" t="e">
        <f t="shared" si="35"/>
        <v>#DIV/0!</v>
      </c>
      <c r="O751" s="46" t="str">
        <f t="shared" si="36"/>
        <v/>
      </c>
      <c r="P751" s="46">
        <f t="shared" si="37"/>
        <v>1</v>
      </c>
      <c r="Q751" s="46"/>
      <c r="R751" s="45"/>
      <c r="S751" s="45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</row>
    <row r="752" spans="1:31" ht="14.25">
      <c r="A752" s="67"/>
      <c r="B752" s="68"/>
      <c r="C752" s="67"/>
      <c r="D752" s="75"/>
      <c r="E752" s="76" t="str">
        <f>IFERROR(VLOOKUP(C752,$C$9:E751,3,0),"")</f>
        <v/>
      </c>
      <c r="F752" s="57" t="str">
        <f>IFERROR(VLOOKUP(C752,$C$9:H751,4,FALSE),"")</f>
        <v/>
      </c>
      <c r="G752" s="61" t="str">
        <f>IFERROR(VLOOKUP(C752,$C$9:G751,5,FALSE),"")</f>
        <v/>
      </c>
      <c r="H752" s="61" t="str">
        <f>IFERROR(VLOOKUP(C752,$C$9:H751,6,FALSE),"")</f>
        <v/>
      </c>
      <c r="I752" s="61"/>
      <c r="J752" s="61"/>
      <c r="K752" s="61"/>
      <c r="L752" s="61"/>
      <c r="N752" s="46" t="e">
        <f t="shared" si="35"/>
        <v>#DIV/0!</v>
      </c>
      <c r="O752" s="46" t="str">
        <f t="shared" si="36"/>
        <v/>
      </c>
      <c r="P752" s="46">
        <f t="shared" si="37"/>
        <v>1</v>
      </c>
      <c r="Q752" s="46"/>
      <c r="R752" s="45"/>
      <c r="S752" s="45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</row>
    <row r="753" spans="1:31" ht="14.25">
      <c r="A753" s="67"/>
      <c r="B753" s="79"/>
      <c r="C753" s="77"/>
      <c r="D753" s="75"/>
      <c r="E753" s="76" t="str">
        <f>IFERROR(VLOOKUP(C753,$C$9:E752,3,0),"")</f>
        <v/>
      </c>
      <c r="F753" s="57" t="str">
        <f>IFERROR(VLOOKUP(C753,$C$9:H752,4,FALSE),"")</f>
        <v/>
      </c>
      <c r="G753" s="61" t="str">
        <f>IFERROR(VLOOKUP(C753,$C$9:G752,5,FALSE),"")</f>
        <v/>
      </c>
      <c r="H753" s="61" t="str">
        <f>IFERROR(VLOOKUP(C753,$C$9:H752,6,FALSE),"")</f>
        <v/>
      </c>
      <c r="I753" s="61"/>
      <c r="J753" s="61"/>
      <c r="K753" s="61"/>
      <c r="L753" s="61"/>
      <c r="N753" s="46" t="e">
        <f t="shared" si="35"/>
        <v>#DIV/0!</v>
      </c>
      <c r="O753" s="46" t="str">
        <f t="shared" si="36"/>
        <v/>
      </c>
      <c r="P753" s="46">
        <f t="shared" si="37"/>
        <v>1</v>
      </c>
      <c r="Q753" s="46"/>
      <c r="R753" s="45"/>
      <c r="S753" s="45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</row>
    <row r="754" spans="1:31" ht="14.25">
      <c r="A754" s="67"/>
      <c r="B754" s="79"/>
      <c r="C754" s="77"/>
      <c r="D754" s="75"/>
      <c r="E754" s="76" t="str">
        <f>IFERROR(VLOOKUP(C754,$C$9:E753,3,0),"")</f>
        <v/>
      </c>
      <c r="F754" s="57" t="str">
        <f>IFERROR(VLOOKUP(C754,$C$9:H753,4,FALSE),"")</f>
        <v/>
      </c>
      <c r="G754" s="61" t="str">
        <f>IFERROR(VLOOKUP(C754,$C$9:G753,5,FALSE),"")</f>
        <v/>
      </c>
      <c r="H754" s="61" t="str">
        <f>IFERROR(VLOOKUP(C754,$C$9:H753,6,FALSE),"")</f>
        <v/>
      </c>
      <c r="I754" s="61"/>
      <c r="J754" s="61"/>
      <c r="K754" s="61"/>
      <c r="L754" s="61"/>
      <c r="N754" s="46" t="e">
        <f t="shared" si="35"/>
        <v>#DIV/0!</v>
      </c>
      <c r="O754" s="46" t="str">
        <f t="shared" si="36"/>
        <v/>
      </c>
      <c r="P754" s="46">
        <f t="shared" si="37"/>
        <v>1</v>
      </c>
      <c r="Q754" s="46"/>
      <c r="R754" s="45"/>
      <c r="S754" s="45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</row>
    <row r="755" spans="1:31" ht="14.25">
      <c r="A755" s="67"/>
      <c r="B755" s="79"/>
      <c r="C755" s="77"/>
      <c r="D755" s="75"/>
      <c r="E755" s="76" t="str">
        <f>IFERROR(VLOOKUP(C755,$C$9:E754,3,0),"")</f>
        <v/>
      </c>
      <c r="F755" s="57" t="str">
        <f>IFERROR(VLOOKUP(C755,$C$9:H754,4,FALSE),"")</f>
        <v/>
      </c>
      <c r="G755" s="61" t="str">
        <f>IFERROR(VLOOKUP(C755,$C$9:G754,5,FALSE),"")</f>
        <v/>
      </c>
      <c r="H755" s="61" t="str">
        <f>IFERROR(VLOOKUP(C755,$C$9:H754,6,FALSE),"")</f>
        <v/>
      </c>
      <c r="I755" s="61"/>
      <c r="J755" s="61"/>
      <c r="K755" s="61"/>
      <c r="L755" s="61"/>
      <c r="N755" s="46" t="e">
        <f t="shared" si="35"/>
        <v>#DIV/0!</v>
      </c>
      <c r="O755" s="46" t="str">
        <f t="shared" si="36"/>
        <v/>
      </c>
      <c r="P755" s="46">
        <f t="shared" si="37"/>
        <v>1</v>
      </c>
      <c r="Q755" s="46"/>
      <c r="R755" s="45"/>
      <c r="S755" s="45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</row>
    <row r="756" spans="1:31" ht="14.25">
      <c r="A756" s="67"/>
      <c r="B756" s="79"/>
      <c r="C756" s="77"/>
      <c r="D756" s="75"/>
      <c r="E756" s="76" t="str">
        <f>IFERROR(VLOOKUP(C756,$C$9:E755,3,0),"")</f>
        <v/>
      </c>
      <c r="F756" s="57" t="str">
        <f>IFERROR(VLOOKUP(C756,$C$9:H755,4,FALSE),"")</f>
        <v/>
      </c>
      <c r="G756" s="61" t="str">
        <f>IFERROR(VLOOKUP(C756,$C$9:G755,5,FALSE),"")</f>
        <v/>
      </c>
      <c r="H756" s="61" t="str">
        <f>IFERROR(VLOOKUP(C756,$C$9:H755,6,FALSE),"")</f>
        <v/>
      </c>
      <c r="I756" s="61"/>
      <c r="J756" s="61"/>
      <c r="K756" s="61"/>
      <c r="L756" s="61"/>
      <c r="N756" s="46" t="e">
        <f t="shared" si="35"/>
        <v>#DIV/0!</v>
      </c>
      <c r="O756" s="46" t="str">
        <f t="shared" si="36"/>
        <v/>
      </c>
      <c r="P756" s="46">
        <f t="shared" si="37"/>
        <v>1</v>
      </c>
      <c r="Q756" s="46"/>
      <c r="R756" s="45"/>
      <c r="S756" s="45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</row>
    <row r="757" spans="1:31" ht="14.25">
      <c r="A757" s="67"/>
      <c r="B757" s="79"/>
      <c r="C757" s="77"/>
      <c r="D757" s="75"/>
      <c r="E757" s="76" t="str">
        <f>IFERROR(VLOOKUP(C757,$C$9:E756,3,0),"")</f>
        <v/>
      </c>
      <c r="F757" s="57" t="str">
        <f>IFERROR(VLOOKUP(C757,$C$9:H756,4,FALSE),"")</f>
        <v/>
      </c>
      <c r="G757" s="61" t="str">
        <f>IFERROR(VLOOKUP(C757,$C$9:G756,5,FALSE),"")</f>
        <v/>
      </c>
      <c r="H757" s="61" t="str">
        <f>IFERROR(VLOOKUP(C757,$C$9:H756,6,FALSE),"")</f>
        <v/>
      </c>
      <c r="I757" s="61"/>
      <c r="J757" s="61"/>
      <c r="K757" s="61"/>
      <c r="L757" s="61"/>
      <c r="N757" s="46" t="e">
        <f t="shared" si="35"/>
        <v>#DIV/0!</v>
      </c>
      <c r="O757" s="46" t="str">
        <f t="shared" si="36"/>
        <v/>
      </c>
      <c r="P757" s="46">
        <f t="shared" si="37"/>
        <v>1</v>
      </c>
      <c r="Q757" s="46"/>
      <c r="R757" s="45"/>
      <c r="S757" s="45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</row>
    <row r="758" spans="1:31" ht="14.25">
      <c r="A758" s="67"/>
      <c r="B758" s="68"/>
      <c r="C758" s="67"/>
      <c r="D758" s="75"/>
      <c r="E758" s="76" t="str">
        <f>IFERROR(VLOOKUP(C758,$C$9:E757,3,0),"")</f>
        <v/>
      </c>
      <c r="F758" s="57" t="str">
        <f>IFERROR(VLOOKUP(C758,$C$9:H757,4,FALSE),"")</f>
        <v/>
      </c>
      <c r="G758" s="61" t="str">
        <f>IFERROR(VLOOKUP(C758,$C$9:G757,5,FALSE),"")</f>
        <v/>
      </c>
      <c r="H758" s="61" t="str">
        <f>IFERROR(VLOOKUP(C758,$C$9:H757,6,FALSE),"")</f>
        <v/>
      </c>
      <c r="I758" s="61"/>
      <c r="J758" s="61"/>
      <c r="K758" s="61"/>
      <c r="L758" s="61"/>
      <c r="N758" s="46" t="e">
        <f t="shared" si="35"/>
        <v>#DIV/0!</v>
      </c>
      <c r="O758" s="46" t="str">
        <f t="shared" si="36"/>
        <v/>
      </c>
      <c r="P758" s="46">
        <f t="shared" si="37"/>
        <v>1</v>
      </c>
      <c r="Q758" s="46"/>
      <c r="R758" s="45"/>
      <c r="S758" s="45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</row>
    <row r="759" spans="1:31" ht="14.25">
      <c r="A759" s="67"/>
      <c r="B759" s="68"/>
      <c r="C759" s="67"/>
      <c r="D759" s="75"/>
      <c r="E759" s="76" t="str">
        <f>IFERROR(VLOOKUP(C759,$C$9:E758,3,0),"")</f>
        <v/>
      </c>
      <c r="F759" s="57" t="str">
        <f>IFERROR(VLOOKUP(C759,$C$9:H758,4,FALSE),"")</f>
        <v/>
      </c>
      <c r="G759" s="61" t="str">
        <f>IFERROR(VLOOKUP(C759,$C$9:G758,5,FALSE),"")</f>
        <v/>
      </c>
      <c r="H759" s="61" t="str">
        <f>IFERROR(VLOOKUP(C759,$C$9:H758,6,FALSE),"")</f>
        <v/>
      </c>
      <c r="I759" s="61"/>
      <c r="J759" s="61"/>
      <c r="K759" s="61"/>
      <c r="L759" s="61"/>
      <c r="N759" s="46" t="e">
        <f t="shared" si="35"/>
        <v>#DIV/0!</v>
      </c>
      <c r="O759" s="46" t="str">
        <f t="shared" si="36"/>
        <v/>
      </c>
      <c r="P759" s="46">
        <f t="shared" si="37"/>
        <v>1</v>
      </c>
      <c r="Q759" s="46"/>
      <c r="R759" s="45"/>
      <c r="S759" s="45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</row>
    <row r="760" spans="1:31" ht="14.25">
      <c r="A760" s="67"/>
      <c r="B760" s="68"/>
      <c r="C760" s="67"/>
      <c r="D760" s="75"/>
      <c r="E760" s="76" t="str">
        <f>IFERROR(VLOOKUP(C760,$C$9:E759,3,0),"")</f>
        <v/>
      </c>
      <c r="F760" s="57" t="str">
        <f>IFERROR(VLOOKUP(C760,$C$9:H759,4,FALSE),"")</f>
        <v/>
      </c>
      <c r="G760" s="61" t="str">
        <f>IFERROR(VLOOKUP(C760,$C$9:G759,5,FALSE),"")</f>
        <v/>
      </c>
      <c r="H760" s="61" t="str">
        <f>IFERROR(VLOOKUP(C760,$C$9:H759,6,FALSE),"")</f>
        <v/>
      </c>
      <c r="I760" s="61"/>
      <c r="J760" s="61"/>
      <c r="K760" s="61"/>
      <c r="L760" s="61"/>
      <c r="N760" s="46" t="e">
        <f t="shared" si="35"/>
        <v>#DIV/0!</v>
      </c>
      <c r="O760" s="46" t="str">
        <f t="shared" si="36"/>
        <v/>
      </c>
      <c r="P760" s="46">
        <f t="shared" si="37"/>
        <v>1</v>
      </c>
      <c r="Q760" s="46"/>
      <c r="R760" s="45"/>
      <c r="S760" s="45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</row>
    <row r="761" spans="1:31" ht="14.25">
      <c r="A761" s="67"/>
      <c r="B761" s="68"/>
      <c r="C761" s="67"/>
      <c r="D761" s="75"/>
      <c r="E761" s="76" t="str">
        <f>IFERROR(VLOOKUP(C761,$C$9:E760,3,0),"")</f>
        <v/>
      </c>
      <c r="F761" s="57" t="str">
        <f>IFERROR(VLOOKUP(C761,$C$9:H760,4,FALSE),"")</f>
        <v/>
      </c>
      <c r="G761" s="61" t="str">
        <f>IFERROR(VLOOKUP(C761,$C$9:G760,5,FALSE),"")</f>
        <v/>
      </c>
      <c r="H761" s="61" t="str">
        <f>IFERROR(VLOOKUP(C761,$C$9:H760,6,FALSE),"")</f>
        <v/>
      </c>
      <c r="I761" s="61"/>
      <c r="J761" s="61"/>
      <c r="K761" s="61"/>
      <c r="L761" s="61"/>
      <c r="N761" s="46" t="e">
        <f t="shared" si="35"/>
        <v>#DIV/0!</v>
      </c>
      <c r="O761" s="46" t="str">
        <f t="shared" si="36"/>
        <v/>
      </c>
      <c r="P761" s="46">
        <f t="shared" si="37"/>
        <v>1</v>
      </c>
      <c r="Q761" s="46"/>
      <c r="R761" s="45"/>
      <c r="S761" s="45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</row>
    <row r="762" spans="1:31" ht="14.25">
      <c r="A762" s="67"/>
      <c r="B762" s="68"/>
      <c r="C762" s="67"/>
      <c r="D762" s="75"/>
      <c r="E762" s="76" t="str">
        <f>IFERROR(VLOOKUP(C762,$C$9:E761,3,0),"")</f>
        <v/>
      </c>
      <c r="F762" s="57" t="str">
        <f>IFERROR(VLOOKUP(C762,$C$9:H761,4,FALSE),"")</f>
        <v/>
      </c>
      <c r="G762" s="61" t="str">
        <f>IFERROR(VLOOKUP(C762,$C$9:G761,5,FALSE),"")</f>
        <v/>
      </c>
      <c r="H762" s="61" t="str">
        <f>IFERROR(VLOOKUP(C762,$C$9:H761,6,FALSE),"")</f>
        <v/>
      </c>
      <c r="I762" s="61"/>
      <c r="J762" s="61"/>
      <c r="K762" s="61"/>
      <c r="L762" s="61"/>
      <c r="N762" s="46" t="e">
        <f t="shared" si="35"/>
        <v>#DIV/0!</v>
      </c>
      <c r="O762" s="46" t="str">
        <f t="shared" si="36"/>
        <v/>
      </c>
      <c r="P762" s="46">
        <f t="shared" si="37"/>
        <v>1</v>
      </c>
      <c r="Q762" s="46"/>
      <c r="R762" s="45"/>
      <c r="S762" s="45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</row>
    <row r="763" spans="1:31" ht="14.25">
      <c r="A763" s="67"/>
      <c r="B763" s="68"/>
      <c r="C763" s="67"/>
      <c r="D763" s="75"/>
      <c r="E763" s="76" t="str">
        <f>IFERROR(VLOOKUP(C763,$C$9:E762,3,0),"")</f>
        <v/>
      </c>
      <c r="F763" s="57" t="str">
        <f>IFERROR(VLOOKUP(C763,$C$9:H762,4,FALSE),"")</f>
        <v/>
      </c>
      <c r="G763" s="61" t="str">
        <f>IFERROR(VLOOKUP(C763,$C$9:G762,5,FALSE),"")</f>
        <v/>
      </c>
      <c r="H763" s="61" t="str">
        <f>IFERROR(VLOOKUP(C763,$C$9:H762,6,FALSE),"")</f>
        <v/>
      </c>
      <c r="I763" s="61"/>
      <c r="J763" s="61"/>
      <c r="K763" s="61"/>
      <c r="L763" s="61"/>
      <c r="N763" s="46" t="e">
        <f t="shared" si="35"/>
        <v>#DIV/0!</v>
      </c>
      <c r="O763" s="46" t="str">
        <f t="shared" si="36"/>
        <v/>
      </c>
      <c r="P763" s="46">
        <f t="shared" si="37"/>
        <v>1</v>
      </c>
      <c r="Q763" s="46"/>
      <c r="R763" s="45"/>
      <c r="S763" s="45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</row>
    <row r="764" spans="1:31" ht="14.25">
      <c r="A764" s="67"/>
      <c r="B764" s="72"/>
      <c r="C764" s="67"/>
      <c r="D764" s="75"/>
      <c r="E764" s="76" t="str">
        <f>IFERROR(VLOOKUP(C764,$C$9:E763,3,0),"")</f>
        <v/>
      </c>
      <c r="F764" s="57" t="str">
        <f>IFERROR(VLOOKUP(C764,$C$9:H763,4,FALSE),"")</f>
        <v/>
      </c>
      <c r="G764" s="61" t="str">
        <f>IFERROR(VLOOKUP(C764,$C$9:G763,5,FALSE),"")</f>
        <v/>
      </c>
      <c r="H764" s="61" t="str">
        <f>IFERROR(VLOOKUP(C764,$C$9:H763,6,FALSE),"")</f>
        <v/>
      </c>
      <c r="I764" s="61"/>
      <c r="J764" s="61"/>
      <c r="K764" s="61"/>
      <c r="L764" s="61"/>
      <c r="N764" s="46" t="e">
        <f t="shared" si="35"/>
        <v>#DIV/0!</v>
      </c>
      <c r="O764" s="46" t="str">
        <f t="shared" si="36"/>
        <v/>
      </c>
      <c r="P764" s="46">
        <f t="shared" si="37"/>
        <v>1</v>
      </c>
      <c r="Q764" s="46"/>
      <c r="R764" s="45"/>
      <c r="S764" s="45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</row>
    <row r="765" spans="1:31" ht="14.25">
      <c r="A765" s="67"/>
      <c r="B765" s="72"/>
      <c r="C765" s="67"/>
      <c r="D765" s="75"/>
      <c r="E765" s="76" t="str">
        <f>IFERROR(VLOOKUP(C765,$C$9:E764,3,0),"")</f>
        <v/>
      </c>
      <c r="F765" s="57" t="str">
        <f>IFERROR(VLOOKUP(C765,$C$9:H764,4,FALSE),"")</f>
        <v/>
      </c>
      <c r="G765" s="61" t="str">
        <f>IFERROR(VLOOKUP(C765,$C$9:G764,5,FALSE),"")</f>
        <v/>
      </c>
      <c r="H765" s="61" t="str">
        <f>IFERROR(VLOOKUP(C765,$C$9:H764,6,FALSE),"")</f>
        <v/>
      </c>
      <c r="I765" s="61"/>
      <c r="J765" s="61"/>
      <c r="K765" s="61"/>
      <c r="L765" s="61"/>
      <c r="N765" s="46" t="e">
        <f t="shared" si="35"/>
        <v>#DIV/0!</v>
      </c>
      <c r="O765" s="46" t="str">
        <f t="shared" si="36"/>
        <v/>
      </c>
      <c r="P765" s="46">
        <f t="shared" si="37"/>
        <v>1</v>
      </c>
      <c r="Q765" s="46"/>
      <c r="R765" s="45"/>
      <c r="S765" s="45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</row>
    <row r="766" spans="1:31" ht="14.25">
      <c r="A766" s="67"/>
      <c r="B766" s="68"/>
      <c r="C766" s="67"/>
      <c r="D766" s="75"/>
      <c r="E766" s="76" t="str">
        <f>IFERROR(VLOOKUP(C766,$C$9:E765,3,0),"")</f>
        <v/>
      </c>
      <c r="F766" s="57" t="str">
        <f>IFERROR(VLOOKUP(C766,$C$9:H765,4,FALSE),"")</f>
        <v/>
      </c>
      <c r="G766" s="61" t="str">
        <f>IFERROR(VLOOKUP(C766,$C$9:G765,5,FALSE),"")</f>
        <v/>
      </c>
      <c r="H766" s="61" t="str">
        <f>IFERROR(VLOOKUP(C766,$C$9:H765,6,FALSE),"")</f>
        <v/>
      </c>
      <c r="I766" s="61"/>
      <c r="J766" s="61"/>
      <c r="K766" s="61"/>
      <c r="L766" s="61"/>
      <c r="N766" s="46" t="e">
        <f t="shared" si="35"/>
        <v>#DIV/0!</v>
      </c>
      <c r="O766" s="46" t="str">
        <f t="shared" si="36"/>
        <v/>
      </c>
      <c r="P766" s="46">
        <f t="shared" si="37"/>
        <v>1</v>
      </c>
      <c r="Q766" s="46"/>
      <c r="R766" s="45"/>
      <c r="S766" s="45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</row>
    <row r="767" spans="1:31" ht="14.25">
      <c r="A767" s="67"/>
      <c r="B767" s="68"/>
      <c r="C767" s="67"/>
      <c r="D767" s="75"/>
      <c r="E767" s="76" t="str">
        <f>IFERROR(VLOOKUP(C767,$C$9:E766,3,0),"")</f>
        <v/>
      </c>
      <c r="F767" s="57" t="str">
        <f>IFERROR(VLOOKUP(C767,$C$9:H766,4,FALSE),"")</f>
        <v/>
      </c>
      <c r="G767" s="61" t="str">
        <f>IFERROR(VLOOKUP(C767,$C$9:G766,5,FALSE),"")</f>
        <v/>
      </c>
      <c r="H767" s="61" t="str">
        <f>IFERROR(VLOOKUP(C767,$C$9:H766,6,FALSE),"")</f>
        <v/>
      </c>
      <c r="I767" s="61"/>
      <c r="J767" s="61"/>
      <c r="K767" s="61"/>
      <c r="L767" s="61"/>
      <c r="N767" s="46" t="e">
        <f t="shared" si="35"/>
        <v>#DIV/0!</v>
      </c>
      <c r="O767" s="46" t="str">
        <f t="shared" si="36"/>
        <v/>
      </c>
      <c r="P767" s="46">
        <f t="shared" si="37"/>
        <v>1</v>
      </c>
      <c r="Q767" s="46"/>
      <c r="R767" s="45"/>
      <c r="S767" s="45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</row>
    <row r="768" spans="1:31" ht="14.25">
      <c r="A768" s="67"/>
      <c r="B768" s="68"/>
      <c r="C768" s="67"/>
      <c r="D768" s="75"/>
      <c r="E768" s="76" t="str">
        <f>IFERROR(VLOOKUP(C768,$C$9:E767,3,0),"")</f>
        <v/>
      </c>
      <c r="F768" s="57" t="str">
        <f>IFERROR(VLOOKUP(C768,$C$9:H767,4,FALSE),"")</f>
        <v/>
      </c>
      <c r="G768" s="61" t="str">
        <f>IFERROR(VLOOKUP(C768,$C$9:G767,5,FALSE),"")</f>
        <v/>
      </c>
      <c r="H768" s="61" t="str">
        <f>IFERROR(VLOOKUP(C768,$C$9:H767,6,FALSE),"")</f>
        <v/>
      </c>
      <c r="I768" s="61"/>
      <c r="J768" s="61"/>
      <c r="K768" s="61"/>
      <c r="L768" s="61"/>
      <c r="N768" s="46" t="e">
        <f t="shared" si="35"/>
        <v>#DIV/0!</v>
      </c>
      <c r="O768" s="46" t="str">
        <f t="shared" si="36"/>
        <v/>
      </c>
      <c r="P768" s="46">
        <f t="shared" si="37"/>
        <v>1</v>
      </c>
      <c r="Q768" s="46"/>
      <c r="R768" s="45"/>
      <c r="S768" s="45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</row>
    <row r="769" spans="1:31" ht="14.25">
      <c r="A769" s="67"/>
      <c r="B769" s="79"/>
      <c r="C769" s="77"/>
      <c r="D769" s="75"/>
      <c r="E769" s="76" t="str">
        <f>IFERROR(VLOOKUP(C769,$C$9:E768,3,0),"")</f>
        <v/>
      </c>
      <c r="F769" s="57" t="str">
        <f>IFERROR(VLOOKUP(C769,$C$9:H768,4,FALSE),"")</f>
        <v/>
      </c>
      <c r="G769" s="61" t="str">
        <f>IFERROR(VLOOKUP(C769,$C$9:G768,5,FALSE),"")</f>
        <v/>
      </c>
      <c r="H769" s="61" t="str">
        <f>IFERROR(VLOOKUP(C769,$C$9:H768,6,FALSE),"")</f>
        <v/>
      </c>
      <c r="I769" s="61"/>
      <c r="J769" s="61"/>
      <c r="K769" s="61"/>
      <c r="L769" s="61"/>
      <c r="N769" s="46" t="e">
        <f t="shared" si="35"/>
        <v>#DIV/0!</v>
      </c>
      <c r="O769" s="46" t="str">
        <f t="shared" si="36"/>
        <v/>
      </c>
      <c r="P769" s="46">
        <f t="shared" si="37"/>
        <v>1</v>
      </c>
      <c r="Q769" s="46"/>
      <c r="R769" s="45"/>
      <c r="S769" s="45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</row>
    <row r="770" spans="1:31" ht="14.25">
      <c r="A770" s="67"/>
      <c r="B770" s="68"/>
      <c r="C770" s="67"/>
      <c r="D770" s="75"/>
      <c r="E770" s="76" t="str">
        <f>IFERROR(VLOOKUP(C770,$C$9:E769,3,0),"")</f>
        <v/>
      </c>
      <c r="F770" s="57" t="str">
        <f>IFERROR(VLOOKUP(C770,$C$9:H769,4,FALSE),"")</f>
        <v/>
      </c>
      <c r="G770" s="61" t="str">
        <f>IFERROR(VLOOKUP(C770,$C$9:G769,5,FALSE),"")</f>
        <v/>
      </c>
      <c r="H770" s="61" t="str">
        <f>IFERROR(VLOOKUP(C770,$C$9:H769,6,FALSE),"")</f>
        <v/>
      </c>
      <c r="I770" s="61"/>
      <c r="J770" s="61"/>
      <c r="K770" s="61"/>
      <c r="L770" s="61"/>
      <c r="N770" s="46" t="e">
        <f t="shared" si="35"/>
        <v>#DIV/0!</v>
      </c>
      <c r="O770" s="46" t="str">
        <f t="shared" si="36"/>
        <v/>
      </c>
      <c r="P770" s="46">
        <f t="shared" si="37"/>
        <v>1</v>
      </c>
      <c r="Q770" s="46"/>
      <c r="R770" s="45"/>
      <c r="S770" s="45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</row>
    <row r="771" spans="1:31" ht="14.25">
      <c r="A771" s="67"/>
      <c r="B771" s="68"/>
      <c r="C771" s="67"/>
      <c r="D771" s="75"/>
      <c r="E771" s="76" t="str">
        <f>IFERROR(VLOOKUP(C771,$C$9:E770,3,0),"")</f>
        <v/>
      </c>
      <c r="F771" s="57" t="str">
        <f>IFERROR(VLOOKUP(C771,$C$9:H770,4,FALSE),"")</f>
        <v/>
      </c>
      <c r="G771" s="61" t="str">
        <f>IFERROR(VLOOKUP(C771,$C$9:G770,5,FALSE),"")</f>
        <v/>
      </c>
      <c r="H771" s="61" t="str">
        <f>IFERROR(VLOOKUP(C771,$C$9:H770,6,FALSE),"")</f>
        <v/>
      </c>
      <c r="I771" s="61"/>
      <c r="J771" s="61"/>
      <c r="K771" s="61"/>
      <c r="L771" s="61"/>
      <c r="N771" s="46" t="e">
        <f t="shared" si="35"/>
        <v>#DIV/0!</v>
      </c>
      <c r="O771" s="46" t="str">
        <f t="shared" si="36"/>
        <v/>
      </c>
      <c r="P771" s="46">
        <f t="shared" si="37"/>
        <v>1</v>
      </c>
      <c r="Q771" s="46"/>
      <c r="R771" s="45"/>
      <c r="S771" s="45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</row>
    <row r="772" spans="1:31" ht="14.25">
      <c r="A772" s="67"/>
      <c r="B772" s="68"/>
      <c r="C772" s="67"/>
      <c r="D772" s="75"/>
      <c r="E772" s="76" t="str">
        <f>IFERROR(VLOOKUP(C772,$C$9:E771,3,0),"")</f>
        <v/>
      </c>
      <c r="F772" s="57" t="str">
        <f>IFERROR(VLOOKUP(C772,$C$9:H771,4,FALSE),"")</f>
        <v/>
      </c>
      <c r="G772" s="61" t="str">
        <f>IFERROR(VLOOKUP(C772,$C$9:G771,5,FALSE),"")</f>
        <v/>
      </c>
      <c r="H772" s="61" t="str">
        <f>IFERROR(VLOOKUP(C772,$C$9:H771,6,FALSE),"")</f>
        <v/>
      </c>
      <c r="I772" s="61"/>
      <c r="J772" s="61"/>
      <c r="K772" s="61"/>
      <c r="L772" s="61"/>
      <c r="N772" s="46" t="e">
        <f t="shared" si="35"/>
        <v>#DIV/0!</v>
      </c>
      <c r="O772" s="46" t="str">
        <f t="shared" si="36"/>
        <v/>
      </c>
      <c r="P772" s="46">
        <f t="shared" si="37"/>
        <v>1</v>
      </c>
      <c r="Q772" s="46"/>
      <c r="R772" s="45"/>
      <c r="S772" s="45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</row>
    <row r="773" spans="1:31" ht="14.25">
      <c r="A773" s="67"/>
      <c r="B773" s="68"/>
      <c r="C773" s="67"/>
      <c r="D773" s="75"/>
      <c r="E773" s="76" t="str">
        <f>IFERROR(VLOOKUP(C773,$C$9:E772,3,0),"")</f>
        <v/>
      </c>
      <c r="F773" s="57" t="str">
        <f>IFERROR(VLOOKUP(C773,$C$9:H772,4,FALSE),"")</f>
        <v/>
      </c>
      <c r="G773" s="61" t="str">
        <f>IFERROR(VLOOKUP(C773,$C$9:G772,5,FALSE),"")</f>
        <v/>
      </c>
      <c r="H773" s="61" t="str">
        <f>IFERROR(VLOOKUP(C773,$C$9:H772,6,FALSE),"")</f>
        <v/>
      </c>
      <c r="I773" s="61"/>
      <c r="J773" s="61"/>
      <c r="K773" s="61"/>
      <c r="L773" s="61"/>
      <c r="N773" s="46" t="e">
        <f t="shared" si="35"/>
        <v>#DIV/0!</v>
      </c>
      <c r="O773" s="46" t="str">
        <f t="shared" si="36"/>
        <v/>
      </c>
      <c r="P773" s="46">
        <f t="shared" si="37"/>
        <v>1</v>
      </c>
      <c r="Q773" s="46"/>
      <c r="R773" s="45"/>
      <c r="S773" s="45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</row>
    <row r="774" spans="1:31" ht="14.25">
      <c r="A774" s="67"/>
      <c r="B774" s="68"/>
      <c r="C774" s="67"/>
      <c r="D774" s="75"/>
      <c r="E774" s="76" t="str">
        <f>IFERROR(VLOOKUP(C774,$C$9:E773,3,0),"")</f>
        <v/>
      </c>
      <c r="F774" s="57" t="str">
        <f>IFERROR(VLOOKUP(C774,$C$9:H773,4,FALSE),"")</f>
        <v/>
      </c>
      <c r="G774" s="61" t="str">
        <f>IFERROR(VLOOKUP(C774,$C$9:G773,5,FALSE),"")</f>
        <v/>
      </c>
      <c r="H774" s="61" t="str">
        <f>IFERROR(VLOOKUP(C774,$C$9:H773,6,FALSE),"")</f>
        <v/>
      </c>
      <c r="I774" s="61"/>
      <c r="J774" s="61"/>
      <c r="K774" s="61"/>
      <c r="L774" s="61"/>
      <c r="N774" s="46" t="e">
        <f t="shared" si="35"/>
        <v>#DIV/0!</v>
      </c>
      <c r="O774" s="46" t="str">
        <f t="shared" si="36"/>
        <v/>
      </c>
      <c r="P774" s="46">
        <f t="shared" si="37"/>
        <v>1</v>
      </c>
      <c r="Q774" s="46"/>
      <c r="R774" s="45"/>
      <c r="S774" s="45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</row>
    <row r="775" spans="1:31" ht="14.25">
      <c r="A775" s="67"/>
      <c r="B775" s="68"/>
      <c r="C775" s="67"/>
      <c r="D775" s="75"/>
      <c r="E775" s="76" t="str">
        <f>IFERROR(VLOOKUP(C775,$C$9:E774,3,0),"")</f>
        <v/>
      </c>
      <c r="F775" s="57" t="str">
        <f>IFERROR(VLOOKUP(C775,$C$9:H774,4,FALSE),"")</f>
        <v/>
      </c>
      <c r="G775" s="61" t="str">
        <f>IFERROR(VLOOKUP(C775,$C$9:G774,5,FALSE),"")</f>
        <v/>
      </c>
      <c r="H775" s="61" t="str">
        <f>IFERROR(VLOOKUP(C775,$C$9:H774,6,FALSE),"")</f>
        <v/>
      </c>
      <c r="I775" s="61"/>
      <c r="J775" s="61"/>
      <c r="K775" s="61"/>
      <c r="L775" s="61"/>
      <c r="N775" s="46" t="e">
        <f t="shared" si="35"/>
        <v>#DIV/0!</v>
      </c>
      <c r="O775" s="46" t="str">
        <f t="shared" si="36"/>
        <v/>
      </c>
      <c r="P775" s="46">
        <f t="shared" si="37"/>
        <v>1</v>
      </c>
      <c r="Q775" s="46"/>
      <c r="R775" s="45"/>
      <c r="S775" s="45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</row>
    <row r="776" spans="1:31" ht="14.25">
      <c r="A776" s="67"/>
      <c r="B776" s="68"/>
      <c r="C776" s="67"/>
      <c r="D776" s="75"/>
      <c r="E776" s="76" t="str">
        <f>IFERROR(VLOOKUP(C776,$C$9:E775,3,0),"")</f>
        <v/>
      </c>
      <c r="F776" s="57" t="str">
        <f>IFERROR(VLOOKUP(C776,$C$9:H775,4,FALSE),"")</f>
        <v/>
      </c>
      <c r="G776" s="61" t="str">
        <f>IFERROR(VLOOKUP(C776,$C$9:G775,5,FALSE),"")</f>
        <v/>
      </c>
      <c r="H776" s="61" t="str">
        <f>IFERROR(VLOOKUP(C776,$C$9:H775,6,FALSE),"")</f>
        <v/>
      </c>
      <c r="I776" s="61"/>
      <c r="J776" s="61"/>
      <c r="K776" s="61"/>
      <c r="L776" s="61"/>
      <c r="N776" s="46" t="e">
        <f t="shared" si="35"/>
        <v>#DIV/0!</v>
      </c>
      <c r="O776" s="46" t="str">
        <f t="shared" si="36"/>
        <v/>
      </c>
      <c r="P776" s="46">
        <f t="shared" si="37"/>
        <v>1</v>
      </c>
      <c r="Q776" s="46"/>
      <c r="R776" s="45"/>
      <c r="S776" s="45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</row>
    <row r="777" spans="1:31" ht="14.25">
      <c r="A777" s="67"/>
      <c r="B777" s="68"/>
      <c r="C777" s="67"/>
      <c r="D777" s="75"/>
      <c r="E777" s="76" t="str">
        <f>IFERROR(VLOOKUP(C777,$C$9:E776,3,0),"")</f>
        <v/>
      </c>
      <c r="F777" s="57" t="str">
        <f>IFERROR(VLOOKUP(C777,$C$9:H776,4,FALSE),"")</f>
        <v/>
      </c>
      <c r="G777" s="61" t="str">
        <f>IFERROR(VLOOKUP(C777,$C$9:G776,5,FALSE),"")</f>
        <v/>
      </c>
      <c r="H777" s="61" t="str">
        <f>IFERROR(VLOOKUP(C777,$C$9:H776,6,FALSE),"")</f>
        <v/>
      </c>
      <c r="I777" s="61"/>
      <c r="J777" s="61"/>
      <c r="K777" s="61"/>
      <c r="L777" s="61"/>
      <c r="N777" s="46" t="e">
        <f t="shared" si="35"/>
        <v>#DIV/0!</v>
      </c>
      <c r="O777" s="46" t="str">
        <f t="shared" si="36"/>
        <v/>
      </c>
      <c r="P777" s="46">
        <f t="shared" si="37"/>
        <v>1</v>
      </c>
      <c r="Q777" s="46"/>
      <c r="R777" s="45"/>
      <c r="S777" s="45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</row>
    <row r="778" spans="1:31" ht="14.25">
      <c r="A778" s="67"/>
      <c r="B778" s="68"/>
      <c r="C778" s="67"/>
      <c r="D778" s="75"/>
      <c r="E778" s="76" t="str">
        <f>IFERROR(VLOOKUP(C778,$C$9:E777,3,0),"")</f>
        <v/>
      </c>
      <c r="F778" s="57" t="str">
        <f>IFERROR(VLOOKUP(C778,$C$9:H777,4,FALSE),"")</f>
        <v/>
      </c>
      <c r="G778" s="61" t="str">
        <f>IFERROR(VLOOKUP(C778,$C$9:G777,5,FALSE),"")</f>
        <v/>
      </c>
      <c r="H778" s="61" t="str">
        <f>IFERROR(VLOOKUP(C778,$C$9:H777,6,FALSE),"")</f>
        <v/>
      </c>
      <c r="I778" s="61"/>
      <c r="J778" s="61"/>
      <c r="K778" s="61"/>
      <c r="L778" s="61"/>
      <c r="N778" s="46" t="e">
        <f t="shared" ref="N778:N841" si="38">IF(OR(F778=$P$1,F778="",F778=0),D778/$B$2,IF(OR(F778=$P$2,F778=$P$3,F778=$P$4),D778/(O778*P778),D778/O778))</f>
        <v>#DIV/0!</v>
      </c>
      <c r="O778" s="46" t="str">
        <f t="shared" ref="O778:O841" si="39">IFERROR(VLOOKUP(F778,$P$1:$Q$4,2,0),F778)</f>
        <v/>
      </c>
      <c r="P778" s="46">
        <f t="shared" si="37"/>
        <v>1</v>
      </c>
      <c r="Q778" s="46"/>
      <c r="R778" s="45"/>
      <c r="S778" s="45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</row>
    <row r="779" spans="1:31" ht="14.25">
      <c r="A779" s="67"/>
      <c r="B779" s="72"/>
      <c r="C779" s="67"/>
      <c r="D779" s="75"/>
      <c r="E779" s="76" t="str">
        <f>IFERROR(VLOOKUP(C779,$C$9:E778,3,0),"")</f>
        <v/>
      </c>
      <c r="F779" s="57" t="str">
        <f>IFERROR(VLOOKUP(C779,$C$9:H778,4,FALSE),"")</f>
        <v/>
      </c>
      <c r="G779" s="61" t="str">
        <f>IFERROR(VLOOKUP(C779,$C$9:G778,5,FALSE),"")</f>
        <v/>
      </c>
      <c r="H779" s="61" t="str">
        <f>IFERROR(VLOOKUP(C779,$C$9:H778,6,FALSE),"")</f>
        <v/>
      </c>
      <c r="I779" s="61"/>
      <c r="J779" s="61"/>
      <c r="K779" s="61"/>
      <c r="L779" s="61"/>
      <c r="N779" s="46" t="e">
        <f t="shared" si="38"/>
        <v>#DIV/0!</v>
      </c>
      <c r="O779" s="46" t="str">
        <f t="shared" si="39"/>
        <v/>
      </c>
      <c r="P779" s="46">
        <f t="shared" ref="P779:P842" si="40">IF(C779="",1,COUNTIFS($C$9:$C$1499,C779,$H$9:$H$1499,H779))</f>
        <v>1</v>
      </c>
      <c r="Q779" s="46"/>
      <c r="R779" s="45"/>
      <c r="S779" s="45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</row>
    <row r="780" spans="1:31" ht="14.25">
      <c r="A780" s="67"/>
      <c r="B780" s="72"/>
      <c r="C780" s="67"/>
      <c r="D780" s="75"/>
      <c r="E780" s="76" t="str">
        <f>IFERROR(VLOOKUP(C780,$C$9:E779,3,0),"")</f>
        <v/>
      </c>
      <c r="F780" s="57" t="str">
        <f>IFERROR(VLOOKUP(C780,$C$9:H779,4,FALSE),"")</f>
        <v/>
      </c>
      <c r="G780" s="61" t="str">
        <f>IFERROR(VLOOKUP(C780,$C$9:G779,5,FALSE),"")</f>
        <v/>
      </c>
      <c r="H780" s="61" t="str">
        <f>IFERROR(VLOOKUP(C780,$C$9:H779,6,FALSE),"")</f>
        <v/>
      </c>
      <c r="I780" s="61"/>
      <c r="J780" s="61"/>
      <c r="K780" s="61"/>
      <c r="L780" s="61"/>
      <c r="N780" s="46" t="e">
        <f t="shared" si="38"/>
        <v>#DIV/0!</v>
      </c>
      <c r="O780" s="46" t="str">
        <f t="shared" si="39"/>
        <v/>
      </c>
      <c r="P780" s="46">
        <f t="shared" si="40"/>
        <v>1</v>
      </c>
      <c r="Q780" s="46"/>
      <c r="R780" s="45"/>
      <c r="S780" s="45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</row>
    <row r="781" spans="1:31" ht="14.25">
      <c r="A781" s="67"/>
      <c r="B781" s="68"/>
      <c r="C781" s="67"/>
      <c r="D781" s="75"/>
      <c r="E781" s="76" t="str">
        <f>IFERROR(VLOOKUP(C781,$C$9:E780,3,0),"")</f>
        <v/>
      </c>
      <c r="F781" s="57" t="str">
        <f>IFERROR(VLOOKUP(C781,$C$9:H780,4,FALSE),"")</f>
        <v/>
      </c>
      <c r="G781" s="61" t="str">
        <f>IFERROR(VLOOKUP(C781,$C$9:G780,5,FALSE),"")</f>
        <v/>
      </c>
      <c r="H781" s="61" t="str">
        <f>IFERROR(VLOOKUP(C781,$C$9:H780,6,FALSE),"")</f>
        <v/>
      </c>
      <c r="I781" s="61"/>
      <c r="J781" s="61"/>
      <c r="K781" s="61"/>
      <c r="L781" s="61"/>
      <c r="N781" s="46" t="e">
        <f t="shared" si="38"/>
        <v>#DIV/0!</v>
      </c>
      <c r="O781" s="46" t="str">
        <f t="shared" si="39"/>
        <v/>
      </c>
      <c r="P781" s="46">
        <f t="shared" si="40"/>
        <v>1</v>
      </c>
      <c r="Q781" s="46"/>
      <c r="R781" s="45"/>
      <c r="S781" s="45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</row>
    <row r="782" spans="1:31" ht="14.25">
      <c r="A782" s="67"/>
      <c r="B782" s="68"/>
      <c r="C782" s="67"/>
      <c r="D782" s="75"/>
      <c r="E782" s="76" t="str">
        <f>IFERROR(VLOOKUP(C782,$C$9:E781,3,0),"")</f>
        <v/>
      </c>
      <c r="F782" s="57" t="str">
        <f>IFERROR(VLOOKUP(C782,$C$9:H781,4,FALSE),"")</f>
        <v/>
      </c>
      <c r="G782" s="61" t="str">
        <f>IFERROR(VLOOKUP(C782,$C$9:G781,5,FALSE),"")</f>
        <v/>
      </c>
      <c r="H782" s="61" t="str">
        <f>IFERROR(VLOOKUP(C782,$C$9:H781,6,FALSE),"")</f>
        <v/>
      </c>
      <c r="I782" s="61"/>
      <c r="J782" s="61"/>
      <c r="K782" s="61"/>
      <c r="L782" s="61"/>
      <c r="N782" s="46" t="e">
        <f t="shared" si="38"/>
        <v>#DIV/0!</v>
      </c>
      <c r="O782" s="46" t="str">
        <f t="shared" si="39"/>
        <v/>
      </c>
      <c r="P782" s="46">
        <f t="shared" si="40"/>
        <v>1</v>
      </c>
      <c r="Q782" s="46"/>
      <c r="R782" s="45"/>
      <c r="S782" s="45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</row>
    <row r="783" spans="1:31" ht="14.25">
      <c r="A783" s="67"/>
      <c r="B783" s="68"/>
      <c r="C783" s="67"/>
      <c r="D783" s="75"/>
      <c r="E783" s="76" t="str">
        <f>IFERROR(VLOOKUP(C783,$C$9:E782,3,0),"")</f>
        <v/>
      </c>
      <c r="F783" s="57" t="str">
        <f>IFERROR(VLOOKUP(C783,$C$9:H782,4,FALSE),"")</f>
        <v/>
      </c>
      <c r="G783" s="61" t="str">
        <f>IFERROR(VLOOKUP(C783,$C$9:G782,5,FALSE),"")</f>
        <v/>
      </c>
      <c r="H783" s="61" t="str">
        <f>IFERROR(VLOOKUP(C783,$C$9:H782,6,FALSE),"")</f>
        <v/>
      </c>
      <c r="I783" s="61"/>
      <c r="J783" s="61"/>
      <c r="K783" s="61"/>
      <c r="L783" s="61"/>
      <c r="N783" s="46" t="e">
        <f t="shared" si="38"/>
        <v>#DIV/0!</v>
      </c>
      <c r="O783" s="46" t="str">
        <f t="shared" si="39"/>
        <v/>
      </c>
      <c r="P783" s="46">
        <f t="shared" si="40"/>
        <v>1</v>
      </c>
      <c r="Q783" s="46"/>
      <c r="R783" s="45"/>
      <c r="S783" s="45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</row>
    <row r="784" spans="1:31" ht="14.25">
      <c r="A784" s="67"/>
      <c r="B784" s="68"/>
      <c r="C784" s="67"/>
      <c r="D784" s="75"/>
      <c r="E784" s="76" t="str">
        <f>IFERROR(VLOOKUP(C784,$C$9:E783,3,0),"")</f>
        <v/>
      </c>
      <c r="F784" s="57" t="str">
        <f>IFERROR(VLOOKUP(C784,$C$9:H783,4,FALSE),"")</f>
        <v/>
      </c>
      <c r="G784" s="61" t="str">
        <f>IFERROR(VLOOKUP(C784,$C$9:G783,5,FALSE),"")</f>
        <v/>
      </c>
      <c r="H784" s="61" t="str">
        <f>IFERROR(VLOOKUP(C784,$C$9:H783,6,FALSE),"")</f>
        <v/>
      </c>
      <c r="I784" s="61"/>
      <c r="J784" s="61"/>
      <c r="K784" s="61"/>
      <c r="L784" s="61"/>
      <c r="N784" s="46" t="e">
        <f t="shared" si="38"/>
        <v>#DIV/0!</v>
      </c>
      <c r="O784" s="46" t="str">
        <f t="shared" si="39"/>
        <v/>
      </c>
      <c r="P784" s="46">
        <f t="shared" si="40"/>
        <v>1</v>
      </c>
      <c r="Q784" s="46"/>
      <c r="R784" s="45"/>
      <c r="S784" s="45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</row>
    <row r="785" spans="1:31" ht="14.25">
      <c r="A785" s="67"/>
      <c r="B785" s="79"/>
      <c r="C785" s="77"/>
      <c r="D785" s="75"/>
      <c r="E785" s="76" t="str">
        <f>IFERROR(VLOOKUP(C785,$C$9:E784,3,0),"")</f>
        <v/>
      </c>
      <c r="F785" s="57" t="str">
        <f>IFERROR(VLOOKUP(C785,$C$9:H784,4,FALSE),"")</f>
        <v/>
      </c>
      <c r="G785" s="61" t="str">
        <f>IFERROR(VLOOKUP(C785,$C$9:G784,5,FALSE),"")</f>
        <v/>
      </c>
      <c r="H785" s="61" t="str">
        <f>IFERROR(VLOOKUP(C785,$C$9:H784,6,FALSE),"")</f>
        <v/>
      </c>
      <c r="I785" s="61"/>
      <c r="J785" s="61"/>
      <c r="K785" s="61"/>
      <c r="L785" s="61"/>
      <c r="N785" s="46" t="e">
        <f t="shared" si="38"/>
        <v>#DIV/0!</v>
      </c>
      <c r="O785" s="46" t="str">
        <f t="shared" si="39"/>
        <v/>
      </c>
      <c r="P785" s="46">
        <f t="shared" si="40"/>
        <v>1</v>
      </c>
      <c r="Q785" s="46"/>
      <c r="R785" s="45"/>
      <c r="S785" s="45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</row>
    <row r="786" spans="1:31" ht="14.25">
      <c r="A786" s="67"/>
      <c r="B786" s="79"/>
      <c r="C786" s="77"/>
      <c r="D786" s="75"/>
      <c r="E786" s="76" t="str">
        <f>IFERROR(VLOOKUP(C786,$C$9:E785,3,0),"")</f>
        <v/>
      </c>
      <c r="F786" s="57" t="str">
        <f>IFERROR(VLOOKUP(C786,$C$9:H785,4,FALSE),"")</f>
        <v/>
      </c>
      <c r="G786" s="61" t="str">
        <f>IFERROR(VLOOKUP(C786,$C$9:G785,5,FALSE),"")</f>
        <v/>
      </c>
      <c r="H786" s="61" t="str">
        <f>IFERROR(VLOOKUP(C786,$C$9:H785,6,FALSE),"")</f>
        <v/>
      </c>
      <c r="I786" s="61"/>
      <c r="J786" s="61"/>
      <c r="K786" s="61"/>
      <c r="L786" s="61"/>
      <c r="N786" s="46" t="e">
        <f t="shared" si="38"/>
        <v>#DIV/0!</v>
      </c>
      <c r="O786" s="46" t="str">
        <f t="shared" si="39"/>
        <v/>
      </c>
      <c r="P786" s="46">
        <f t="shared" si="40"/>
        <v>1</v>
      </c>
      <c r="Q786" s="46"/>
      <c r="R786" s="45"/>
      <c r="S786" s="45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</row>
    <row r="787" spans="1:31" ht="14.25">
      <c r="A787" s="67"/>
      <c r="B787" s="72"/>
      <c r="C787" s="67"/>
      <c r="D787" s="75"/>
      <c r="E787" s="76" t="str">
        <f>IFERROR(VLOOKUP(C787,$C$9:E786,3,0),"")</f>
        <v/>
      </c>
      <c r="F787" s="57" t="str">
        <f>IFERROR(VLOOKUP(C787,$C$9:H786,4,FALSE),"")</f>
        <v/>
      </c>
      <c r="G787" s="61" t="str">
        <f>IFERROR(VLOOKUP(C787,$C$9:G786,5,FALSE),"")</f>
        <v/>
      </c>
      <c r="H787" s="61" t="str">
        <f>IFERROR(VLOOKUP(C787,$C$9:H786,6,FALSE),"")</f>
        <v/>
      </c>
      <c r="I787" s="61"/>
      <c r="J787" s="61"/>
      <c r="K787" s="61"/>
      <c r="L787" s="61"/>
      <c r="N787" s="46" t="e">
        <f t="shared" si="38"/>
        <v>#DIV/0!</v>
      </c>
      <c r="O787" s="46" t="str">
        <f t="shared" si="39"/>
        <v/>
      </c>
      <c r="P787" s="46">
        <f t="shared" si="40"/>
        <v>1</v>
      </c>
      <c r="Q787" s="46"/>
      <c r="R787" s="45"/>
      <c r="S787" s="45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</row>
    <row r="788" spans="1:31" ht="14.25">
      <c r="A788" s="67"/>
      <c r="B788" s="68"/>
      <c r="C788" s="67"/>
      <c r="D788" s="75"/>
      <c r="E788" s="76" t="str">
        <f>IFERROR(VLOOKUP(C788,$C$9:E787,3,0),"")</f>
        <v/>
      </c>
      <c r="F788" s="57" t="str">
        <f>IFERROR(VLOOKUP(C788,$C$9:H787,4,FALSE),"")</f>
        <v/>
      </c>
      <c r="G788" s="61" t="str">
        <f>IFERROR(VLOOKUP(C788,$C$9:G787,5,FALSE),"")</f>
        <v/>
      </c>
      <c r="H788" s="61" t="str">
        <f>IFERROR(VLOOKUP(C788,$C$9:H787,6,FALSE),"")</f>
        <v/>
      </c>
      <c r="I788" s="61"/>
      <c r="J788" s="61"/>
      <c r="K788" s="61"/>
      <c r="L788" s="61"/>
      <c r="N788" s="46" t="e">
        <f t="shared" si="38"/>
        <v>#DIV/0!</v>
      </c>
      <c r="O788" s="46" t="str">
        <f t="shared" si="39"/>
        <v/>
      </c>
      <c r="P788" s="46">
        <f t="shared" si="40"/>
        <v>1</v>
      </c>
      <c r="Q788" s="46"/>
      <c r="R788" s="45"/>
      <c r="S788" s="45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</row>
    <row r="789" spans="1:31" ht="14.25">
      <c r="A789" s="67"/>
      <c r="B789" s="68"/>
      <c r="C789" s="67"/>
      <c r="D789" s="75"/>
      <c r="E789" s="76" t="str">
        <f>IFERROR(VLOOKUP(C789,$C$9:E788,3,0),"")</f>
        <v/>
      </c>
      <c r="F789" s="57" t="str">
        <f>IFERROR(VLOOKUP(C789,$C$9:H788,4,FALSE),"")</f>
        <v/>
      </c>
      <c r="G789" s="61" t="str">
        <f>IFERROR(VLOOKUP(C789,$C$9:G788,5,FALSE),"")</f>
        <v/>
      </c>
      <c r="H789" s="61" t="str">
        <f>IFERROR(VLOOKUP(C789,$C$9:H788,6,FALSE),"")</f>
        <v/>
      </c>
      <c r="I789" s="61"/>
      <c r="J789" s="61"/>
      <c r="K789" s="61"/>
      <c r="L789" s="61"/>
      <c r="N789" s="46" t="e">
        <f t="shared" si="38"/>
        <v>#DIV/0!</v>
      </c>
      <c r="O789" s="46" t="str">
        <f t="shared" si="39"/>
        <v/>
      </c>
      <c r="P789" s="46">
        <f t="shared" si="40"/>
        <v>1</v>
      </c>
      <c r="Q789" s="46"/>
      <c r="R789" s="45"/>
      <c r="S789" s="45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</row>
    <row r="790" spans="1:31" ht="14.25">
      <c r="A790" s="67"/>
      <c r="B790" s="68"/>
      <c r="C790" s="67"/>
      <c r="D790" s="75"/>
      <c r="E790" s="76" t="str">
        <f>IFERROR(VLOOKUP(C790,$C$9:E789,3,0),"")</f>
        <v/>
      </c>
      <c r="F790" s="57" t="str">
        <f>IFERROR(VLOOKUP(C790,$C$9:H789,4,FALSE),"")</f>
        <v/>
      </c>
      <c r="G790" s="61" t="str">
        <f>IFERROR(VLOOKUP(C790,$C$9:G789,5,FALSE),"")</f>
        <v/>
      </c>
      <c r="H790" s="61" t="str">
        <f>IFERROR(VLOOKUP(C790,$C$9:H789,6,FALSE),"")</f>
        <v/>
      </c>
      <c r="I790" s="61"/>
      <c r="J790" s="61"/>
      <c r="K790" s="61"/>
      <c r="L790" s="61"/>
      <c r="N790" s="46" t="e">
        <f t="shared" si="38"/>
        <v>#DIV/0!</v>
      </c>
      <c r="O790" s="46" t="str">
        <f t="shared" si="39"/>
        <v/>
      </c>
      <c r="P790" s="46">
        <f t="shared" si="40"/>
        <v>1</v>
      </c>
      <c r="Q790" s="46"/>
      <c r="R790" s="45"/>
      <c r="S790" s="45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</row>
    <row r="791" spans="1:31" ht="14.25">
      <c r="A791" s="67"/>
      <c r="B791" s="68"/>
      <c r="C791" s="67"/>
      <c r="D791" s="75"/>
      <c r="E791" s="76" t="str">
        <f>IFERROR(VLOOKUP(C791,$C$9:E790,3,0),"")</f>
        <v/>
      </c>
      <c r="F791" s="57" t="str">
        <f>IFERROR(VLOOKUP(C791,$C$9:H790,4,FALSE),"")</f>
        <v/>
      </c>
      <c r="G791" s="61" t="str">
        <f>IFERROR(VLOOKUP(C791,$C$9:G790,5,FALSE),"")</f>
        <v/>
      </c>
      <c r="H791" s="61" t="str">
        <f>IFERROR(VLOOKUP(C791,$C$9:H790,6,FALSE),"")</f>
        <v/>
      </c>
      <c r="I791" s="61"/>
      <c r="J791" s="61"/>
      <c r="K791" s="61"/>
      <c r="L791" s="61"/>
      <c r="N791" s="46" t="e">
        <f t="shared" si="38"/>
        <v>#DIV/0!</v>
      </c>
      <c r="O791" s="46" t="str">
        <f t="shared" si="39"/>
        <v/>
      </c>
      <c r="P791" s="46">
        <f t="shared" si="40"/>
        <v>1</v>
      </c>
      <c r="Q791" s="46"/>
      <c r="R791" s="45"/>
      <c r="S791" s="45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</row>
    <row r="792" spans="1:31" ht="14.25">
      <c r="A792" s="67"/>
      <c r="B792" s="68"/>
      <c r="C792" s="67"/>
      <c r="D792" s="75"/>
      <c r="E792" s="76" t="str">
        <f>IFERROR(VLOOKUP(C792,$C$9:E791,3,0),"")</f>
        <v/>
      </c>
      <c r="F792" s="57" t="str">
        <f>IFERROR(VLOOKUP(C792,$C$9:H791,4,FALSE),"")</f>
        <v/>
      </c>
      <c r="G792" s="61" t="str">
        <f>IFERROR(VLOOKUP(C792,$C$9:G791,5,FALSE),"")</f>
        <v/>
      </c>
      <c r="H792" s="61" t="str">
        <f>IFERROR(VLOOKUP(C792,$C$9:H791,6,FALSE),"")</f>
        <v/>
      </c>
      <c r="I792" s="61"/>
      <c r="J792" s="61"/>
      <c r="K792" s="61"/>
      <c r="L792" s="61"/>
      <c r="N792" s="46" t="e">
        <f t="shared" si="38"/>
        <v>#DIV/0!</v>
      </c>
      <c r="O792" s="46" t="str">
        <f t="shared" si="39"/>
        <v/>
      </c>
      <c r="P792" s="46">
        <f t="shared" si="40"/>
        <v>1</v>
      </c>
      <c r="Q792" s="46"/>
      <c r="R792" s="45"/>
      <c r="S792" s="45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</row>
    <row r="793" spans="1:31" ht="14.25">
      <c r="A793" s="67"/>
      <c r="B793" s="68"/>
      <c r="C793" s="67"/>
      <c r="D793" s="75"/>
      <c r="E793" s="76" t="str">
        <f>IFERROR(VLOOKUP(C793,$C$9:E792,3,0),"")</f>
        <v/>
      </c>
      <c r="F793" s="57" t="str">
        <f>IFERROR(VLOOKUP(C793,$C$9:H792,4,FALSE),"")</f>
        <v/>
      </c>
      <c r="G793" s="61" t="str">
        <f>IFERROR(VLOOKUP(C793,$C$9:G792,5,FALSE),"")</f>
        <v/>
      </c>
      <c r="H793" s="61" t="str">
        <f>IFERROR(VLOOKUP(C793,$C$9:H792,6,FALSE),"")</f>
        <v/>
      </c>
      <c r="I793" s="61"/>
      <c r="J793" s="61"/>
      <c r="K793" s="61"/>
      <c r="L793" s="61"/>
      <c r="N793" s="46" t="e">
        <f t="shared" si="38"/>
        <v>#DIV/0!</v>
      </c>
      <c r="O793" s="46" t="str">
        <f t="shared" si="39"/>
        <v/>
      </c>
      <c r="P793" s="46">
        <f t="shared" si="40"/>
        <v>1</v>
      </c>
      <c r="Q793" s="46"/>
      <c r="R793" s="45"/>
      <c r="S793" s="45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</row>
    <row r="794" spans="1:31" ht="14.25">
      <c r="A794" s="67"/>
      <c r="B794" s="68"/>
      <c r="C794" s="67"/>
      <c r="D794" s="75"/>
      <c r="E794" s="76" t="str">
        <f>IFERROR(VLOOKUP(C794,$C$9:E793,3,0),"")</f>
        <v/>
      </c>
      <c r="F794" s="57" t="str">
        <f>IFERROR(VLOOKUP(C794,$C$9:H793,4,FALSE),"")</f>
        <v/>
      </c>
      <c r="G794" s="61" t="str">
        <f>IFERROR(VLOOKUP(C794,$C$9:G793,5,FALSE),"")</f>
        <v/>
      </c>
      <c r="H794" s="61" t="str">
        <f>IFERROR(VLOOKUP(C794,$C$9:H793,6,FALSE),"")</f>
        <v/>
      </c>
      <c r="I794" s="61"/>
      <c r="J794" s="61"/>
      <c r="K794" s="61"/>
      <c r="L794" s="61"/>
      <c r="N794" s="46" t="e">
        <f t="shared" si="38"/>
        <v>#DIV/0!</v>
      </c>
      <c r="O794" s="46" t="str">
        <f t="shared" si="39"/>
        <v/>
      </c>
      <c r="P794" s="46">
        <f t="shared" si="40"/>
        <v>1</v>
      </c>
      <c r="Q794" s="46"/>
      <c r="R794" s="45"/>
      <c r="S794" s="45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</row>
    <row r="795" spans="1:31" ht="14.25">
      <c r="A795" s="67"/>
      <c r="B795" s="68"/>
      <c r="C795" s="67"/>
      <c r="D795" s="75"/>
      <c r="E795" s="76" t="str">
        <f>IFERROR(VLOOKUP(C795,$C$9:E794,3,0),"")</f>
        <v/>
      </c>
      <c r="F795" s="57" t="str">
        <f>IFERROR(VLOOKUP(C795,$C$9:H794,4,FALSE),"")</f>
        <v/>
      </c>
      <c r="G795" s="61" t="str">
        <f>IFERROR(VLOOKUP(C795,$C$9:G794,5,FALSE),"")</f>
        <v/>
      </c>
      <c r="H795" s="61" t="str">
        <f>IFERROR(VLOOKUP(C795,$C$9:H794,6,FALSE),"")</f>
        <v/>
      </c>
      <c r="I795" s="61"/>
      <c r="J795" s="61"/>
      <c r="K795" s="61"/>
      <c r="L795" s="61"/>
      <c r="N795" s="46" t="e">
        <f t="shared" si="38"/>
        <v>#DIV/0!</v>
      </c>
      <c r="O795" s="46" t="str">
        <f t="shared" si="39"/>
        <v/>
      </c>
      <c r="P795" s="46">
        <f t="shared" si="40"/>
        <v>1</v>
      </c>
      <c r="Q795" s="46"/>
      <c r="R795" s="45"/>
      <c r="S795" s="45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</row>
    <row r="796" spans="1:31" ht="14.25">
      <c r="A796" s="67"/>
      <c r="B796" s="68"/>
      <c r="C796" s="67"/>
      <c r="D796" s="75"/>
      <c r="E796" s="76" t="str">
        <f>IFERROR(VLOOKUP(C796,$C$9:E795,3,0),"")</f>
        <v/>
      </c>
      <c r="F796" s="57" t="str">
        <f>IFERROR(VLOOKUP(C796,$C$9:H795,4,FALSE),"")</f>
        <v/>
      </c>
      <c r="G796" s="61" t="str">
        <f>IFERROR(VLOOKUP(C796,$C$9:G795,5,FALSE),"")</f>
        <v/>
      </c>
      <c r="H796" s="61" t="str">
        <f>IFERROR(VLOOKUP(C796,$C$9:H795,6,FALSE),"")</f>
        <v/>
      </c>
      <c r="I796" s="61"/>
      <c r="J796" s="61"/>
      <c r="K796" s="61"/>
      <c r="L796" s="61"/>
      <c r="N796" s="46" t="e">
        <f t="shared" si="38"/>
        <v>#DIV/0!</v>
      </c>
      <c r="O796" s="46" t="str">
        <f t="shared" si="39"/>
        <v/>
      </c>
      <c r="P796" s="46">
        <f t="shared" si="40"/>
        <v>1</v>
      </c>
      <c r="Q796" s="46"/>
      <c r="R796" s="45"/>
      <c r="S796" s="45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</row>
    <row r="797" spans="1:31" ht="14.25">
      <c r="A797" s="67"/>
      <c r="B797" s="79"/>
      <c r="C797" s="77"/>
      <c r="D797" s="75"/>
      <c r="E797" s="76" t="str">
        <f>IFERROR(VLOOKUP(C797,$C$9:E796,3,0),"")</f>
        <v/>
      </c>
      <c r="F797" s="57" t="str">
        <f>IFERROR(VLOOKUP(C797,$C$9:H796,4,FALSE),"")</f>
        <v/>
      </c>
      <c r="G797" s="61" t="str">
        <f>IFERROR(VLOOKUP(C797,$C$9:G796,5,FALSE),"")</f>
        <v/>
      </c>
      <c r="H797" s="61" t="str">
        <f>IFERROR(VLOOKUP(C797,$C$9:H796,6,FALSE),"")</f>
        <v/>
      </c>
      <c r="I797" s="61"/>
      <c r="J797" s="61"/>
      <c r="K797" s="61"/>
      <c r="L797" s="61"/>
      <c r="N797" s="46" t="e">
        <f t="shared" si="38"/>
        <v>#DIV/0!</v>
      </c>
      <c r="O797" s="46" t="str">
        <f t="shared" si="39"/>
        <v/>
      </c>
      <c r="P797" s="46">
        <f t="shared" si="40"/>
        <v>1</v>
      </c>
      <c r="Q797" s="46"/>
      <c r="R797" s="45"/>
      <c r="S797" s="45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</row>
    <row r="798" spans="1:31" ht="14.25">
      <c r="A798" s="67"/>
      <c r="B798" s="68"/>
      <c r="C798" s="67"/>
      <c r="D798" s="75"/>
      <c r="E798" s="76" t="str">
        <f>IFERROR(VLOOKUP(C798,$C$9:E797,3,0),"")</f>
        <v/>
      </c>
      <c r="F798" s="57" t="str">
        <f>IFERROR(VLOOKUP(C798,$C$9:H797,4,FALSE),"")</f>
        <v/>
      </c>
      <c r="G798" s="61" t="str">
        <f>IFERROR(VLOOKUP(C798,$C$9:G797,5,FALSE),"")</f>
        <v/>
      </c>
      <c r="H798" s="61" t="str">
        <f>IFERROR(VLOOKUP(C798,$C$9:H797,6,FALSE),"")</f>
        <v/>
      </c>
      <c r="I798" s="61"/>
      <c r="J798" s="61"/>
      <c r="K798" s="61"/>
      <c r="L798" s="61"/>
      <c r="N798" s="46" t="e">
        <f t="shared" si="38"/>
        <v>#DIV/0!</v>
      </c>
      <c r="O798" s="46" t="str">
        <f t="shared" si="39"/>
        <v/>
      </c>
      <c r="P798" s="46">
        <f t="shared" si="40"/>
        <v>1</v>
      </c>
      <c r="Q798" s="46"/>
      <c r="R798" s="45"/>
      <c r="S798" s="45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</row>
    <row r="799" spans="1:31" ht="14.25">
      <c r="A799" s="67"/>
      <c r="B799" s="68"/>
      <c r="C799" s="67"/>
      <c r="D799" s="75"/>
      <c r="E799" s="76" t="str">
        <f>IFERROR(VLOOKUP(C799,$C$9:E798,3,0),"")</f>
        <v/>
      </c>
      <c r="F799" s="57" t="str">
        <f>IFERROR(VLOOKUP(C799,$C$9:H798,4,FALSE),"")</f>
        <v/>
      </c>
      <c r="G799" s="61" t="str">
        <f>IFERROR(VLOOKUP(C799,$C$9:G798,5,FALSE),"")</f>
        <v/>
      </c>
      <c r="H799" s="61" t="str">
        <f>IFERROR(VLOOKUP(C799,$C$9:H798,6,FALSE),"")</f>
        <v/>
      </c>
      <c r="I799" s="61"/>
      <c r="J799" s="61"/>
      <c r="K799" s="61"/>
      <c r="L799" s="61"/>
      <c r="N799" s="46" t="e">
        <f t="shared" si="38"/>
        <v>#DIV/0!</v>
      </c>
      <c r="O799" s="46" t="str">
        <f t="shared" si="39"/>
        <v/>
      </c>
      <c r="P799" s="46">
        <f t="shared" si="40"/>
        <v>1</v>
      </c>
      <c r="Q799" s="46"/>
      <c r="R799" s="45"/>
      <c r="S799" s="45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</row>
    <row r="800" spans="1:31" ht="14.25">
      <c r="A800" s="67"/>
      <c r="B800" s="68"/>
      <c r="C800" s="67"/>
      <c r="D800" s="75"/>
      <c r="E800" s="76" t="str">
        <f>IFERROR(VLOOKUP(C800,$C$9:E799,3,0),"")</f>
        <v/>
      </c>
      <c r="F800" s="57" t="str">
        <f>IFERROR(VLOOKUP(C800,$C$9:H799,4,FALSE),"")</f>
        <v/>
      </c>
      <c r="G800" s="61" t="str">
        <f>IFERROR(VLOOKUP(C800,$C$9:G799,5,FALSE),"")</f>
        <v/>
      </c>
      <c r="H800" s="61" t="str">
        <f>IFERROR(VLOOKUP(C800,$C$9:H799,6,FALSE),"")</f>
        <v/>
      </c>
      <c r="I800" s="61"/>
      <c r="J800" s="61"/>
      <c r="K800" s="61"/>
      <c r="L800" s="61"/>
      <c r="N800" s="46" t="e">
        <f t="shared" si="38"/>
        <v>#DIV/0!</v>
      </c>
      <c r="O800" s="46" t="str">
        <f t="shared" si="39"/>
        <v/>
      </c>
      <c r="P800" s="46">
        <f t="shared" si="40"/>
        <v>1</v>
      </c>
      <c r="Q800" s="46"/>
      <c r="R800" s="45"/>
      <c r="S800" s="45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</row>
    <row r="801" spans="1:31" ht="14.25">
      <c r="A801" s="67"/>
      <c r="B801" s="68"/>
      <c r="C801" s="67"/>
      <c r="D801" s="75"/>
      <c r="E801" s="76" t="str">
        <f>IFERROR(VLOOKUP(C801,$C$9:E800,3,0),"")</f>
        <v/>
      </c>
      <c r="F801" s="57" t="str">
        <f>IFERROR(VLOOKUP(C801,$C$9:H800,4,FALSE),"")</f>
        <v/>
      </c>
      <c r="G801" s="61" t="str">
        <f>IFERROR(VLOOKUP(C801,$C$9:G800,5,FALSE),"")</f>
        <v/>
      </c>
      <c r="H801" s="61" t="str">
        <f>IFERROR(VLOOKUP(C801,$C$9:H800,6,FALSE),"")</f>
        <v/>
      </c>
      <c r="I801" s="61"/>
      <c r="J801" s="61"/>
      <c r="K801" s="61"/>
      <c r="L801" s="61"/>
      <c r="N801" s="46" t="e">
        <f t="shared" si="38"/>
        <v>#DIV/0!</v>
      </c>
      <c r="O801" s="46" t="str">
        <f t="shared" si="39"/>
        <v/>
      </c>
      <c r="P801" s="46">
        <f t="shared" si="40"/>
        <v>1</v>
      </c>
      <c r="Q801" s="46"/>
      <c r="R801" s="45"/>
      <c r="S801" s="45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</row>
    <row r="802" spans="1:31" ht="14.25">
      <c r="A802" s="67"/>
      <c r="B802" s="68"/>
      <c r="C802" s="67"/>
      <c r="D802" s="75"/>
      <c r="E802" s="76" t="str">
        <f>IFERROR(VLOOKUP(C802,$C$9:E801,3,0),"")</f>
        <v/>
      </c>
      <c r="F802" s="57" t="str">
        <f>IFERROR(VLOOKUP(C802,$C$9:H801,4,FALSE),"")</f>
        <v/>
      </c>
      <c r="G802" s="61" t="str">
        <f>IFERROR(VLOOKUP(C802,$C$9:G801,5,FALSE),"")</f>
        <v/>
      </c>
      <c r="H802" s="61" t="str">
        <f>IFERROR(VLOOKUP(C802,$C$9:H801,6,FALSE),"")</f>
        <v/>
      </c>
      <c r="I802" s="61"/>
      <c r="J802" s="61"/>
      <c r="K802" s="61"/>
      <c r="L802" s="61"/>
      <c r="N802" s="46" t="e">
        <f t="shared" si="38"/>
        <v>#DIV/0!</v>
      </c>
      <c r="O802" s="46" t="str">
        <f t="shared" si="39"/>
        <v/>
      </c>
      <c r="P802" s="46">
        <f t="shared" si="40"/>
        <v>1</v>
      </c>
      <c r="Q802" s="46"/>
      <c r="R802" s="45"/>
      <c r="S802" s="45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</row>
    <row r="803" spans="1:31" ht="14.25">
      <c r="A803" s="67"/>
      <c r="B803" s="68"/>
      <c r="C803" s="67"/>
      <c r="D803" s="75"/>
      <c r="E803" s="76" t="str">
        <f>IFERROR(VLOOKUP(C803,$C$9:E802,3,0),"")</f>
        <v/>
      </c>
      <c r="F803" s="57" t="str">
        <f>IFERROR(VLOOKUP(C803,$C$9:H802,4,FALSE),"")</f>
        <v/>
      </c>
      <c r="G803" s="61" t="str">
        <f>IFERROR(VLOOKUP(C803,$C$9:G802,5,FALSE),"")</f>
        <v/>
      </c>
      <c r="H803" s="61" t="str">
        <f>IFERROR(VLOOKUP(C803,$C$9:H802,6,FALSE),"")</f>
        <v/>
      </c>
      <c r="I803" s="61"/>
      <c r="J803" s="61"/>
      <c r="K803" s="61"/>
      <c r="L803" s="61"/>
      <c r="N803" s="46" t="e">
        <f t="shared" si="38"/>
        <v>#DIV/0!</v>
      </c>
      <c r="O803" s="46" t="str">
        <f t="shared" si="39"/>
        <v/>
      </c>
      <c r="P803" s="46">
        <f t="shared" si="40"/>
        <v>1</v>
      </c>
      <c r="Q803" s="46"/>
      <c r="R803" s="45"/>
      <c r="S803" s="45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</row>
    <row r="804" spans="1:31" ht="14.25">
      <c r="A804" s="67"/>
      <c r="B804" s="68"/>
      <c r="C804" s="67"/>
      <c r="D804" s="75"/>
      <c r="E804" s="76" t="str">
        <f>IFERROR(VLOOKUP(C804,$C$9:E803,3,0),"")</f>
        <v/>
      </c>
      <c r="F804" s="57" t="str">
        <f>IFERROR(VLOOKUP(C804,$C$9:H803,4,FALSE),"")</f>
        <v/>
      </c>
      <c r="G804" s="61" t="str">
        <f>IFERROR(VLOOKUP(C804,$C$9:G803,5,FALSE),"")</f>
        <v/>
      </c>
      <c r="H804" s="61" t="str">
        <f>IFERROR(VLOOKUP(C804,$C$9:H803,6,FALSE),"")</f>
        <v/>
      </c>
      <c r="I804" s="61"/>
      <c r="J804" s="61"/>
      <c r="K804" s="61"/>
      <c r="L804" s="61"/>
      <c r="N804" s="46" t="e">
        <f t="shared" si="38"/>
        <v>#DIV/0!</v>
      </c>
      <c r="O804" s="46" t="str">
        <f t="shared" si="39"/>
        <v/>
      </c>
      <c r="P804" s="46">
        <f t="shared" si="40"/>
        <v>1</v>
      </c>
      <c r="Q804" s="46"/>
      <c r="R804" s="45"/>
      <c r="S804" s="45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</row>
    <row r="805" spans="1:31" ht="14.25">
      <c r="A805" s="67"/>
      <c r="B805" s="68"/>
      <c r="C805" s="67"/>
      <c r="D805" s="75"/>
      <c r="E805" s="76" t="str">
        <f>IFERROR(VLOOKUP(C805,$C$9:E804,3,0),"")</f>
        <v/>
      </c>
      <c r="F805" s="57" t="str">
        <f>IFERROR(VLOOKUP(C805,$C$9:H804,4,FALSE),"")</f>
        <v/>
      </c>
      <c r="G805" s="61" t="str">
        <f>IFERROR(VLOOKUP(C805,$C$9:G804,5,FALSE),"")</f>
        <v/>
      </c>
      <c r="H805" s="61" t="str">
        <f>IFERROR(VLOOKUP(C805,$C$9:H804,6,FALSE),"")</f>
        <v/>
      </c>
      <c r="I805" s="61"/>
      <c r="J805" s="61"/>
      <c r="K805" s="61"/>
      <c r="L805" s="61"/>
      <c r="N805" s="46" t="e">
        <f t="shared" si="38"/>
        <v>#DIV/0!</v>
      </c>
      <c r="O805" s="46" t="str">
        <f t="shared" si="39"/>
        <v/>
      </c>
      <c r="P805" s="46">
        <f t="shared" si="40"/>
        <v>1</v>
      </c>
      <c r="Q805" s="46"/>
      <c r="R805" s="45"/>
      <c r="S805" s="45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</row>
    <row r="806" spans="1:31" ht="14.25">
      <c r="A806" s="67"/>
      <c r="B806" s="68"/>
      <c r="C806" s="67"/>
      <c r="D806" s="75"/>
      <c r="E806" s="76" t="str">
        <f>IFERROR(VLOOKUP(C806,$C$9:E805,3,0),"")</f>
        <v/>
      </c>
      <c r="F806" s="57" t="str">
        <f>IFERROR(VLOOKUP(C806,$C$9:H805,4,FALSE),"")</f>
        <v/>
      </c>
      <c r="G806" s="61" t="str">
        <f>IFERROR(VLOOKUP(C806,$C$9:G805,5,FALSE),"")</f>
        <v/>
      </c>
      <c r="H806" s="61" t="str">
        <f>IFERROR(VLOOKUP(C806,$C$9:H805,6,FALSE),"")</f>
        <v/>
      </c>
      <c r="I806" s="61"/>
      <c r="J806" s="61"/>
      <c r="K806" s="61"/>
      <c r="L806" s="61"/>
      <c r="N806" s="46" t="e">
        <f t="shared" si="38"/>
        <v>#DIV/0!</v>
      </c>
      <c r="O806" s="46" t="str">
        <f t="shared" si="39"/>
        <v/>
      </c>
      <c r="P806" s="46">
        <f t="shared" si="40"/>
        <v>1</v>
      </c>
      <c r="Q806" s="46"/>
      <c r="R806" s="45"/>
      <c r="S806" s="45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</row>
    <row r="807" spans="1:31" ht="14.25">
      <c r="A807" s="67"/>
      <c r="B807" s="68"/>
      <c r="C807" s="67"/>
      <c r="D807" s="75"/>
      <c r="E807" s="76" t="str">
        <f>IFERROR(VLOOKUP(C807,$C$9:E806,3,0),"")</f>
        <v/>
      </c>
      <c r="F807" s="57" t="str">
        <f>IFERROR(VLOOKUP(C807,$C$9:H806,4,FALSE),"")</f>
        <v/>
      </c>
      <c r="G807" s="61" t="str">
        <f>IFERROR(VLOOKUP(C807,$C$9:G806,5,FALSE),"")</f>
        <v/>
      </c>
      <c r="H807" s="61" t="str">
        <f>IFERROR(VLOOKUP(C807,$C$9:H806,6,FALSE),"")</f>
        <v/>
      </c>
      <c r="I807" s="61"/>
      <c r="J807" s="61"/>
      <c r="K807" s="61"/>
      <c r="L807" s="61"/>
      <c r="N807" s="46" t="e">
        <f t="shared" si="38"/>
        <v>#DIV/0!</v>
      </c>
      <c r="O807" s="46" t="str">
        <f t="shared" si="39"/>
        <v/>
      </c>
      <c r="P807" s="46">
        <f t="shared" si="40"/>
        <v>1</v>
      </c>
      <c r="Q807" s="46"/>
      <c r="R807" s="45"/>
      <c r="S807" s="45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</row>
    <row r="808" spans="1:31" ht="14.25">
      <c r="A808" s="67"/>
      <c r="B808" s="68"/>
      <c r="C808" s="67"/>
      <c r="D808" s="75"/>
      <c r="E808" s="76" t="str">
        <f>IFERROR(VLOOKUP(C808,$C$9:E807,3,0),"")</f>
        <v/>
      </c>
      <c r="F808" s="57" t="str">
        <f>IFERROR(VLOOKUP(C808,$C$9:H807,4,FALSE),"")</f>
        <v/>
      </c>
      <c r="G808" s="61" t="str">
        <f>IFERROR(VLOOKUP(C808,$C$9:G807,5,FALSE),"")</f>
        <v/>
      </c>
      <c r="H808" s="61" t="str">
        <f>IFERROR(VLOOKUP(C808,$C$9:H807,6,FALSE),"")</f>
        <v/>
      </c>
      <c r="I808" s="61"/>
      <c r="J808" s="61"/>
      <c r="K808" s="61"/>
      <c r="L808" s="61"/>
      <c r="N808" s="46" t="e">
        <f t="shared" si="38"/>
        <v>#DIV/0!</v>
      </c>
      <c r="O808" s="46" t="str">
        <f t="shared" si="39"/>
        <v/>
      </c>
      <c r="P808" s="46">
        <f t="shared" si="40"/>
        <v>1</v>
      </c>
      <c r="Q808" s="46"/>
      <c r="R808" s="45"/>
      <c r="S808" s="45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</row>
    <row r="809" spans="1:31" ht="14.25">
      <c r="A809" s="67"/>
      <c r="B809" s="79"/>
      <c r="C809" s="77"/>
      <c r="D809" s="75"/>
      <c r="E809" s="76" t="str">
        <f>IFERROR(VLOOKUP(C809,$C$9:E808,3,0),"")</f>
        <v/>
      </c>
      <c r="F809" s="57" t="str">
        <f>IFERROR(VLOOKUP(C809,$C$9:H808,4,FALSE),"")</f>
        <v/>
      </c>
      <c r="G809" s="61" t="str">
        <f>IFERROR(VLOOKUP(C809,$C$9:G808,5,FALSE),"")</f>
        <v/>
      </c>
      <c r="H809" s="61" t="str">
        <f>IFERROR(VLOOKUP(C809,$C$9:H808,6,FALSE),"")</f>
        <v/>
      </c>
      <c r="I809" s="61"/>
      <c r="J809" s="61"/>
      <c r="K809" s="61"/>
      <c r="L809" s="61"/>
      <c r="N809" s="46" t="e">
        <f t="shared" si="38"/>
        <v>#DIV/0!</v>
      </c>
      <c r="O809" s="46" t="str">
        <f t="shared" si="39"/>
        <v/>
      </c>
      <c r="P809" s="46">
        <f t="shared" si="40"/>
        <v>1</v>
      </c>
      <c r="Q809" s="46"/>
      <c r="R809" s="45"/>
      <c r="S809" s="45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</row>
    <row r="810" spans="1:31" ht="14.25">
      <c r="A810" s="67"/>
      <c r="B810" s="68"/>
      <c r="C810" s="67"/>
      <c r="D810" s="75"/>
      <c r="E810" s="76" t="str">
        <f>IFERROR(VLOOKUP(C810,$C$9:E809,3,0),"")</f>
        <v/>
      </c>
      <c r="F810" s="57" t="str">
        <f>IFERROR(VLOOKUP(C810,$C$9:H809,4,FALSE),"")</f>
        <v/>
      </c>
      <c r="G810" s="61" t="str">
        <f>IFERROR(VLOOKUP(C810,$C$9:G809,5,FALSE),"")</f>
        <v/>
      </c>
      <c r="H810" s="61" t="str">
        <f>IFERROR(VLOOKUP(C810,$C$9:H809,6,FALSE),"")</f>
        <v/>
      </c>
      <c r="I810" s="61"/>
      <c r="J810" s="61"/>
      <c r="K810" s="61"/>
      <c r="L810" s="61"/>
      <c r="N810" s="46" t="e">
        <f t="shared" si="38"/>
        <v>#DIV/0!</v>
      </c>
      <c r="O810" s="46" t="str">
        <f t="shared" si="39"/>
        <v/>
      </c>
      <c r="P810" s="46">
        <f t="shared" si="40"/>
        <v>1</v>
      </c>
      <c r="Q810" s="46"/>
      <c r="R810" s="45"/>
      <c r="S810" s="45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</row>
    <row r="811" spans="1:31" ht="14.25">
      <c r="A811" s="67"/>
      <c r="B811" s="68"/>
      <c r="C811" s="67"/>
      <c r="D811" s="75"/>
      <c r="E811" s="76" t="str">
        <f>IFERROR(VLOOKUP(C811,$C$9:E810,3,0),"")</f>
        <v/>
      </c>
      <c r="F811" s="57" t="str">
        <f>IFERROR(VLOOKUP(C811,$C$9:H810,4,FALSE),"")</f>
        <v/>
      </c>
      <c r="G811" s="61" t="str">
        <f>IFERROR(VLOOKUP(C811,$C$9:G810,5,FALSE),"")</f>
        <v/>
      </c>
      <c r="H811" s="61" t="str">
        <f>IFERROR(VLOOKUP(C811,$C$9:H810,6,FALSE),"")</f>
        <v/>
      </c>
      <c r="I811" s="61"/>
      <c r="J811" s="61"/>
      <c r="K811" s="61"/>
      <c r="L811" s="61"/>
      <c r="N811" s="46" t="e">
        <f t="shared" si="38"/>
        <v>#DIV/0!</v>
      </c>
      <c r="O811" s="46" t="str">
        <f t="shared" si="39"/>
        <v/>
      </c>
      <c r="P811" s="46">
        <f t="shared" si="40"/>
        <v>1</v>
      </c>
      <c r="Q811" s="46"/>
      <c r="R811" s="45"/>
      <c r="S811" s="45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</row>
    <row r="812" spans="1:31" ht="14.25">
      <c r="A812" s="67"/>
      <c r="B812" s="72"/>
      <c r="C812" s="67"/>
      <c r="D812" s="75"/>
      <c r="E812" s="76" t="str">
        <f>IFERROR(VLOOKUP(C812,$C$9:E811,3,0),"")</f>
        <v/>
      </c>
      <c r="F812" s="57" t="str">
        <f>IFERROR(VLOOKUP(C812,$C$9:H811,4,FALSE),"")</f>
        <v/>
      </c>
      <c r="G812" s="61" t="str">
        <f>IFERROR(VLOOKUP(C812,$C$9:G811,5,FALSE),"")</f>
        <v/>
      </c>
      <c r="H812" s="61" t="str">
        <f>IFERROR(VLOOKUP(C812,$C$9:H811,6,FALSE),"")</f>
        <v/>
      </c>
      <c r="I812" s="61"/>
      <c r="J812" s="61"/>
      <c r="K812" s="61"/>
      <c r="L812" s="61"/>
      <c r="N812" s="46" t="e">
        <f t="shared" si="38"/>
        <v>#DIV/0!</v>
      </c>
      <c r="O812" s="46" t="str">
        <f t="shared" si="39"/>
        <v/>
      </c>
      <c r="P812" s="46">
        <f t="shared" si="40"/>
        <v>1</v>
      </c>
      <c r="Q812" s="46"/>
      <c r="R812" s="45"/>
      <c r="S812" s="45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</row>
    <row r="813" spans="1:31" ht="14.25">
      <c r="A813" s="67"/>
      <c r="B813" s="68"/>
      <c r="C813" s="67"/>
      <c r="D813" s="75"/>
      <c r="E813" s="76" t="str">
        <f>IFERROR(VLOOKUP(C813,$C$9:E812,3,0),"")</f>
        <v/>
      </c>
      <c r="F813" s="57" t="str">
        <f>IFERROR(VLOOKUP(C813,$C$9:H812,4,FALSE),"")</f>
        <v/>
      </c>
      <c r="G813" s="61" t="str">
        <f>IFERROR(VLOOKUP(C813,$C$9:G812,5,FALSE),"")</f>
        <v/>
      </c>
      <c r="H813" s="61" t="str">
        <f>IFERROR(VLOOKUP(C813,$C$9:H812,6,FALSE),"")</f>
        <v/>
      </c>
      <c r="I813" s="61"/>
      <c r="J813" s="61"/>
      <c r="K813" s="61"/>
      <c r="L813" s="61"/>
      <c r="N813" s="46" t="e">
        <f t="shared" si="38"/>
        <v>#DIV/0!</v>
      </c>
      <c r="O813" s="46" t="str">
        <f t="shared" si="39"/>
        <v/>
      </c>
      <c r="P813" s="46">
        <f t="shared" si="40"/>
        <v>1</v>
      </c>
      <c r="Q813" s="46"/>
      <c r="R813" s="45"/>
      <c r="S813" s="45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</row>
    <row r="814" spans="1:31" ht="14.25">
      <c r="A814" s="67"/>
      <c r="B814" s="68"/>
      <c r="C814" s="67"/>
      <c r="D814" s="75"/>
      <c r="E814" s="76" t="str">
        <f>IFERROR(VLOOKUP(C814,$C$9:E813,3,0),"")</f>
        <v/>
      </c>
      <c r="F814" s="57" t="str">
        <f>IFERROR(VLOOKUP(C814,$C$9:H813,4,FALSE),"")</f>
        <v/>
      </c>
      <c r="G814" s="61" t="str">
        <f>IFERROR(VLOOKUP(C814,$C$9:G813,5,FALSE),"")</f>
        <v/>
      </c>
      <c r="H814" s="61" t="str">
        <f>IFERROR(VLOOKUP(C814,$C$9:H813,6,FALSE),"")</f>
        <v/>
      </c>
      <c r="I814" s="61"/>
      <c r="J814" s="61"/>
      <c r="K814" s="61"/>
      <c r="L814" s="61"/>
      <c r="N814" s="46" t="e">
        <f t="shared" si="38"/>
        <v>#DIV/0!</v>
      </c>
      <c r="O814" s="46" t="str">
        <f t="shared" si="39"/>
        <v/>
      </c>
      <c r="P814" s="46">
        <f t="shared" si="40"/>
        <v>1</v>
      </c>
      <c r="Q814" s="46"/>
      <c r="R814" s="45"/>
      <c r="S814" s="45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</row>
    <row r="815" spans="1:31" ht="14.25">
      <c r="A815" s="67"/>
      <c r="B815" s="68"/>
      <c r="C815" s="67"/>
      <c r="D815" s="75"/>
      <c r="E815" s="76" t="str">
        <f>IFERROR(VLOOKUP(C815,$C$9:E814,3,0),"")</f>
        <v/>
      </c>
      <c r="F815" s="57" t="str">
        <f>IFERROR(VLOOKUP(C815,$C$9:H814,4,FALSE),"")</f>
        <v/>
      </c>
      <c r="G815" s="61" t="str">
        <f>IFERROR(VLOOKUP(C815,$C$9:G814,5,FALSE),"")</f>
        <v/>
      </c>
      <c r="H815" s="61" t="str">
        <f>IFERROR(VLOOKUP(C815,$C$9:H814,6,FALSE),"")</f>
        <v/>
      </c>
      <c r="I815" s="61"/>
      <c r="J815" s="61"/>
      <c r="K815" s="61"/>
      <c r="L815" s="61"/>
      <c r="N815" s="46" t="e">
        <f t="shared" si="38"/>
        <v>#DIV/0!</v>
      </c>
      <c r="O815" s="46" t="str">
        <f t="shared" si="39"/>
        <v/>
      </c>
      <c r="P815" s="46">
        <f t="shared" si="40"/>
        <v>1</v>
      </c>
      <c r="Q815" s="46"/>
      <c r="R815" s="45"/>
      <c r="S815" s="45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</row>
    <row r="816" spans="1:31" ht="14.25">
      <c r="A816" s="67"/>
      <c r="B816" s="68"/>
      <c r="C816" s="67"/>
      <c r="D816" s="75"/>
      <c r="E816" s="76" t="str">
        <f>IFERROR(VLOOKUP(C816,$C$9:E815,3,0),"")</f>
        <v/>
      </c>
      <c r="F816" s="57" t="str">
        <f>IFERROR(VLOOKUP(C816,$C$9:H815,4,FALSE),"")</f>
        <v/>
      </c>
      <c r="G816" s="61" t="str">
        <f>IFERROR(VLOOKUP(C816,$C$9:G815,5,FALSE),"")</f>
        <v/>
      </c>
      <c r="H816" s="61" t="str">
        <f>IFERROR(VLOOKUP(C816,$C$9:H815,6,FALSE),"")</f>
        <v/>
      </c>
      <c r="I816" s="61"/>
      <c r="J816" s="61"/>
      <c r="K816" s="61"/>
      <c r="L816" s="61"/>
      <c r="N816" s="46" t="e">
        <f t="shared" si="38"/>
        <v>#DIV/0!</v>
      </c>
      <c r="O816" s="46" t="str">
        <f t="shared" si="39"/>
        <v/>
      </c>
      <c r="P816" s="46">
        <f t="shared" si="40"/>
        <v>1</v>
      </c>
      <c r="Q816" s="46"/>
      <c r="R816" s="45"/>
      <c r="S816" s="45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</row>
    <row r="817" spans="1:31" ht="14.25">
      <c r="A817" s="67"/>
      <c r="B817" s="68"/>
      <c r="C817" s="67"/>
      <c r="D817" s="75"/>
      <c r="E817" s="76" t="str">
        <f>IFERROR(VLOOKUP(C817,$C$9:E816,3,0),"")</f>
        <v/>
      </c>
      <c r="F817" s="57" t="str">
        <f>IFERROR(VLOOKUP(C817,$C$9:H816,4,FALSE),"")</f>
        <v/>
      </c>
      <c r="G817" s="61" t="str">
        <f>IFERROR(VLOOKUP(C817,$C$9:G816,5,FALSE),"")</f>
        <v/>
      </c>
      <c r="H817" s="61" t="str">
        <f>IFERROR(VLOOKUP(C817,$C$9:H816,6,FALSE),"")</f>
        <v/>
      </c>
      <c r="I817" s="61"/>
      <c r="J817" s="61"/>
      <c r="K817" s="61"/>
      <c r="L817" s="61"/>
      <c r="N817" s="46" t="e">
        <f t="shared" si="38"/>
        <v>#DIV/0!</v>
      </c>
      <c r="O817" s="46" t="str">
        <f t="shared" si="39"/>
        <v/>
      </c>
      <c r="P817" s="46">
        <f t="shared" si="40"/>
        <v>1</v>
      </c>
      <c r="Q817" s="46"/>
      <c r="R817" s="45"/>
      <c r="S817" s="45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</row>
    <row r="818" spans="1:31" ht="14.25">
      <c r="A818" s="67"/>
      <c r="B818" s="68"/>
      <c r="C818" s="67"/>
      <c r="D818" s="75"/>
      <c r="E818" s="76" t="str">
        <f>IFERROR(VLOOKUP(C818,$C$9:E817,3,0),"")</f>
        <v/>
      </c>
      <c r="F818" s="57" t="str">
        <f>IFERROR(VLOOKUP(C818,$C$9:H817,4,FALSE),"")</f>
        <v/>
      </c>
      <c r="G818" s="61" t="str">
        <f>IFERROR(VLOOKUP(C818,$C$9:G817,5,FALSE),"")</f>
        <v/>
      </c>
      <c r="H818" s="61" t="str">
        <f>IFERROR(VLOOKUP(C818,$C$9:H817,6,FALSE),"")</f>
        <v/>
      </c>
      <c r="I818" s="61"/>
      <c r="J818" s="61"/>
      <c r="K818" s="61"/>
      <c r="L818" s="61"/>
      <c r="N818" s="46" t="e">
        <f t="shared" si="38"/>
        <v>#DIV/0!</v>
      </c>
      <c r="O818" s="46" t="str">
        <f t="shared" si="39"/>
        <v/>
      </c>
      <c r="P818" s="46">
        <f t="shared" si="40"/>
        <v>1</v>
      </c>
      <c r="Q818" s="46"/>
      <c r="R818" s="45"/>
      <c r="S818" s="45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</row>
    <row r="819" spans="1:31" ht="14.25">
      <c r="A819" s="67"/>
      <c r="B819" s="79"/>
      <c r="C819" s="77"/>
      <c r="D819" s="75"/>
      <c r="E819" s="76" t="str">
        <f>IFERROR(VLOOKUP(C819,$C$9:E818,3,0),"")</f>
        <v/>
      </c>
      <c r="F819" s="57" t="str">
        <f>IFERROR(VLOOKUP(C819,$C$9:H818,4,FALSE),"")</f>
        <v/>
      </c>
      <c r="G819" s="61" t="str">
        <f>IFERROR(VLOOKUP(C819,$C$9:G818,5,FALSE),"")</f>
        <v/>
      </c>
      <c r="H819" s="61" t="str">
        <f>IFERROR(VLOOKUP(C819,$C$9:H818,6,FALSE),"")</f>
        <v/>
      </c>
      <c r="I819" s="61"/>
      <c r="J819" s="61"/>
      <c r="K819" s="61"/>
      <c r="L819" s="61"/>
      <c r="N819" s="46" t="e">
        <f t="shared" si="38"/>
        <v>#DIV/0!</v>
      </c>
      <c r="O819" s="46" t="str">
        <f t="shared" si="39"/>
        <v/>
      </c>
      <c r="P819" s="46">
        <f t="shared" si="40"/>
        <v>1</v>
      </c>
      <c r="Q819" s="46"/>
      <c r="R819" s="45"/>
      <c r="S819" s="45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</row>
    <row r="820" spans="1:31" ht="14.25">
      <c r="A820" s="67"/>
      <c r="B820" s="68"/>
      <c r="C820" s="67"/>
      <c r="D820" s="75"/>
      <c r="E820" s="76" t="str">
        <f>IFERROR(VLOOKUP(C820,$C$9:E819,3,0),"")</f>
        <v/>
      </c>
      <c r="F820" s="57" t="str">
        <f>IFERROR(VLOOKUP(C820,$C$9:H819,4,FALSE),"")</f>
        <v/>
      </c>
      <c r="G820" s="61" t="str">
        <f>IFERROR(VLOOKUP(C820,$C$9:G819,5,FALSE),"")</f>
        <v/>
      </c>
      <c r="H820" s="61" t="str">
        <f>IFERROR(VLOOKUP(C820,$C$9:H819,6,FALSE),"")</f>
        <v/>
      </c>
      <c r="I820" s="61"/>
      <c r="J820" s="61"/>
      <c r="K820" s="61"/>
      <c r="L820" s="61"/>
      <c r="N820" s="46" t="e">
        <f t="shared" si="38"/>
        <v>#DIV/0!</v>
      </c>
      <c r="O820" s="46" t="str">
        <f t="shared" si="39"/>
        <v/>
      </c>
      <c r="P820" s="46">
        <f t="shared" si="40"/>
        <v>1</v>
      </c>
      <c r="Q820" s="46"/>
      <c r="R820" s="45"/>
      <c r="S820" s="45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</row>
    <row r="821" spans="1:31" ht="14.25">
      <c r="A821" s="67"/>
      <c r="B821" s="68"/>
      <c r="C821" s="67"/>
      <c r="D821" s="75"/>
      <c r="E821" s="76" t="str">
        <f>IFERROR(VLOOKUP(C821,$C$9:E820,3,0),"")</f>
        <v/>
      </c>
      <c r="F821" s="57" t="str">
        <f>IFERROR(VLOOKUP(C821,$C$9:H820,4,FALSE),"")</f>
        <v/>
      </c>
      <c r="G821" s="61" t="str">
        <f>IFERROR(VLOOKUP(C821,$C$9:G820,5,FALSE),"")</f>
        <v/>
      </c>
      <c r="H821" s="61" t="str">
        <f>IFERROR(VLOOKUP(C821,$C$9:H820,6,FALSE),"")</f>
        <v/>
      </c>
      <c r="I821" s="61"/>
      <c r="J821" s="61"/>
      <c r="K821" s="61"/>
      <c r="L821" s="61"/>
      <c r="N821" s="46" t="e">
        <f t="shared" si="38"/>
        <v>#DIV/0!</v>
      </c>
      <c r="O821" s="46" t="str">
        <f t="shared" si="39"/>
        <v/>
      </c>
      <c r="P821" s="46">
        <f t="shared" si="40"/>
        <v>1</v>
      </c>
      <c r="Q821" s="46"/>
      <c r="R821" s="45"/>
      <c r="S821" s="45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</row>
    <row r="822" spans="1:31" ht="14.25">
      <c r="A822" s="67"/>
      <c r="B822" s="68"/>
      <c r="C822" s="67"/>
      <c r="D822" s="75"/>
      <c r="E822" s="76" t="str">
        <f>IFERROR(VLOOKUP(C822,$C$9:E821,3,0),"")</f>
        <v/>
      </c>
      <c r="F822" s="57" t="str">
        <f>IFERROR(VLOOKUP(C822,$C$9:H821,4,FALSE),"")</f>
        <v/>
      </c>
      <c r="G822" s="61" t="str">
        <f>IFERROR(VLOOKUP(C822,$C$9:G821,5,FALSE),"")</f>
        <v/>
      </c>
      <c r="H822" s="61" t="str">
        <f>IFERROR(VLOOKUP(C822,$C$9:H821,6,FALSE),"")</f>
        <v/>
      </c>
      <c r="I822" s="61"/>
      <c r="J822" s="61"/>
      <c r="K822" s="61"/>
      <c r="L822" s="61"/>
      <c r="N822" s="46" t="e">
        <f t="shared" si="38"/>
        <v>#DIV/0!</v>
      </c>
      <c r="O822" s="46" t="str">
        <f t="shared" si="39"/>
        <v/>
      </c>
      <c r="P822" s="46">
        <f t="shared" si="40"/>
        <v>1</v>
      </c>
      <c r="Q822" s="46"/>
      <c r="R822" s="45"/>
      <c r="S822" s="45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</row>
    <row r="823" spans="1:31" ht="14.25">
      <c r="A823" s="67"/>
      <c r="B823" s="68"/>
      <c r="C823" s="67"/>
      <c r="D823" s="75"/>
      <c r="E823" s="76" t="str">
        <f>IFERROR(VLOOKUP(C823,$C$9:E822,3,0),"")</f>
        <v/>
      </c>
      <c r="F823" s="57" t="str">
        <f>IFERROR(VLOOKUP(C823,$C$9:H822,4,FALSE),"")</f>
        <v/>
      </c>
      <c r="G823" s="61" t="str">
        <f>IFERROR(VLOOKUP(C823,$C$9:G822,5,FALSE),"")</f>
        <v/>
      </c>
      <c r="H823" s="61" t="str">
        <f>IFERROR(VLOOKUP(C823,$C$9:H822,6,FALSE),"")</f>
        <v/>
      </c>
      <c r="I823" s="61"/>
      <c r="J823" s="61"/>
      <c r="K823" s="61"/>
      <c r="L823" s="61"/>
      <c r="N823" s="46" t="e">
        <f t="shared" si="38"/>
        <v>#DIV/0!</v>
      </c>
      <c r="O823" s="46" t="str">
        <f t="shared" si="39"/>
        <v/>
      </c>
      <c r="P823" s="46">
        <f t="shared" si="40"/>
        <v>1</v>
      </c>
      <c r="Q823" s="46"/>
      <c r="R823" s="45"/>
      <c r="S823" s="45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</row>
    <row r="824" spans="1:31" ht="14.25">
      <c r="A824" s="67"/>
      <c r="B824" s="68"/>
      <c r="C824" s="67"/>
      <c r="D824" s="75"/>
      <c r="E824" s="76" t="str">
        <f>IFERROR(VLOOKUP(C824,$C$9:E823,3,0),"")</f>
        <v/>
      </c>
      <c r="F824" s="57" t="str">
        <f>IFERROR(VLOOKUP(C824,$C$9:H823,4,FALSE),"")</f>
        <v/>
      </c>
      <c r="G824" s="61" t="str">
        <f>IFERROR(VLOOKUP(C824,$C$9:G823,5,FALSE),"")</f>
        <v/>
      </c>
      <c r="H824" s="61" t="str">
        <f>IFERROR(VLOOKUP(C824,$C$9:H823,6,FALSE),"")</f>
        <v/>
      </c>
      <c r="I824" s="61"/>
      <c r="J824" s="61"/>
      <c r="K824" s="61"/>
      <c r="L824" s="61"/>
      <c r="N824" s="46" t="e">
        <f t="shared" si="38"/>
        <v>#DIV/0!</v>
      </c>
      <c r="O824" s="46" t="str">
        <f t="shared" si="39"/>
        <v/>
      </c>
      <c r="P824" s="46">
        <f t="shared" si="40"/>
        <v>1</v>
      </c>
      <c r="Q824" s="46"/>
      <c r="R824" s="45"/>
      <c r="S824" s="45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</row>
    <row r="825" spans="1:31" ht="14.25">
      <c r="A825" s="67"/>
      <c r="B825" s="68"/>
      <c r="C825" s="67"/>
      <c r="D825" s="75"/>
      <c r="E825" s="76" t="str">
        <f>IFERROR(VLOOKUP(C825,$C$9:E824,3,0),"")</f>
        <v/>
      </c>
      <c r="F825" s="57" t="str">
        <f>IFERROR(VLOOKUP(C825,$C$9:H824,4,FALSE),"")</f>
        <v/>
      </c>
      <c r="G825" s="61" t="str">
        <f>IFERROR(VLOOKUP(C825,$C$9:G824,5,FALSE),"")</f>
        <v/>
      </c>
      <c r="H825" s="61" t="str">
        <f>IFERROR(VLOOKUP(C825,$C$9:H824,6,FALSE),"")</f>
        <v/>
      </c>
      <c r="I825" s="61"/>
      <c r="J825" s="61"/>
      <c r="K825" s="61"/>
      <c r="L825" s="61"/>
      <c r="N825" s="46" t="e">
        <f t="shared" si="38"/>
        <v>#DIV/0!</v>
      </c>
      <c r="O825" s="46" t="str">
        <f t="shared" si="39"/>
        <v/>
      </c>
      <c r="P825" s="46">
        <f t="shared" si="40"/>
        <v>1</v>
      </c>
      <c r="Q825" s="46"/>
      <c r="R825" s="45"/>
      <c r="S825" s="45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</row>
    <row r="826" spans="1:31" ht="14.25">
      <c r="A826" s="67"/>
      <c r="B826" s="71"/>
      <c r="C826" s="67"/>
      <c r="D826" s="75"/>
      <c r="E826" s="76" t="str">
        <f>IFERROR(VLOOKUP(C826,$C$9:E825,3,0),"")</f>
        <v/>
      </c>
      <c r="F826" s="57" t="str">
        <f>IFERROR(VLOOKUP(C826,$C$9:H825,4,FALSE),"")</f>
        <v/>
      </c>
      <c r="G826" s="61" t="str">
        <f>IFERROR(VLOOKUP(C826,$C$9:G825,5,FALSE),"")</f>
        <v/>
      </c>
      <c r="H826" s="61" t="str">
        <f>IFERROR(VLOOKUP(C826,$C$9:H825,6,FALSE),"")</f>
        <v/>
      </c>
      <c r="I826" s="61"/>
      <c r="J826" s="61"/>
      <c r="K826" s="61"/>
      <c r="L826" s="61"/>
      <c r="N826" s="46" t="e">
        <f t="shared" si="38"/>
        <v>#DIV/0!</v>
      </c>
      <c r="O826" s="46" t="str">
        <f t="shared" si="39"/>
        <v/>
      </c>
      <c r="P826" s="46">
        <f t="shared" si="40"/>
        <v>1</v>
      </c>
      <c r="Q826" s="46"/>
      <c r="R826" s="45"/>
      <c r="S826" s="45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</row>
    <row r="827" spans="1:31" ht="14.25">
      <c r="A827" s="67"/>
      <c r="B827" s="71"/>
      <c r="C827" s="67"/>
      <c r="D827" s="75"/>
      <c r="E827" s="76" t="str">
        <f>IFERROR(VLOOKUP(C827,$C$9:E826,3,0),"")</f>
        <v/>
      </c>
      <c r="F827" s="57" t="str">
        <f>IFERROR(VLOOKUP(C827,$C$9:H826,4,FALSE),"")</f>
        <v/>
      </c>
      <c r="G827" s="61" t="str">
        <f>IFERROR(VLOOKUP(C827,$C$9:G826,5,FALSE),"")</f>
        <v/>
      </c>
      <c r="H827" s="61" t="str">
        <f>IFERROR(VLOOKUP(C827,$C$9:H826,6,FALSE),"")</f>
        <v/>
      </c>
      <c r="I827" s="61"/>
      <c r="J827" s="61"/>
      <c r="K827" s="61"/>
      <c r="L827" s="61"/>
      <c r="N827" s="46" t="e">
        <f t="shared" si="38"/>
        <v>#DIV/0!</v>
      </c>
      <c r="O827" s="46" t="str">
        <f t="shared" si="39"/>
        <v/>
      </c>
      <c r="P827" s="46">
        <f t="shared" si="40"/>
        <v>1</v>
      </c>
      <c r="Q827" s="46"/>
      <c r="R827" s="45"/>
      <c r="S827" s="45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</row>
    <row r="828" spans="1:31" ht="14.25">
      <c r="A828" s="67"/>
      <c r="B828" s="68"/>
      <c r="C828" s="67"/>
      <c r="D828" s="75"/>
      <c r="E828" s="76" t="str">
        <f>IFERROR(VLOOKUP(C828,$C$9:E827,3,0),"")</f>
        <v/>
      </c>
      <c r="F828" s="57" t="str">
        <f>IFERROR(VLOOKUP(C828,$C$9:H827,4,FALSE),"")</f>
        <v/>
      </c>
      <c r="G828" s="61" t="str">
        <f>IFERROR(VLOOKUP(C828,$C$9:G827,5,FALSE),"")</f>
        <v/>
      </c>
      <c r="H828" s="61" t="str">
        <f>IFERROR(VLOOKUP(C828,$C$9:H827,6,FALSE),"")</f>
        <v/>
      </c>
      <c r="I828" s="61"/>
      <c r="J828" s="61"/>
      <c r="K828" s="61"/>
      <c r="L828" s="61"/>
      <c r="N828" s="46" t="e">
        <f t="shared" si="38"/>
        <v>#DIV/0!</v>
      </c>
      <c r="O828" s="46" t="str">
        <f t="shared" si="39"/>
        <v/>
      </c>
      <c r="P828" s="46">
        <f t="shared" si="40"/>
        <v>1</v>
      </c>
      <c r="Q828" s="46"/>
      <c r="R828" s="45"/>
      <c r="S828" s="45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</row>
    <row r="829" spans="1:31" ht="14.25">
      <c r="A829" s="67"/>
      <c r="B829" s="68"/>
      <c r="C829" s="67"/>
      <c r="D829" s="75"/>
      <c r="E829" s="76" t="str">
        <f>IFERROR(VLOOKUP(C829,$C$9:E828,3,0),"")</f>
        <v/>
      </c>
      <c r="F829" s="57" t="str">
        <f>IFERROR(VLOOKUP(C829,$C$9:H828,4,FALSE),"")</f>
        <v/>
      </c>
      <c r="G829" s="61" t="str">
        <f>IFERROR(VLOOKUP(C829,$C$9:G828,5,FALSE),"")</f>
        <v/>
      </c>
      <c r="H829" s="61" t="str">
        <f>IFERROR(VLOOKUP(C829,$C$9:H828,6,FALSE),"")</f>
        <v/>
      </c>
      <c r="I829" s="61"/>
      <c r="J829" s="61"/>
      <c r="K829" s="61"/>
      <c r="L829" s="61"/>
      <c r="N829" s="46" t="e">
        <f t="shared" si="38"/>
        <v>#DIV/0!</v>
      </c>
      <c r="O829" s="46" t="str">
        <f t="shared" si="39"/>
        <v/>
      </c>
      <c r="P829" s="46">
        <f t="shared" si="40"/>
        <v>1</v>
      </c>
      <c r="Q829" s="46"/>
      <c r="R829" s="45"/>
      <c r="S829" s="45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</row>
    <row r="830" spans="1:31" ht="14.25">
      <c r="A830" s="67"/>
      <c r="B830" s="68"/>
      <c r="C830" s="67"/>
      <c r="D830" s="75"/>
      <c r="E830" s="76" t="str">
        <f>IFERROR(VLOOKUP(C830,$C$9:E829,3,0),"")</f>
        <v/>
      </c>
      <c r="F830" s="57" t="str">
        <f>IFERROR(VLOOKUP(C830,$C$9:H829,4,FALSE),"")</f>
        <v/>
      </c>
      <c r="G830" s="61" t="str">
        <f>IFERROR(VLOOKUP(C830,$C$9:G829,5,FALSE),"")</f>
        <v/>
      </c>
      <c r="H830" s="61" t="str">
        <f>IFERROR(VLOOKUP(C830,$C$9:H829,6,FALSE),"")</f>
        <v/>
      </c>
      <c r="I830" s="61"/>
      <c r="J830" s="61"/>
      <c r="K830" s="61"/>
      <c r="L830" s="61"/>
      <c r="N830" s="46" t="e">
        <f t="shared" si="38"/>
        <v>#DIV/0!</v>
      </c>
      <c r="O830" s="46" t="str">
        <f t="shared" si="39"/>
        <v/>
      </c>
      <c r="P830" s="46">
        <f t="shared" si="40"/>
        <v>1</v>
      </c>
      <c r="Q830" s="46"/>
      <c r="R830" s="45"/>
      <c r="S830" s="45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</row>
    <row r="831" spans="1:31" ht="14.25">
      <c r="A831" s="67"/>
      <c r="B831" s="68"/>
      <c r="C831" s="67"/>
      <c r="D831" s="75"/>
      <c r="E831" s="76" t="str">
        <f>IFERROR(VLOOKUP(C831,$C$9:E830,3,0),"")</f>
        <v/>
      </c>
      <c r="F831" s="57" t="str">
        <f>IFERROR(VLOOKUP(C831,$C$9:H830,4,FALSE),"")</f>
        <v/>
      </c>
      <c r="G831" s="61" t="str">
        <f>IFERROR(VLOOKUP(C831,$C$9:G830,5,FALSE),"")</f>
        <v/>
      </c>
      <c r="H831" s="61" t="str">
        <f>IFERROR(VLOOKUP(C831,$C$9:H830,6,FALSE),"")</f>
        <v/>
      </c>
      <c r="I831" s="61"/>
      <c r="J831" s="61"/>
      <c r="K831" s="61"/>
      <c r="L831" s="61"/>
      <c r="N831" s="46" t="e">
        <f t="shared" si="38"/>
        <v>#DIV/0!</v>
      </c>
      <c r="O831" s="46" t="str">
        <f t="shared" si="39"/>
        <v/>
      </c>
      <c r="P831" s="46">
        <f t="shared" si="40"/>
        <v>1</v>
      </c>
      <c r="Q831" s="46"/>
      <c r="R831" s="45"/>
      <c r="S831" s="45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</row>
    <row r="832" spans="1:31" ht="14.25">
      <c r="A832" s="67"/>
      <c r="B832" s="68"/>
      <c r="C832" s="67"/>
      <c r="D832" s="75"/>
      <c r="E832" s="76" t="str">
        <f>IFERROR(VLOOKUP(C832,$C$9:E831,3,0),"")</f>
        <v/>
      </c>
      <c r="F832" s="57" t="str">
        <f>IFERROR(VLOOKUP(C832,$C$9:H831,4,FALSE),"")</f>
        <v/>
      </c>
      <c r="G832" s="61" t="str">
        <f>IFERROR(VLOOKUP(C832,$C$9:G831,5,FALSE),"")</f>
        <v/>
      </c>
      <c r="H832" s="61" t="str">
        <f>IFERROR(VLOOKUP(C832,$C$9:H831,6,FALSE),"")</f>
        <v/>
      </c>
      <c r="I832" s="61"/>
      <c r="J832" s="61"/>
      <c r="K832" s="61"/>
      <c r="L832" s="61"/>
      <c r="N832" s="46" t="e">
        <f t="shared" si="38"/>
        <v>#DIV/0!</v>
      </c>
      <c r="O832" s="46" t="str">
        <f t="shared" si="39"/>
        <v/>
      </c>
      <c r="P832" s="46">
        <f t="shared" si="40"/>
        <v>1</v>
      </c>
      <c r="Q832" s="46"/>
      <c r="R832" s="45"/>
      <c r="S832" s="45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</row>
    <row r="833" spans="1:31" ht="14.25">
      <c r="A833" s="67"/>
      <c r="B833" s="68"/>
      <c r="C833" s="67"/>
      <c r="D833" s="75"/>
      <c r="E833" s="76" t="str">
        <f>IFERROR(VLOOKUP(C833,$C$9:E832,3,0),"")</f>
        <v/>
      </c>
      <c r="F833" s="57" t="str">
        <f>IFERROR(VLOOKUP(C833,$C$9:H832,4,FALSE),"")</f>
        <v/>
      </c>
      <c r="G833" s="61" t="str">
        <f>IFERROR(VLOOKUP(C833,$C$9:G832,5,FALSE),"")</f>
        <v/>
      </c>
      <c r="H833" s="61" t="str">
        <f>IFERROR(VLOOKUP(C833,$C$9:H832,6,FALSE),"")</f>
        <v/>
      </c>
      <c r="I833" s="61"/>
      <c r="J833" s="61"/>
      <c r="K833" s="61"/>
      <c r="L833" s="61"/>
      <c r="N833" s="46" t="e">
        <f t="shared" si="38"/>
        <v>#DIV/0!</v>
      </c>
      <c r="O833" s="46" t="str">
        <f t="shared" si="39"/>
        <v/>
      </c>
      <c r="P833" s="46">
        <f t="shared" si="40"/>
        <v>1</v>
      </c>
      <c r="Q833" s="46"/>
      <c r="R833" s="45"/>
      <c r="S833" s="45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</row>
    <row r="834" spans="1:31" ht="14.25">
      <c r="A834" s="67"/>
      <c r="B834" s="78"/>
      <c r="C834" s="77"/>
      <c r="D834" s="75"/>
      <c r="E834" s="76" t="str">
        <f>IFERROR(VLOOKUP(C834,$C$9:E833,3,0),"")</f>
        <v/>
      </c>
      <c r="F834" s="57" t="str">
        <f>IFERROR(VLOOKUP(C834,$C$9:H833,4,FALSE),"")</f>
        <v/>
      </c>
      <c r="G834" s="61" t="str">
        <f>IFERROR(VLOOKUP(C834,$C$9:G833,5,FALSE),"")</f>
        <v/>
      </c>
      <c r="H834" s="61" t="str">
        <f>IFERROR(VLOOKUP(C834,$C$9:H833,6,FALSE),"")</f>
        <v/>
      </c>
      <c r="I834" s="61"/>
      <c r="J834" s="61"/>
      <c r="K834" s="61"/>
      <c r="L834" s="61"/>
      <c r="N834" s="46" t="e">
        <f t="shared" si="38"/>
        <v>#DIV/0!</v>
      </c>
      <c r="O834" s="46" t="str">
        <f t="shared" si="39"/>
        <v/>
      </c>
      <c r="P834" s="46">
        <f t="shared" si="40"/>
        <v>1</v>
      </c>
      <c r="Q834" s="46"/>
      <c r="R834" s="45"/>
      <c r="S834" s="45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</row>
    <row r="835" spans="1:31" ht="14.25">
      <c r="A835" s="67"/>
      <c r="B835" s="68"/>
      <c r="C835" s="67"/>
      <c r="D835" s="75"/>
      <c r="E835" s="76" t="str">
        <f>IFERROR(VLOOKUP(C835,$C$9:E834,3,0),"")</f>
        <v/>
      </c>
      <c r="F835" s="57" t="str">
        <f>IFERROR(VLOOKUP(C835,$C$9:H834,4,FALSE),"")</f>
        <v/>
      </c>
      <c r="G835" s="61" t="str">
        <f>IFERROR(VLOOKUP(C835,$C$9:G834,5,FALSE),"")</f>
        <v/>
      </c>
      <c r="H835" s="61" t="str">
        <f>IFERROR(VLOOKUP(C835,$C$9:H834,6,FALSE),"")</f>
        <v/>
      </c>
      <c r="I835" s="61"/>
      <c r="J835" s="61"/>
      <c r="K835" s="61"/>
      <c r="L835" s="61"/>
      <c r="N835" s="46" t="e">
        <f t="shared" si="38"/>
        <v>#DIV/0!</v>
      </c>
      <c r="O835" s="46" t="str">
        <f t="shared" si="39"/>
        <v/>
      </c>
      <c r="P835" s="46">
        <f t="shared" si="40"/>
        <v>1</v>
      </c>
      <c r="Q835" s="46"/>
      <c r="R835" s="45"/>
      <c r="S835" s="45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</row>
    <row r="836" spans="1:31" ht="14.25">
      <c r="A836" s="67"/>
      <c r="B836" s="68"/>
      <c r="C836" s="67"/>
      <c r="D836" s="75"/>
      <c r="E836" s="76" t="str">
        <f>IFERROR(VLOOKUP(C836,$C$9:E835,3,0),"")</f>
        <v/>
      </c>
      <c r="F836" s="57" t="str">
        <f>IFERROR(VLOOKUP(C836,$C$9:H835,4,FALSE),"")</f>
        <v/>
      </c>
      <c r="G836" s="61" t="str">
        <f>IFERROR(VLOOKUP(C836,$C$9:G835,5,FALSE),"")</f>
        <v/>
      </c>
      <c r="H836" s="61" t="str">
        <f>IFERROR(VLOOKUP(C836,$C$9:H835,6,FALSE),"")</f>
        <v/>
      </c>
      <c r="I836" s="61"/>
      <c r="J836" s="61"/>
      <c r="K836" s="61"/>
      <c r="L836" s="61"/>
      <c r="N836" s="46" t="e">
        <f t="shared" si="38"/>
        <v>#DIV/0!</v>
      </c>
      <c r="O836" s="46" t="str">
        <f t="shared" si="39"/>
        <v/>
      </c>
      <c r="P836" s="46">
        <f t="shared" si="40"/>
        <v>1</v>
      </c>
      <c r="Q836" s="46"/>
      <c r="R836" s="45"/>
      <c r="S836" s="45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</row>
    <row r="837" spans="1:31" ht="14.25">
      <c r="A837" s="67"/>
      <c r="B837" s="68"/>
      <c r="C837" s="67"/>
      <c r="D837" s="75"/>
      <c r="E837" s="76" t="str">
        <f>IFERROR(VLOOKUP(C837,$C$9:E836,3,0),"")</f>
        <v/>
      </c>
      <c r="F837" s="57" t="str">
        <f>IFERROR(VLOOKUP(C837,$C$9:H836,4,FALSE),"")</f>
        <v/>
      </c>
      <c r="G837" s="61" t="str">
        <f>IFERROR(VLOOKUP(C837,$C$9:G836,5,FALSE),"")</f>
        <v/>
      </c>
      <c r="H837" s="61" t="str">
        <f>IFERROR(VLOOKUP(C837,$C$9:H836,6,FALSE),"")</f>
        <v/>
      </c>
      <c r="I837" s="61"/>
      <c r="J837" s="61"/>
      <c r="K837" s="61"/>
      <c r="L837" s="61"/>
      <c r="N837" s="46" t="e">
        <f t="shared" si="38"/>
        <v>#DIV/0!</v>
      </c>
      <c r="O837" s="46" t="str">
        <f t="shared" si="39"/>
        <v/>
      </c>
      <c r="P837" s="46">
        <f t="shared" si="40"/>
        <v>1</v>
      </c>
      <c r="Q837" s="46"/>
      <c r="R837" s="45"/>
      <c r="S837" s="45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</row>
    <row r="838" spans="1:31" ht="14.25">
      <c r="A838" s="67"/>
      <c r="B838" s="68"/>
      <c r="C838" s="67"/>
      <c r="D838" s="75"/>
      <c r="E838" s="76" t="str">
        <f>IFERROR(VLOOKUP(C838,$C$9:E837,3,0),"")</f>
        <v/>
      </c>
      <c r="F838" s="57" t="str">
        <f>IFERROR(VLOOKUP(C838,$C$9:H837,4,FALSE),"")</f>
        <v/>
      </c>
      <c r="G838" s="61" t="str">
        <f>IFERROR(VLOOKUP(C838,$C$9:G837,5,FALSE),"")</f>
        <v/>
      </c>
      <c r="H838" s="61" t="str">
        <f>IFERROR(VLOOKUP(C838,$C$9:H837,6,FALSE),"")</f>
        <v/>
      </c>
      <c r="I838" s="61"/>
      <c r="J838" s="61"/>
      <c r="K838" s="61"/>
      <c r="L838" s="61"/>
      <c r="N838" s="46" t="e">
        <f t="shared" si="38"/>
        <v>#DIV/0!</v>
      </c>
      <c r="O838" s="46" t="str">
        <f t="shared" si="39"/>
        <v/>
      </c>
      <c r="P838" s="46">
        <f t="shared" si="40"/>
        <v>1</v>
      </c>
      <c r="Q838" s="46"/>
      <c r="R838" s="45"/>
      <c r="S838" s="45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</row>
    <row r="839" spans="1:31" ht="14.25">
      <c r="A839" s="67"/>
      <c r="B839" s="68"/>
      <c r="C839" s="67"/>
      <c r="D839" s="75"/>
      <c r="E839" s="76" t="str">
        <f>IFERROR(VLOOKUP(C839,$C$9:E838,3,0),"")</f>
        <v/>
      </c>
      <c r="F839" s="57" t="str">
        <f>IFERROR(VLOOKUP(C839,$C$9:H838,4,FALSE),"")</f>
        <v/>
      </c>
      <c r="G839" s="61" t="str">
        <f>IFERROR(VLOOKUP(C839,$C$9:G838,5,FALSE),"")</f>
        <v/>
      </c>
      <c r="H839" s="61" t="str">
        <f>IFERROR(VLOOKUP(C839,$C$9:H838,6,FALSE),"")</f>
        <v/>
      </c>
      <c r="I839" s="61"/>
      <c r="J839" s="61"/>
      <c r="K839" s="61"/>
      <c r="L839" s="61"/>
      <c r="N839" s="46" t="e">
        <f t="shared" si="38"/>
        <v>#DIV/0!</v>
      </c>
      <c r="O839" s="46" t="str">
        <f t="shared" si="39"/>
        <v/>
      </c>
      <c r="P839" s="46">
        <f t="shared" si="40"/>
        <v>1</v>
      </c>
      <c r="Q839" s="46"/>
      <c r="R839" s="45"/>
      <c r="S839" s="45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</row>
    <row r="840" spans="1:31" ht="14.25">
      <c r="A840" s="67"/>
      <c r="B840" s="78"/>
      <c r="C840" s="77"/>
      <c r="D840" s="75"/>
      <c r="E840" s="76" t="str">
        <f>IFERROR(VLOOKUP(C840,$C$9:E839,3,0),"")</f>
        <v/>
      </c>
      <c r="F840" s="57" t="str">
        <f>IFERROR(VLOOKUP(C840,$C$9:H839,4,FALSE),"")</f>
        <v/>
      </c>
      <c r="G840" s="61" t="str">
        <f>IFERROR(VLOOKUP(C840,$C$9:G839,5,FALSE),"")</f>
        <v/>
      </c>
      <c r="H840" s="61" t="str">
        <f>IFERROR(VLOOKUP(C840,$C$9:H839,6,FALSE),"")</f>
        <v/>
      </c>
      <c r="I840" s="61"/>
      <c r="J840" s="61"/>
      <c r="K840" s="61"/>
      <c r="L840" s="61"/>
      <c r="N840" s="46" t="e">
        <f t="shared" si="38"/>
        <v>#DIV/0!</v>
      </c>
      <c r="O840" s="46" t="str">
        <f t="shared" si="39"/>
        <v/>
      </c>
      <c r="P840" s="46">
        <f t="shared" si="40"/>
        <v>1</v>
      </c>
      <c r="Q840" s="46"/>
      <c r="R840" s="45"/>
      <c r="S840" s="45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</row>
    <row r="841" spans="1:31" ht="14.25">
      <c r="A841" s="67"/>
      <c r="B841" s="68"/>
      <c r="C841" s="67"/>
      <c r="D841" s="75"/>
      <c r="E841" s="76" t="str">
        <f>IFERROR(VLOOKUP(C841,$C$9:E840,3,0),"")</f>
        <v/>
      </c>
      <c r="F841" s="57" t="str">
        <f>IFERROR(VLOOKUP(C841,$C$9:H840,4,FALSE),"")</f>
        <v/>
      </c>
      <c r="G841" s="61" t="str">
        <f>IFERROR(VLOOKUP(C841,$C$9:G840,5,FALSE),"")</f>
        <v/>
      </c>
      <c r="H841" s="61" t="str">
        <f>IFERROR(VLOOKUP(C841,$C$9:H840,6,FALSE),"")</f>
        <v/>
      </c>
      <c r="I841" s="61"/>
      <c r="J841" s="61"/>
      <c r="K841" s="61"/>
      <c r="L841" s="61"/>
      <c r="N841" s="46" t="e">
        <f t="shared" si="38"/>
        <v>#DIV/0!</v>
      </c>
      <c r="O841" s="46" t="str">
        <f t="shared" si="39"/>
        <v/>
      </c>
      <c r="P841" s="46">
        <f t="shared" si="40"/>
        <v>1</v>
      </c>
      <c r="Q841" s="46"/>
      <c r="R841" s="45"/>
      <c r="S841" s="45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</row>
    <row r="842" spans="1:31" ht="14.25">
      <c r="A842" s="67"/>
      <c r="B842" s="68"/>
      <c r="C842" s="67"/>
      <c r="D842" s="75"/>
      <c r="E842" s="76" t="str">
        <f>IFERROR(VLOOKUP(C842,$C$9:E841,3,0),"")</f>
        <v/>
      </c>
      <c r="F842" s="57" t="str">
        <f>IFERROR(VLOOKUP(C842,$C$9:H841,4,FALSE),"")</f>
        <v/>
      </c>
      <c r="G842" s="61" t="str">
        <f>IFERROR(VLOOKUP(C842,$C$9:G841,5,FALSE),"")</f>
        <v/>
      </c>
      <c r="H842" s="61" t="str">
        <f>IFERROR(VLOOKUP(C842,$C$9:H841,6,FALSE),"")</f>
        <v/>
      </c>
      <c r="I842" s="61"/>
      <c r="J842" s="61"/>
      <c r="K842" s="61"/>
      <c r="L842" s="61"/>
      <c r="N842" s="46" t="e">
        <f t="shared" ref="N842:N905" si="41">IF(OR(F842=$P$1,F842="",F842=0),D842/$B$2,IF(OR(F842=$P$2,F842=$P$3,F842=$P$4),D842/(O842*P842),D842/O842))</f>
        <v>#DIV/0!</v>
      </c>
      <c r="O842" s="46" t="str">
        <f t="shared" ref="O842:O905" si="42">IFERROR(VLOOKUP(F842,$P$1:$Q$4,2,0),F842)</f>
        <v/>
      </c>
      <c r="P842" s="46">
        <f t="shared" si="40"/>
        <v>1</v>
      </c>
      <c r="Q842" s="46"/>
      <c r="R842" s="45"/>
      <c r="S842" s="45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</row>
    <row r="843" spans="1:31" ht="14.25">
      <c r="A843" s="67"/>
      <c r="B843" s="68"/>
      <c r="C843" s="67"/>
      <c r="D843" s="75"/>
      <c r="E843" s="76" t="str">
        <f>IFERROR(VLOOKUP(C843,$C$9:E842,3,0),"")</f>
        <v/>
      </c>
      <c r="F843" s="57" t="str">
        <f>IFERROR(VLOOKUP(C843,$C$9:H842,4,FALSE),"")</f>
        <v/>
      </c>
      <c r="G843" s="61" t="str">
        <f>IFERROR(VLOOKUP(C843,$C$9:G842,5,FALSE),"")</f>
        <v/>
      </c>
      <c r="H843" s="61" t="str">
        <f>IFERROR(VLOOKUP(C843,$C$9:H842,6,FALSE),"")</f>
        <v/>
      </c>
      <c r="I843" s="61"/>
      <c r="J843" s="61"/>
      <c r="K843" s="61"/>
      <c r="L843" s="61"/>
      <c r="N843" s="46" t="e">
        <f t="shared" si="41"/>
        <v>#DIV/0!</v>
      </c>
      <c r="O843" s="46" t="str">
        <f t="shared" si="42"/>
        <v/>
      </c>
      <c r="P843" s="46">
        <f t="shared" ref="P843:P906" si="43">IF(C843="",1,COUNTIFS($C$9:$C$1499,C843,$H$9:$H$1499,H843))</f>
        <v>1</v>
      </c>
      <c r="Q843" s="46"/>
      <c r="R843" s="45"/>
      <c r="S843" s="45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</row>
    <row r="844" spans="1:31" ht="14.25">
      <c r="A844" s="67"/>
      <c r="B844" s="68"/>
      <c r="C844" s="67"/>
      <c r="D844" s="75"/>
      <c r="E844" s="76" t="str">
        <f>IFERROR(VLOOKUP(C844,$C$9:E843,3,0),"")</f>
        <v/>
      </c>
      <c r="F844" s="57" t="str">
        <f>IFERROR(VLOOKUP(C844,$C$9:H843,4,FALSE),"")</f>
        <v/>
      </c>
      <c r="G844" s="61" t="str">
        <f>IFERROR(VLOOKUP(C844,$C$9:G843,5,FALSE),"")</f>
        <v/>
      </c>
      <c r="H844" s="61" t="str">
        <f>IFERROR(VLOOKUP(C844,$C$9:H843,6,FALSE),"")</f>
        <v/>
      </c>
      <c r="I844" s="61"/>
      <c r="J844" s="61"/>
      <c r="K844" s="61"/>
      <c r="L844" s="61"/>
      <c r="N844" s="46" t="e">
        <f t="shared" si="41"/>
        <v>#DIV/0!</v>
      </c>
      <c r="O844" s="46" t="str">
        <f t="shared" si="42"/>
        <v/>
      </c>
      <c r="P844" s="46">
        <f t="shared" si="43"/>
        <v>1</v>
      </c>
      <c r="Q844" s="46"/>
      <c r="R844" s="45"/>
      <c r="S844" s="45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</row>
    <row r="845" spans="1:31" ht="14.25">
      <c r="A845" s="67"/>
      <c r="B845" s="78"/>
      <c r="C845" s="77"/>
      <c r="D845" s="75"/>
      <c r="E845" s="76" t="str">
        <f>IFERROR(VLOOKUP(C845,$C$9:E844,3,0),"")</f>
        <v/>
      </c>
      <c r="F845" s="57" t="str">
        <f>IFERROR(VLOOKUP(C845,$C$9:H844,4,FALSE),"")</f>
        <v/>
      </c>
      <c r="G845" s="61" t="str">
        <f>IFERROR(VLOOKUP(C845,$C$9:G844,5,FALSE),"")</f>
        <v/>
      </c>
      <c r="H845" s="61" t="str">
        <f>IFERROR(VLOOKUP(C845,$C$9:H844,6,FALSE),"")</f>
        <v/>
      </c>
      <c r="I845" s="61"/>
      <c r="J845" s="61"/>
      <c r="K845" s="61"/>
      <c r="L845" s="61"/>
      <c r="N845" s="46" t="e">
        <f t="shared" si="41"/>
        <v>#DIV/0!</v>
      </c>
      <c r="O845" s="46" t="str">
        <f t="shared" si="42"/>
        <v/>
      </c>
      <c r="P845" s="46">
        <f t="shared" si="43"/>
        <v>1</v>
      </c>
      <c r="Q845" s="46"/>
      <c r="R845" s="45"/>
      <c r="S845" s="45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</row>
    <row r="846" spans="1:31" ht="14.25">
      <c r="A846" s="67"/>
      <c r="B846" s="68"/>
      <c r="C846" s="67"/>
      <c r="D846" s="75"/>
      <c r="E846" s="76" t="str">
        <f>IFERROR(VLOOKUP(C846,$C$9:E845,3,0),"")</f>
        <v/>
      </c>
      <c r="F846" s="57" t="str">
        <f>IFERROR(VLOOKUP(C846,$C$9:H845,4,FALSE),"")</f>
        <v/>
      </c>
      <c r="G846" s="61" t="str">
        <f>IFERROR(VLOOKUP(C846,$C$9:G845,5,FALSE),"")</f>
        <v/>
      </c>
      <c r="H846" s="61" t="str">
        <f>IFERROR(VLOOKUP(C846,$C$9:H845,6,FALSE),"")</f>
        <v/>
      </c>
      <c r="I846" s="61"/>
      <c r="J846" s="61"/>
      <c r="K846" s="61"/>
      <c r="L846" s="61"/>
      <c r="N846" s="46" t="e">
        <f t="shared" si="41"/>
        <v>#DIV/0!</v>
      </c>
      <c r="O846" s="46" t="str">
        <f t="shared" si="42"/>
        <v/>
      </c>
      <c r="P846" s="46">
        <f t="shared" si="43"/>
        <v>1</v>
      </c>
      <c r="Q846" s="46"/>
      <c r="R846" s="45"/>
      <c r="S846" s="45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</row>
    <row r="847" spans="1:31" ht="14.25">
      <c r="A847" s="67"/>
      <c r="B847" s="71"/>
      <c r="C847" s="67"/>
      <c r="D847" s="75"/>
      <c r="E847" s="76" t="str">
        <f>IFERROR(VLOOKUP(C847,$C$9:E846,3,0),"")</f>
        <v/>
      </c>
      <c r="F847" s="57" t="str">
        <f>IFERROR(VLOOKUP(C847,$C$9:H846,4,FALSE),"")</f>
        <v/>
      </c>
      <c r="G847" s="61" t="str">
        <f>IFERROR(VLOOKUP(C847,$C$9:G846,5,FALSE),"")</f>
        <v/>
      </c>
      <c r="H847" s="61" t="str">
        <f>IFERROR(VLOOKUP(C847,$C$9:H846,6,FALSE),"")</f>
        <v/>
      </c>
      <c r="I847" s="61"/>
      <c r="J847" s="61"/>
      <c r="K847" s="61"/>
      <c r="L847" s="61"/>
      <c r="N847" s="46" t="e">
        <f t="shared" si="41"/>
        <v>#DIV/0!</v>
      </c>
      <c r="O847" s="46" t="str">
        <f t="shared" si="42"/>
        <v/>
      </c>
      <c r="P847" s="46">
        <f t="shared" si="43"/>
        <v>1</v>
      </c>
      <c r="Q847" s="46"/>
      <c r="R847" s="45"/>
      <c r="S847" s="45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</row>
    <row r="848" spans="1:31" ht="14.25">
      <c r="A848" s="67"/>
      <c r="B848" s="68"/>
      <c r="C848" s="67"/>
      <c r="D848" s="75"/>
      <c r="E848" s="76" t="str">
        <f>IFERROR(VLOOKUP(C848,$C$9:E847,3,0),"")</f>
        <v/>
      </c>
      <c r="F848" s="57" t="str">
        <f>IFERROR(VLOOKUP(C848,$C$9:H847,4,FALSE),"")</f>
        <v/>
      </c>
      <c r="G848" s="61" t="str">
        <f>IFERROR(VLOOKUP(C848,$C$9:G847,5,FALSE),"")</f>
        <v/>
      </c>
      <c r="H848" s="61" t="str">
        <f>IFERROR(VLOOKUP(C848,$C$9:H847,6,FALSE),"")</f>
        <v/>
      </c>
      <c r="I848" s="61"/>
      <c r="J848" s="61"/>
      <c r="K848" s="61"/>
      <c r="L848" s="61"/>
      <c r="N848" s="46" t="e">
        <f t="shared" si="41"/>
        <v>#DIV/0!</v>
      </c>
      <c r="O848" s="46" t="str">
        <f t="shared" si="42"/>
        <v/>
      </c>
      <c r="P848" s="46">
        <f t="shared" si="43"/>
        <v>1</v>
      </c>
      <c r="Q848" s="46"/>
      <c r="R848" s="45"/>
      <c r="S848" s="45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</row>
    <row r="849" spans="1:31" ht="14.25">
      <c r="A849" s="67"/>
      <c r="B849" s="68"/>
      <c r="C849" s="67"/>
      <c r="D849" s="75"/>
      <c r="E849" s="76" t="str">
        <f>IFERROR(VLOOKUP(C849,$C$9:E848,3,0),"")</f>
        <v/>
      </c>
      <c r="F849" s="57" t="str">
        <f>IFERROR(VLOOKUP(C849,$C$9:H848,4,FALSE),"")</f>
        <v/>
      </c>
      <c r="G849" s="61" t="str">
        <f>IFERROR(VLOOKUP(C849,$C$9:G848,5,FALSE),"")</f>
        <v/>
      </c>
      <c r="H849" s="61" t="str">
        <f>IFERROR(VLOOKUP(C849,$C$9:H848,6,FALSE),"")</f>
        <v/>
      </c>
      <c r="I849" s="61"/>
      <c r="J849" s="61"/>
      <c r="K849" s="61"/>
      <c r="L849" s="61"/>
      <c r="N849" s="46" t="e">
        <f t="shared" si="41"/>
        <v>#DIV/0!</v>
      </c>
      <c r="O849" s="46" t="str">
        <f t="shared" si="42"/>
        <v/>
      </c>
      <c r="P849" s="46">
        <f t="shared" si="43"/>
        <v>1</v>
      </c>
      <c r="Q849" s="46"/>
      <c r="R849" s="45"/>
      <c r="S849" s="45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</row>
    <row r="850" spans="1:31" ht="14.25">
      <c r="A850" s="67"/>
      <c r="B850" s="71"/>
      <c r="C850" s="67"/>
      <c r="D850" s="75"/>
      <c r="E850" s="76" t="str">
        <f>IFERROR(VLOOKUP(C850,$C$9:E849,3,0),"")</f>
        <v/>
      </c>
      <c r="F850" s="57" t="str">
        <f>IFERROR(VLOOKUP(C850,$C$9:H849,4,FALSE),"")</f>
        <v/>
      </c>
      <c r="G850" s="61" t="str">
        <f>IFERROR(VLOOKUP(C850,$C$9:G849,5,FALSE),"")</f>
        <v/>
      </c>
      <c r="H850" s="61" t="str">
        <f>IFERROR(VLOOKUP(C850,$C$9:H849,6,FALSE),"")</f>
        <v/>
      </c>
      <c r="I850" s="61"/>
      <c r="J850" s="61"/>
      <c r="K850" s="61"/>
      <c r="L850" s="61"/>
      <c r="N850" s="46" t="e">
        <f t="shared" si="41"/>
        <v>#DIV/0!</v>
      </c>
      <c r="O850" s="46" t="str">
        <f t="shared" si="42"/>
        <v/>
      </c>
      <c r="P850" s="46">
        <f t="shared" si="43"/>
        <v>1</v>
      </c>
      <c r="Q850" s="46"/>
      <c r="R850" s="45"/>
      <c r="S850" s="45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</row>
    <row r="851" spans="1:31" ht="14.25">
      <c r="A851" s="67"/>
      <c r="B851" s="68"/>
      <c r="C851" s="67"/>
      <c r="D851" s="75"/>
      <c r="E851" s="76" t="str">
        <f>IFERROR(VLOOKUP(C851,$C$9:E850,3,0),"")</f>
        <v/>
      </c>
      <c r="F851" s="57" t="str">
        <f>IFERROR(VLOOKUP(C851,$C$9:H850,4,FALSE),"")</f>
        <v/>
      </c>
      <c r="G851" s="61" t="str">
        <f>IFERROR(VLOOKUP(C851,$C$9:G850,5,FALSE),"")</f>
        <v/>
      </c>
      <c r="H851" s="61" t="str">
        <f>IFERROR(VLOOKUP(C851,$C$9:H850,6,FALSE),"")</f>
        <v/>
      </c>
      <c r="I851" s="61"/>
      <c r="J851" s="61"/>
      <c r="K851" s="61"/>
      <c r="L851" s="61"/>
      <c r="N851" s="46" t="e">
        <f t="shared" si="41"/>
        <v>#DIV/0!</v>
      </c>
      <c r="O851" s="46" t="str">
        <f t="shared" si="42"/>
        <v/>
      </c>
      <c r="P851" s="46">
        <f t="shared" si="43"/>
        <v>1</v>
      </c>
      <c r="Q851" s="46"/>
      <c r="R851" s="45"/>
      <c r="S851" s="45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</row>
    <row r="852" spans="1:31" ht="14.25">
      <c r="A852" s="67"/>
      <c r="B852" s="68"/>
      <c r="C852" s="67"/>
      <c r="D852" s="75"/>
      <c r="E852" s="76" t="str">
        <f>IFERROR(VLOOKUP(C852,$C$9:E851,3,0),"")</f>
        <v/>
      </c>
      <c r="F852" s="57" t="str">
        <f>IFERROR(VLOOKUP(C852,$C$9:H851,4,FALSE),"")</f>
        <v/>
      </c>
      <c r="G852" s="61" t="str">
        <f>IFERROR(VLOOKUP(C852,$C$9:G851,5,FALSE),"")</f>
        <v/>
      </c>
      <c r="H852" s="61" t="str">
        <f>IFERROR(VLOOKUP(C852,$C$9:H851,6,FALSE),"")</f>
        <v/>
      </c>
      <c r="I852" s="61"/>
      <c r="J852" s="61"/>
      <c r="K852" s="61"/>
      <c r="L852" s="61"/>
      <c r="N852" s="46" t="e">
        <f t="shared" si="41"/>
        <v>#DIV/0!</v>
      </c>
      <c r="O852" s="46" t="str">
        <f t="shared" si="42"/>
        <v/>
      </c>
      <c r="P852" s="46">
        <f t="shared" si="43"/>
        <v>1</v>
      </c>
      <c r="Q852" s="46"/>
      <c r="R852" s="45"/>
      <c r="S852" s="45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</row>
    <row r="853" spans="1:31" ht="14.25">
      <c r="A853" s="67"/>
      <c r="B853" s="68"/>
      <c r="C853" s="67"/>
      <c r="D853" s="75"/>
      <c r="E853" s="76" t="str">
        <f>IFERROR(VLOOKUP(C853,$C$9:E852,3,0),"")</f>
        <v/>
      </c>
      <c r="F853" s="57" t="str">
        <f>IFERROR(VLOOKUP(C853,$C$9:H852,4,FALSE),"")</f>
        <v/>
      </c>
      <c r="G853" s="61" t="str">
        <f>IFERROR(VLOOKUP(C853,$C$9:G852,5,FALSE),"")</f>
        <v/>
      </c>
      <c r="H853" s="61" t="str">
        <f>IFERROR(VLOOKUP(C853,$C$9:H852,6,FALSE),"")</f>
        <v/>
      </c>
      <c r="I853" s="61"/>
      <c r="J853" s="61"/>
      <c r="K853" s="61"/>
      <c r="L853" s="61"/>
      <c r="N853" s="46" t="e">
        <f t="shared" si="41"/>
        <v>#DIV/0!</v>
      </c>
      <c r="O853" s="46" t="str">
        <f t="shared" si="42"/>
        <v/>
      </c>
      <c r="P853" s="46">
        <f t="shared" si="43"/>
        <v>1</v>
      </c>
      <c r="Q853" s="46"/>
      <c r="R853" s="45"/>
      <c r="S853" s="45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</row>
    <row r="854" spans="1:31" ht="14.25">
      <c r="A854" s="67"/>
      <c r="B854" s="68"/>
      <c r="C854" s="67"/>
      <c r="D854" s="75"/>
      <c r="E854" s="76" t="str">
        <f>IFERROR(VLOOKUP(C854,$C$9:E853,3,0),"")</f>
        <v/>
      </c>
      <c r="F854" s="57" t="str">
        <f>IFERROR(VLOOKUP(C854,$C$9:H853,4,FALSE),"")</f>
        <v/>
      </c>
      <c r="G854" s="61" t="str">
        <f>IFERROR(VLOOKUP(C854,$C$9:G853,5,FALSE),"")</f>
        <v/>
      </c>
      <c r="H854" s="61" t="str">
        <f>IFERROR(VLOOKUP(C854,$C$9:H853,6,FALSE),"")</f>
        <v/>
      </c>
      <c r="I854" s="61"/>
      <c r="J854" s="61"/>
      <c r="K854" s="61"/>
      <c r="L854" s="61"/>
      <c r="N854" s="46" t="e">
        <f t="shared" si="41"/>
        <v>#DIV/0!</v>
      </c>
      <c r="O854" s="46" t="str">
        <f t="shared" si="42"/>
        <v/>
      </c>
      <c r="P854" s="46">
        <f t="shared" si="43"/>
        <v>1</v>
      </c>
      <c r="Q854" s="46"/>
      <c r="R854" s="45"/>
      <c r="S854" s="45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</row>
    <row r="855" spans="1:31" ht="14.25">
      <c r="A855" s="67"/>
      <c r="B855" s="68"/>
      <c r="C855" s="67"/>
      <c r="D855" s="75"/>
      <c r="E855" s="76" t="str">
        <f>IFERROR(VLOOKUP(C855,$C$9:E854,3,0),"")</f>
        <v/>
      </c>
      <c r="F855" s="57" t="str">
        <f>IFERROR(VLOOKUP(C855,$C$9:H854,4,FALSE),"")</f>
        <v/>
      </c>
      <c r="G855" s="61" t="str">
        <f>IFERROR(VLOOKUP(C855,$C$9:G854,5,FALSE),"")</f>
        <v/>
      </c>
      <c r="H855" s="61" t="str">
        <f>IFERROR(VLOOKUP(C855,$C$9:H854,6,FALSE),"")</f>
        <v/>
      </c>
      <c r="I855" s="61"/>
      <c r="J855" s="61"/>
      <c r="K855" s="61"/>
      <c r="L855" s="61"/>
      <c r="N855" s="46" t="e">
        <f t="shared" si="41"/>
        <v>#DIV/0!</v>
      </c>
      <c r="O855" s="46" t="str">
        <f t="shared" si="42"/>
        <v/>
      </c>
      <c r="P855" s="46">
        <f t="shared" si="43"/>
        <v>1</v>
      </c>
      <c r="Q855" s="46"/>
      <c r="R855" s="45"/>
      <c r="S855" s="45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</row>
    <row r="856" spans="1:31" ht="14.25">
      <c r="A856" s="67"/>
      <c r="B856" s="79"/>
      <c r="C856" s="77"/>
      <c r="D856" s="75"/>
      <c r="E856" s="76" t="str">
        <f>IFERROR(VLOOKUP(C856,$C$9:E855,3,0),"")</f>
        <v/>
      </c>
      <c r="F856" s="57" t="str">
        <f>IFERROR(VLOOKUP(C856,$C$9:H855,4,FALSE),"")</f>
        <v/>
      </c>
      <c r="G856" s="61" t="str">
        <f>IFERROR(VLOOKUP(C856,$C$9:G855,5,FALSE),"")</f>
        <v/>
      </c>
      <c r="H856" s="61" t="str">
        <f>IFERROR(VLOOKUP(C856,$C$9:H855,6,FALSE),"")</f>
        <v/>
      </c>
      <c r="I856" s="61"/>
      <c r="J856" s="61"/>
      <c r="K856" s="61"/>
      <c r="L856" s="61"/>
      <c r="N856" s="46" t="e">
        <f t="shared" si="41"/>
        <v>#DIV/0!</v>
      </c>
      <c r="O856" s="46" t="str">
        <f t="shared" si="42"/>
        <v/>
      </c>
      <c r="P856" s="46">
        <f t="shared" si="43"/>
        <v>1</v>
      </c>
      <c r="Q856" s="46"/>
      <c r="R856" s="45"/>
      <c r="S856" s="45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</row>
    <row r="857" spans="1:31" ht="14.25">
      <c r="A857" s="67"/>
      <c r="B857" s="79"/>
      <c r="C857" s="77"/>
      <c r="D857" s="75"/>
      <c r="E857" s="76" t="str">
        <f>IFERROR(VLOOKUP(C857,$C$9:E856,3,0),"")</f>
        <v/>
      </c>
      <c r="F857" s="57" t="str">
        <f>IFERROR(VLOOKUP(C857,$C$9:H856,4,FALSE),"")</f>
        <v/>
      </c>
      <c r="G857" s="61" t="str">
        <f>IFERROR(VLOOKUP(C857,$C$9:G856,5,FALSE),"")</f>
        <v/>
      </c>
      <c r="H857" s="61" t="str">
        <f>IFERROR(VLOOKUP(C857,$C$9:H856,6,FALSE),"")</f>
        <v/>
      </c>
      <c r="I857" s="61"/>
      <c r="J857" s="61"/>
      <c r="K857" s="61"/>
      <c r="L857" s="61"/>
      <c r="N857" s="46" t="e">
        <f t="shared" si="41"/>
        <v>#DIV/0!</v>
      </c>
      <c r="O857" s="46" t="str">
        <f t="shared" si="42"/>
        <v/>
      </c>
      <c r="P857" s="46">
        <f t="shared" si="43"/>
        <v>1</v>
      </c>
      <c r="Q857" s="46"/>
      <c r="R857" s="45"/>
      <c r="S857" s="45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</row>
    <row r="858" spans="1:31" ht="14.25">
      <c r="A858" s="67"/>
      <c r="B858" s="79"/>
      <c r="C858" s="77"/>
      <c r="D858" s="75"/>
      <c r="E858" s="76" t="str">
        <f>IFERROR(VLOOKUP(C858,$C$9:E857,3,0),"")</f>
        <v/>
      </c>
      <c r="F858" s="57" t="str">
        <f>IFERROR(VLOOKUP(C858,$C$9:H857,4,FALSE),"")</f>
        <v/>
      </c>
      <c r="G858" s="61" t="str">
        <f>IFERROR(VLOOKUP(C858,$C$9:G857,5,FALSE),"")</f>
        <v/>
      </c>
      <c r="H858" s="61" t="str">
        <f>IFERROR(VLOOKUP(C858,$C$9:H857,6,FALSE),"")</f>
        <v/>
      </c>
      <c r="I858" s="61"/>
      <c r="J858" s="61"/>
      <c r="K858" s="61"/>
      <c r="L858" s="61"/>
      <c r="N858" s="46" t="e">
        <f t="shared" si="41"/>
        <v>#DIV/0!</v>
      </c>
      <c r="O858" s="46" t="str">
        <f t="shared" si="42"/>
        <v/>
      </c>
      <c r="P858" s="46">
        <f t="shared" si="43"/>
        <v>1</v>
      </c>
      <c r="Q858" s="46"/>
      <c r="R858" s="45"/>
      <c r="S858" s="45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</row>
    <row r="859" spans="1:31" ht="14.25">
      <c r="A859" s="67"/>
      <c r="B859" s="72"/>
      <c r="C859" s="67"/>
      <c r="D859" s="75"/>
      <c r="E859" s="76" t="str">
        <f>IFERROR(VLOOKUP(C859,$C$9:E858,3,0),"")</f>
        <v/>
      </c>
      <c r="F859" s="57" t="str">
        <f>IFERROR(VLOOKUP(C859,$C$9:H858,4,FALSE),"")</f>
        <v/>
      </c>
      <c r="G859" s="61" t="str">
        <f>IFERROR(VLOOKUP(C859,$C$9:G858,5,FALSE),"")</f>
        <v/>
      </c>
      <c r="H859" s="61" t="str">
        <f>IFERROR(VLOOKUP(C859,$C$9:H858,6,FALSE),"")</f>
        <v/>
      </c>
      <c r="I859" s="61"/>
      <c r="J859" s="61"/>
      <c r="K859" s="61"/>
      <c r="L859" s="61"/>
      <c r="N859" s="46" t="e">
        <f t="shared" si="41"/>
        <v>#DIV/0!</v>
      </c>
      <c r="O859" s="46" t="str">
        <f t="shared" si="42"/>
        <v/>
      </c>
      <c r="P859" s="46">
        <f t="shared" si="43"/>
        <v>1</v>
      </c>
      <c r="Q859" s="46"/>
      <c r="R859" s="45"/>
      <c r="S859" s="45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</row>
    <row r="860" spans="1:31" ht="14.25">
      <c r="A860" s="67"/>
      <c r="B860" s="68"/>
      <c r="C860" s="67"/>
      <c r="D860" s="75"/>
      <c r="E860" s="76" t="str">
        <f>IFERROR(VLOOKUP(C860,$C$9:E859,3,0),"")</f>
        <v/>
      </c>
      <c r="F860" s="57" t="str">
        <f>IFERROR(VLOOKUP(C860,$C$9:H859,4,FALSE),"")</f>
        <v/>
      </c>
      <c r="G860" s="61" t="str">
        <f>IFERROR(VLOOKUP(C860,$C$9:G859,5,FALSE),"")</f>
        <v/>
      </c>
      <c r="H860" s="61" t="str">
        <f>IFERROR(VLOOKUP(C860,$C$9:H859,6,FALSE),"")</f>
        <v/>
      </c>
      <c r="I860" s="61"/>
      <c r="J860" s="61"/>
      <c r="K860" s="61"/>
      <c r="L860" s="61"/>
      <c r="N860" s="46" t="e">
        <f t="shared" si="41"/>
        <v>#DIV/0!</v>
      </c>
      <c r="O860" s="46" t="str">
        <f t="shared" si="42"/>
        <v/>
      </c>
      <c r="P860" s="46">
        <f t="shared" si="43"/>
        <v>1</v>
      </c>
      <c r="Q860" s="46"/>
      <c r="R860" s="45"/>
      <c r="S860" s="45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</row>
    <row r="861" spans="1:31" ht="14.25">
      <c r="A861" s="67"/>
      <c r="B861" s="79"/>
      <c r="C861" s="77"/>
      <c r="D861" s="75"/>
      <c r="E861" s="76" t="str">
        <f>IFERROR(VLOOKUP(C861,$C$9:E860,3,0),"")</f>
        <v/>
      </c>
      <c r="F861" s="57" t="str">
        <f>IFERROR(VLOOKUP(C861,$C$9:H860,4,FALSE),"")</f>
        <v/>
      </c>
      <c r="G861" s="61" t="str">
        <f>IFERROR(VLOOKUP(C861,$C$9:G860,5,FALSE),"")</f>
        <v/>
      </c>
      <c r="H861" s="61" t="str">
        <f>IFERROR(VLOOKUP(C861,$C$9:H860,6,FALSE),"")</f>
        <v/>
      </c>
      <c r="I861" s="61"/>
      <c r="J861" s="61"/>
      <c r="K861" s="61"/>
      <c r="L861" s="61"/>
      <c r="N861" s="46" t="e">
        <f t="shared" si="41"/>
        <v>#DIV/0!</v>
      </c>
      <c r="O861" s="46" t="str">
        <f t="shared" si="42"/>
        <v/>
      </c>
      <c r="P861" s="46">
        <f t="shared" si="43"/>
        <v>1</v>
      </c>
      <c r="Q861" s="46"/>
      <c r="R861" s="45"/>
      <c r="S861" s="45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</row>
    <row r="862" spans="1:31" ht="14.25">
      <c r="A862" s="67"/>
      <c r="B862" s="79"/>
      <c r="C862" s="77"/>
      <c r="D862" s="75"/>
      <c r="E862" s="76" t="str">
        <f>IFERROR(VLOOKUP(C862,$C$9:E861,3,0),"")</f>
        <v/>
      </c>
      <c r="F862" s="57" t="str">
        <f>IFERROR(VLOOKUP(C862,$C$9:H861,4,FALSE),"")</f>
        <v/>
      </c>
      <c r="G862" s="61" t="str">
        <f>IFERROR(VLOOKUP(C862,$C$9:G861,5,FALSE),"")</f>
        <v/>
      </c>
      <c r="H862" s="61" t="str">
        <f>IFERROR(VLOOKUP(C862,$C$9:H861,6,FALSE),"")</f>
        <v/>
      </c>
      <c r="I862" s="61"/>
      <c r="J862" s="61"/>
      <c r="K862" s="61"/>
      <c r="L862" s="61"/>
      <c r="N862" s="46" t="e">
        <f t="shared" si="41"/>
        <v>#DIV/0!</v>
      </c>
      <c r="O862" s="46" t="str">
        <f t="shared" si="42"/>
        <v/>
      </c>
      <c r="P862" s="46">
        <f t="shared" si="43"/>
        <v>1</v>
      </c>
      <c r="Q862" s="46"/>
      <c r="R862" s="45"/>
      <c r="S862" s="45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</row>
    <row r="863" spans="1:31" ht="14.25">
      <c r="A863" s="67"/>
      <c r="B863" s="79"/>
      <c r="C863" s="77"/>
      <c r="D863" s="75"/>
      <c r="E863" s="76" t="str">
        <f>IFERROR(VLOOKUP(C863,$C$9:E862,3,0),"")</f>
        <v/>
      </c>
      <c r="F863" s="57" t="str">
        <f>IFERROR(VLOOKUP(C863,$C$9:H862,4,FALSE),"")</f>
        <v/>
      </c>
      <c r="G863" s="61" t="str">
        <f>IFERROR(VLOOKUP(C863,$C$9:G862,5,FALSE),"")</f>
        <v/>
      </c>
      <c r="H863" s="61" t="str">
        <f>IFERROR(VLOOKUP(C863,$C$9:H862,6,FALSE),"")</f>
        <v/>
      </c>
      <c r="I863" s="61"/>
      <c r="J863" s="61"/>
      <c r="K863" s="61"/>
      <c r="L863" s="61"/>
      <c r="N863" s="46" t="e">
        <f t="shared" si="41"/>
        <v>#DIV/0!</v>
      </c>
      <c r="O863" s="46" t="str">
        <f t="shared" si="42"/>
        <v/>
      </c>
      <c r="P863" s="46">
        <f t="shared" si="43"/>
        <v>1</v>
      </c>
      <c r="Q863" s="46"/>
      <c r="R863" s="45"/>
      <c r="S863" s="45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</row>
    <row r="864" spans="1:31" ht="14.25">
      <c r="A864" s="67"/>
      <c r="B864" s="68"/>
      <c r="C864" s="67"/>
      <c r="D864" s="75"/>
      <c r="E864" s="76" t="str">
        <f>IFERROR(VLOOKUP(C864,$C$9:E863,3,0),"")</f>
        <v/>
      </c>
      <c r="F864" s="57" t="str">
        <f>IFERROR(VLOOKUP(C864,$C$9:H863,4,FALSE),"")</f>
        <v/>
      </c>
      <c r="G864" s="61" t="str">
        <f>IFERROR(VLOOKUP(C864,$C$9:G863,5,FALSE),"")</f>
        <v/>
      </c>
      <c r="H864" s="61" t="str">
        <f>IFERROR(VLOOKUP(C864,$C$9:H863,6,FALSE),"")</f>
        <v/>
      </c>
      <c r="I864" s="61"/>
      <c r="J864" s="61"/>
      <c r="K864" s="61"/>
      <c r="L864" s="61"/>
      <c r="N864" s="46" t="e">
        <f t="shared" si="41"/>
        <v>#DIV/0!</v>
      </c>
      <c r="O864" s="46" t="str">
        <f t="shared" si="42"/>
        <v/>
      </c>
      <c r="P864" s="46">
        <f t="shared" si="43"/>
        <v>1</v>
      </c>
      <c r="Q864" s="46"/>
      <c r="R864" s="45"/>
      <c r="S864" s="45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</row>
    <row r="865" spans="1:31" ht="14.25">
      <c r="A865" s="67"/>
      <c r="B865" s="68"/>
      <c r="C865" s="67"/>
      <c r="D865" s="75"/>
      <c r="E865" s="76" t="str">
        <f>IFERROR(VLOOKUP(C865,$C$9:E864,3,0),"")</f>
        <v/>
      </c>
      <c r="F865" s="57" t="str">
        <f>IFERROR(VLOOKUP(C865,$C$9:H864,4,FALSE),"")</f>
        <v/>
      </c>
      <c r="G865" s="61" t="str">
        <f>IFERROR(VLOOKUP(C865,$C$9:G864,5,FALSE),"")</f>
        <v/>
      </c>
      <c r="H865" s="61" t="str">
        <f>IFERROR(VLOOKUP(C865,$C$9:H864,6,FALSE),"")</f>
        <v/>
      </c>
      <c r="I865" s="61"/>
      <c r="J865" s="61"/>
      <c r="K865" s="61"/>
      <c r="L865" s="61"/>
      <c r="N865" s="46" t="e">
        <f t="shared" si="41"/>
        <v>#DIV/0!</v>
      </c>
      <c r="O865" s="46" t="str">
        <f t="shared" si="42"/>
        <v/>
      </c>
      <c r="P865" s="46">
        <f t="shared" si="43"/>
        <v>1</v>
      </c>
      <c r="Q865" s="46"/>
      <c r="R865" s="45"/>
      <c r="S865" s="45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</row>
    <row r="866" spans="1:31" ht="14.25">
      <c r="A866" s="67"/>
      <c r="B866" s="68"/>
      <c r="C866" s="67"/>
      <c r="D866" s="75"/>
      <c r="E866" s="76" t="str">
        <f>IFERROR(VLOOKUP(C866,$C$9:E865,3,0),"")</f>
        <v/>
      </c>
      <c r="F866" s="57" t="str">
        <f>IFERROR(VLOOKUP(C866,$C$9:H865,4,FALSE),"")</f>
        <v/>
      </c>
      <c r="G866" s="61" t="str">
        <f>IFERROR(VLOOKUP(C866,$C$9:G865,5,FALSE),"")</f>
        <v/>
      </c>
      <c r="H866" s="61" t="str">
        <f>IFERROR(VLOOKUP(C866,$C$9:H865,6,FALSE),"")</f>
        <v/>
      </c>
      <c r="I866" s="61"/>
      <c r="J866" s="61"/>
      <c r="K866" s="61"/>
      <c r="L866" s="61"/>
      <c r="N866" s="46" t="e">
        <f t="shared" si="41"/>
        <v>#DIV/0!</v>
      </c>
      <c r="O866" s="46" t="str">
        <f t="shared" si="42"/>
        <v/>
      </c>
      <c r="P866" s="46">
        <f t="shared" si="43"/>
        <v>1</v>
      </c>
      <c r="Q866" s="46"/>
      <c r="R866" s="45"/>
      <c r="S866" s="45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</row>
    <row r="867" spans="1:31" ht="14.25">
      <c r="A867" s="67"/>
      <c r="B867" s="72"/>
      <c r="C867" s="67"/>
      <c r="D867" s="75"/>
      <c r="E867" s="76" t="str">
        <f>IFERROR(VLOOKUP(C867,$C$9:E866,3,0),"")</f>
        <v/>
      </c>
      <c r="F867" s="57" t="str">
        <f>IFERROR(VLOOKUP(C867,$C$9:H866,4,FALSE),"")</f>
        <v/>
      </c>
      <c r="G867" s="61" t="str">
        <f>IFERROR(VLOOKUP(C867,$C$9:G866,5,FALSE),"")</f>
        <v/>
      </c>
      <c r="H867" s="61" t="str">
        <f>IFERROR(VLOOKUP(C867,$C$9:H866,6,FALSE),"")</f>
        <v/>
      </c>
      <c r="I867" s="61"/>
      <c r="J867" s="61"/>
      <c r="K867" s="61"/>
      <c r="L867" s="61"/>
      <c r="N867" s="46" t="e">
        <f t="shared" si="41"/>
        <v>#DIV/0!</v>
      </c>
      <c r="O867" s="46" t="str">
        <f t="shared" si="42"/>
        <v/>
      </c>
      <c r="P867" s="46">
        <f t="shared" si="43"/>
        <v>1</v>
      </c>
      <c r="Q867" s="46"/>
      <c r="R867" s="45"/>
      <c r="S867" s="45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</row>
    <row r="868" spans="1:31" ht="14.25">
      <c r="A868" s="67"/>
      <c r="B868" s="72"/>
      <c r="C868" s="67"/>
      <c r="D868" s="75"/>
      <c r="E868" s="76" t="str">
        <f>IFERROR(VLOOKUP(C868,$C$9:E867,3,0),"")</f>
        <v/>
      </c>
      <c r="F868" s="57" t="str">
        <f>IFERROR(VLOOKUP(C868,$C$9:H867,4,FALSE),"")</f>
        <v/>
      </c>
      <c r="G868" s="61" t="str">
        <f>IFERROR(VLOOKUP(C868,$C$9:G867,5,FALSE),"")</f>
        <v/>
      </c>
      <c r="H868" s="61" t="str">
        <f>IFERROR(VLOOKUP(C868,$C$9:H867,6,FALSE),"")</f>
        <v/>
      </c>
      <c r="I868" s="61"/>
      <c r="J868" s="61"/>
      <c r="K868" s="61"/>
      <c r="L868" s="61"/>
      <c r="N868" s="46" t="e">
        <f t="shared" si="41"/>
        <v>#DIV/0!</v>
      </c>
      <c r="O868" s="46" t="str">
        <f t="shared" si="42"/>
        <v/>
      </c>
      <c r="P868" s="46">
        <f t="shared" si="43"/>
        <v>1</v>
      </c>
      <c r="Q868" s="46"/>
      <c r="R868" s="45"/>
      <c r="S868" s="45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</row>
    <row r="869" spans="1:31" ht="14.25">
      <c r="A869" s="67"/>
      <c r="B869" s="79"/>
      <c r="C869" s="77"/>
      <c r="D869" s="75"/>
      <c r="E869" s="76" t="str">
        <f>IFERROR(VLOOKUP(C869,$C$9:E868,3,0),"")</f>
        <v/>
      </c>
      <c r="F869" s="57" t="str">
        <f>IFERROR(VLOOKUP(C869,$C$9:H868,4,FALSE),"")</f>
        <v/>
      </c>
      <c r="G869" s="61" t="str">
        <f>IFERROR(VLOOKUP(C869,$C$9:G868,5,FALSE),"")</f>
        <v/>
      </c>
      <c r="H869" s="61" t="str">
        <f>IFERROR(VLOOKUP(C869,$C$9:H868,6,FALSE),"")</f>
        <v/>
      </c>
      <c r="I869" s="61"/>
      <c r="J869" s="61"/>
      <c r="K869" s="61"/>
      <c r="L869" s="61"/>
      <c r="N869" s="46" t="e">
        <f t="shared" si="41"/>
        <v>#DIV/0!</v>
      </c>
      <c r="O869" s="46" t="str">
        <f t="shared" si="42"/>
        <v/>
      </c>
      <c r="P869" s="46">
        <f t="shared" si="43"/>
        <v>1</v>
      </c>
      <c r="Q869" s="46"/>
      <c r="R869" s="45"/>
      <c r="S869" s="45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</row>
    <row r="870" spans="1:31" ht="14.25">
      <c r="A870" s="67"/>
      <c r="B870" s="79"/>
      <c r="C870" s="77"/>
      <c r="D870" s="75"/>
      <c r="E870" s="76" t="str">
        <f>IFERROR(VLOOKUP(C870,$C$9:E869,3,0),"")</f>
        <v/>
      </c>
      <c r="F870" s="57" t="str">
        <f>IFERROR(VLOOKUP(C870,$C$9:H869,4,FALSE),"")</f>
        <v/>
      </c>
      <c r="G870" s="61" t="str">
        <f>IFERROR(VLOOKUP(C870,$C$9:G869,5,FALSE),"")</f>
        <v/>
      </c>
      <c r="H870" s="61" t="str">
        <f>IFERROR(VLOOKUP(C870,$C$9:H869,6,FALSE),"")</f>
        <v/>
      </c>
      <c r="I870" s="61"/>
      <c r="J870" s="61"/>
      <c r="K870" s="61"/>
      <c r="L870" s="61"/>
      <c r="N870" s="46" t="e">
        <f t="shared" si="41"/>
        <v>#DIV/0!</v>
      </c>
      <c r="O870" s="46" t="str">
        <f t="shared" si="42"/>
        <v/>
      </c>
      <c r="P870" s="46">
        <f t="shared" si="43"/>
        <v>1</v>
      </c>
      <c r="Q870" s="46"/>
      <c r="R870" s="45"/>
      <c r="S870" s="45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</row>
    <row r="871" spans="1:31" ht="14.25">
      <c r="A871" s="67"/>
      <c r="B871" s="79"/>
      <c r="C871" s="77"/>
      <c r="D871" s="75"/>
      <c r="E871" s="76" t="str">
        <f>IFERROR(VLOOKUP(C871,$C$9:E870,3,0),"")</f>
        <v/>
      </c>
      <c r="F871" s="57" t="str">
        <f>IFERROR(VLOOKUP(C871,$C$9:H870,4,FALSE),"")</f>
        <v/>
      </c>
      <c r="G871" s="61" t="str">
        <f>IFERROR(VLOOKUP(C871,$C$9:G870,5,FALSE),"")</f>
        <v/>
      </c>
      <c r="H871" s="61" t="str">
        <f>IFERROR(VLOOKUP(C871,$C$9:H870,6,FALSE),"")</f>
        <v/>
      </c>
      <c r="I871" s="61"/>
      <c r="J871" s="61"/>
      <c r="K871" s="61"/>
      <c r="L871" s="61"/>
      <c r="N871" s="46" t="e">
        <f t="shared" si="41"/>
        <v>#DIV/0!</v>
      </c>
      <c r="O871" s="46" t="str">
        <f t="shared" si="42"/>
        <v/>
      </c>
      <c r="P871" s="46">
        <f t="shared" si="43"/>
        <v>1</v>
      </c>
      <c r="Q871" s="46"/>
      <c r="R871" s="45"/>
      <c r="S871" s="45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</row>
    <row r="872" spans="1:31" ht="14.25">
      <c r="A872" s="67"/>
      <c r="B872" s="72"/>
      <c r="C872" s="67"/>
      <c r="D872" s="75"/>
      <c r="E872" s="76" t="str">
        <f>IFERROR(VLOOKUP(C872,$C$9:E871,3,0),"")</f>
        <v/>
      </c>
      <c r="F872" s="57" t="str">
        <f>IFERROR(VLOOKUP(C872,$C$9:H871,4,FALSE),"")</f>
        <v/>
      </c>
      <c r="G872" s="61" t="str">
        <f>IFERROR(VLOOKUP(C872,$C$9:G871,5,FALSE),"")</f>
        <v/>
      </c>
      <c r="H872" s="61" t="str">
        <f>IFERROR(VLOOKUP(C872,$C$9:H871,6,FALSE),"")</f>
        <v/>
      </c>
      <c r="I872" s="61"/>
      <c r="J872" s="61"/>
      <c r="K872" s="61"/>
      <c r="L872" s="61"/>
      <c r="N872" s="46" t="e">
        <f t="shared" si="41"/>
        <v>#DIV/0!</v>
      </c>
      <c r="O872" s="46" t="str">
        <f t="shared" si="42"/>
        <v/>
      </c>
      <c r="P872" s="46">
        <f t="shared" si="43"/>
        <v>1</v>
      </c>
      <c r="Q872" s="46"/>
      <c r="R872" s="45"/>
      <c r="S872" s="45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</row>
    <row r="873" spans="1:31" ht="14.25">
      <c r="A873" s="67"/>
      <c r="B873" s="79"/>
      <c r="C873" s="77"/>
      <c r="D873" s="75"/>
      <c r="E873" s="76" t="str">
        <f>IFERROR(VLOOKUP(C873,$C$9:E872,3,0),"")</f>
        <v/>
      </c>
      <c r="F873" s="57" t="str">
        <f>IFERROR(VLOOKUP(C873,$C$9:H872,4,FALSE),"")</f>
        <v/>
      </c>
      <c r="G873" s="61" t="str">
        <f>IFERROR(VLOOKUP(C873,$C$9:G872,5,FALSE),"")</f>
        <v/>
      </c>
      <c r="H873" s="61" t="str">
        <f>IFERROR(VLOOKUP(C873,$C$9:H872,6,FALSE),"")</f>
        <v/>
      </c>
      <c r="I873" s="61"/>
      <c r="J873" s="61"/>
      <c r="K873" s="61"/>
      <c r="L873" s="61"/>
      <c r="N873" s="46" t="e">
        <f t="shared" si="41"/>
        <v>#DIV/0!</v>
      </c>
      <c r="O873" s="46" t="str">
        <f t="shared" si="42"/>
        <v/>
      </c>
      <c r="P873" s="46">
        <f t="shared" si="43"/>
        <v>1</v>
      </c>
      <c r="Q873" s="46"/>
      <c r="R873" s="45"/>
      <c r="S873" s="45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</row>
    <row r="874" spans="1:31" ht="14.25">
      <c r="A874" s="67"/>
      <c r="B874" s="79"/>
      <c r="C874" s="77"/>
      <c r="D874" s="75"/>
      <c r="E874" s="76" t="str">
        <f>IFERROR(VLOOKUP(C874,$C$9:E873,3,0),"")</f>
        <v/>
      </c>
      <c r="F874" s="57" t="str">
        <f>IFERROR(VLOOKUP(C874,$C$9:H873,4,FALSE),"")</f>
        <v/>
      </c>
      <c r="G874" s="61" t="str">
        <f>IFERROR(VLOOKUP(C874,$C$9:G873,5,FALSE),"")</f>
        <v/>
      </c>
      <c r="H874" s="61" t="str">
        <f>IFERROR(VLOOKUP(C874,$C$9:H873,6,FALSE),"")</f>
        <v/>
      </c>
      <c r="I874" s="61"/>
      <c r="J874" s="61"/>
      <c r="K874" s="61"/>
      <c r="L874" s="61"/>
      <c r="N874" s="46" t="e">
        <f t="shared" si="41"/>
        <v>#DIV/0!</v>
      </c>
      <c r="O874" s="46" t="str">
        <f t="shared" si="42"/>
        <v/>
      </c>
      <c r="P874" s="46">
        <f t="shared" si="43"/>
        <v>1</v>
      </c>
      <c r="Q874" s="46"/>
      <c r="R874" s="45"/>
      <c r="S874" s="45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</row>
    <row r="875" spans="1:31" ht="14.25">
      <c r="A875" s="67"/>
      <c r="B875" s="79"/>
      <c r="C875" s="77"/>
      <c r="D875" s="75"/>
      <c r="E875" s="76" t="str">
        <f>IFERROR(VLOOKUP(C875,$C$9:E874,3,0),"")</f>
        <v/>
      </c>
      <c r="F875" s="57" t="str">
        <f>IFERROR(VLOOKUP(C875,$C$9:H874,4,FALSE),"")</f>
        <v/>
      </c>
      <c r="G875" s="61" t="str">
        <f>IFERROR(VLOOKUP(C875,$C$9:G874,5,FALSE),"")</f>
        <v/>
      </c>
      <c r="H875" s="61" t="str">
        <f>IFERROR(VLOOKUP(C875,$C$9:H874,6,FALSE),"")</f>
        <v/>
      </c>
      <c r="I875" s="61"/>
      <c r="J875" s="61"/>
      <c r="K875" s="61"/>
      <c r="L875" s="61"/>
      <c r="N875" s="46" t="e">
        <f t="shared" si="41"/>
        <v>#DIV/0!</v>
      </c>
      <c r="O875" s="46" t="str">
        <f t="shared" si="42"/>
        <v/>
      </c>
      <c r="P875" s="46">
        <f t="shared" si="43"/>
        <v>1</v>
      </c>
      <c r="Q875" s="46"/>
      <c r="R875" s="45"/>
      <c r="S875" s="45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</row>
    <row r="876" spans="1:31" ht="14.25">
      <c r="A876" s="67"/>
      <c r="B876" s="77"/>
      <c r="C876" s="77"/>
      <c r="D876" s="77"/>
      <c r="E876" s="76" t="str">
        <f>IFERROR(VLOOKUP(C876,$C$9:E875,3,0),"")</f>
        <v/>
      </c>
      <c r="F876" s="57" t="str">
        <f>IFERROR(VLOOKUP(C876,$C$9:H875,4,FALSE),"")</f>
        <v/>
      </c>
      <c r="G876" s="61" t="str">
        <f>IFERROR(VLOOKUP(C876,$C$9:G875,5,FALSE),"")</f>
        <v/>
      </c>
      <c r="H876" s="61" t="str">
        <f>IFERROR(VLOOKUP(C876,$C$9:H875,6,FALSE),"")</f>
        <v/>
      </c>
      <c r="I876" s="62"/>
      <c r="J876" s="62"/>
      <c r="K876" s="62"/>
      <c r="L876" s="62"/>
      <c r="N876" s="46" t="e">
        <f t="shared" si="41"/>
        <v>#DIV/0!</v>
      </c>
      <c r="O876" s="46" t="str">
        <f t="shared" si="42"/>
        <v/>
      </c>
      <c r="P876" s="46">
        <f t="shared" si="43"/>
        <v>1</v>
      </c>
      <c r="Q876" s="46"/>
      <c r="R876" s="45"/>
      <c r="S876" s="45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</row>
    <row r="877" spans="1:31" ht="14.25">
      <c r="A877" s="67"/>
      <c r="B877" s="77"/>
      <c r="C877" s="77"/>
      <c r="D877" s="77"/>
      <c r="E877" s="76" t="str">
        <f>IFERROR(VLOOKUP(C877,$C$9:E876,3,0),"")</f>
        <v/>
      </c>
      <c r="F877" s="57" t="str">
        <f>IFERROR(VLOOKUP(C877,$C$9:H876,4,FALSE),"")</f>
        <v/>
      </c>
      <c r="G877" s="61" t="str">
        <f>IFERROR(VLOOKUP(C877,$C$9:G876,5,FALSE),"")</f>
        <v/>
      </c>
      <c r="H877" s="61" t="str">
        <f>IFERROR(VLOOKUP(C877,$C$9:H876,6,FALSE),"")</f>
        <v/>
      </c>
      <c r="I877" s="62"/>
      <c r="J877" s="62"/>
      <c r="K877" s="62"/>
      <c r="L877" s="62"/>
      <c r="N877" s="46" t="e">
        <f t="shared" si="41"/>
        <v>#DIV/0!</v>
      </c>
      <c r="O877" s="46" t="str">
        <f t="shared" si="42"/>
        <v/>
      </c>
      <c r="P877" s="46">
        <f t="shared" si="43"/>
        <v>1</v>
      </c>
      <c r="Q877" s="46"/>
      <c r="R877" s="45"/>
      <c r="S877" s="45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</row>
    <row r="878" spans="1:31" ht="14.25">
      <c r="A878" s="67"/>
      <c r="B878" s="77"/>
      <c r="C878" s="77"/>
      <c r="D878" s="77"/>
      <c r="E878" s="76" t="str">
        <f>IFERROR(VLOOKUP(C878,$C$9:E877,3,0),"")</f>
        <v/>
      </c>
      <c r="F878" s="57" t="str">
        <f>IFERROR(VLOOKUP(C878,$C$9:H877,4,FALSE),"")</f>
        <v/>
      </c>
      <c r="G878" s="61" t="str">
        <f>IFERROR(VLOOKUP(C878,$C$9:G877,5,FALSE),"")</f>
        <v/>
      </c>
      <c r="H878" s="61" t="str">
        <f>IFERROR(VLOOKUP(C878,$C$9:H877,6,FALSE),"")</f>
        <v/>
      </c>
      <c r="I878" s="62"/>
      <c r="J878" s="62"/>
      <c r="K878" s="62"/>
      <c r="L878" s="62"/>
      <c r="N878" s="46" t="e">
        <f t="shared" si="41"/>
        <v>#DIV/0!</v>
      </c>
      <c r="O878" s="46" t="str">
        <f t="shared" si="42"/>
        <v/>
      </c>
      <c r="P878" s="46">
        <f t="shared" si="43"/>
        <v>1</v>
      </c>
      <c r="Q878" s="46"/>
      <c r="R878" s="45"/>
      <c r="S878" s="45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</row>
    <row r="879" spans="1:31" ht="14.25">
      <c r="A879" s="67"/>
      <c r="B879" s="77"/>
      <c r="C879" s="77"/>
      <c r="D879" s="77"/>
      <c r="E879" s="76" t="str">
        <f>IFERROR(VLOOKUP(C879,$C$9:E878,3,0),"")</f>
        <v/>
      </c>
      <c r="F879" s="57" t="str">
        <f>IFERROR(VLOOKUP(C879,$C$9:H878,4,FALSE),"")</f>
        <v/>
      </c>
      <c r="G879" s="61" t="str">
        <f>IFERROR(VLOOKUP(C879,$C$9:G878,5,FALSE),"")</f>
        <v/>
      </c>
      <c r="H879" s="61" t="str">
        <f>IFERROR(VLOOKUP(C879,$C$9:H878,6,FALSE),"")</f>
        <v/>
      </c>
      <c r="I879" s="62"/>
      <c r="J879" s="62"/>
      <c r="K879" s="62"/>
      <c r="L879" s="62"/>
      <c r="N879" s="46" t="e">
        <f t="shared" si="41"/>
        <v>#DIV/0!</v>
      </c>
      <c r="O879" s="46" t="str">
        <f t="shared" si="42"/>
        <v/>
      </c>
      <c r="P879" s="46">
        <f t="shared" si="43"/>
        <v>1</v>
      </c>
      <c r="Q879" s="46"/>
      <c r="R879" s="45"/>
      <c r="S879" s="45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</row>
    <row r="880" spans="1:31" ht="14.25">
      <c r="A880" s="67"/>
      <c r="B880" s="77"/>
      <c r="C880" s="77"/>
      <c r="D880" s="77"/>
      <c r="E880" s="76" t="str">
        <f>IFERROR(VLOOKUP(C880,$C$9:E879,3,0),"")</f>
        <v/>
      </c>
      <c r="F880" s="57" t="str">
        <f>IFERROR(VLOOKUP(C880,$C$9:H879,4,FALSE),"")</f>
        <v/>
      </c>
      <c r="G880" s="61" t="str">
        <f>IFERROR(VLOOKUP(C880,$C$9:G879,5,FALSE),"")</f>
        <v/>
      </c>
      <c r="H880" s="61" t="str">
        <f>IFERROR(VLOOKUP(C880,$C$9:H879,6,FALSE),"")</f>
        <v/>
      </c>
      <c r="I880" s="62"/>
      <c r="J880" s="62"/>
      <c r="K880" s="62"/>
      <c r="L880" s="62"/>
      <c r="N880" s="46" t="e">
        <f t="shared" si="41"/>
        <v>#DIV/0!</v>
      </c>
      <c r="O880" s="46" t="str">
        <f t="shared" si="42"/>
        <v/>
      </c>
      <c r="P880" s="46">
        <f t="shared" si="43"/>
        <v>1</v>
      </c>
      <c r="Q880" s="46"/>
      <c r="R880" s="45"/>
      <c r="S880" s="45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</row>
    <row r="881" spans="1:31" ht="14.25">
      <c r="A881" s="67"/>
      <c r="B881" s="77"/>
      <c r="C881" s="77"/>
      <c r="D881" s="77"/>
      <c r="E881" s="76" t="str">
        <f>IFERROR(VLOOKUP(C881,$C$9:E880,3,0),"")</f>
        <v/>
      </c>
      <c r="F881" s="57" t="str">
        <f>IFERROR(VLOOKUP(C881,$C$9:H880,4,FALSE),"")</f>
        <v/>
      </c>
      <c r="G881" s="61" t="str">
        <f>IFERROR(VLOOKUP(C881,$C$9:G880,5,FALSE),"")</f>
        <v/>
      </c>
      <c r="H881" s="61" t="str">
        <f>IFERROR(VLOOKUP(C881,$C$9:H880,6,FALSE),"")</f>
        <v/>
      </c>
      <c r="I881" s="62"/>
      <c r="J881" s="62"/>
      <c r="K881" s="62"/>
      <c r="L881" s="62"/>
      <c r="N881" s="46" t="e">
        <f t="shared" si="41"/>
        <v>#DIV/0!</v>
      </c>
      <c r="O881" s="46" t="str">
        <f t="shared" si="42"/>
        <v/>
      </c>
      <c r="P881" s="46">
        <f t="shared" si="43"/>
        <v>1</v>
      </c>
      <c r="Q881" s="46"/>
      <c r="R881" s="45"/>
      <c r="S881" s="45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</row>
    <row r="882" spans="1:31" ht="14.25">
      <c r="A882" s="67"/>
      <c r="B882" s="77"/>
      <c r="C882" s="77"/>
      <c r="D882" s="77"/>
      <c r="E882" s="76" t="str">
        <f>IFERROR(VLOOKUP(C882,$C$9:E881,3,0),"")</f>
        <v/>
      </c>
      <c r="F882" s="57" t="str">
        <f>IFERROR(VLOOKUP(C882,$C$9:H881,4,FALSE),"")</f>
        <v/>
      </c>
      <c r="G882" s="61" t="str">
        <f>IFERROR(VLOOKUP(C882,$C$9:G881,5,FALSE),"")</f>
        <v/>
      </c>
      <c r="H882" s="61" t="str">
        <f>IFERROR(VLOOKUP(C882,$C$9:H881,6,FALSE),"")</f>
        <v/>
      </c>
      <c r="I882" s="62"/>
      <c r="J882" s="62"/>
      <c r="K882" s="62"/>
      <c r="L882" s="62"/>
      <c r="N882" s="46" t="e">
        <f t="shared" si="41"/>
        <v>#DIV/0!</v>
      </c>
      <c r="O882" s="46" t="str">
        <f t="shared" si="42"/>
        <v/>
      </c>
      <c r="P882" s="46">
        <f t="shared" si="43"/>
        <v>1</v>
      </c>
      <c r="Q882" s="46"/>
      <c r="R882" s="45"/>
      <c r="S882" s="45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</row>
    <row r="883" spans="1:31" ht="14.25">
      <c r="A883" s="67"/>
      <c r="B883" s="77"/>
      <c r="C883" s="77"/>
      <c r="D883" s="77"/>
      <c r="E883" s="76" t="str">
        <f>IFERROR(VLOOKUP(C883,$C$9:E882,3,0),"")</f>
        <v/>
      </c>
      <c r="F883" s="57" t="str">
        <f>IFERROR(VLOOKUP(C883,$C$9:H882,4,FALSE),"")</f>
        <v/>
      </c>
      <c r="G883" s="61" t="str">
        <f>IFERROR(VLOOKUP(C883,$C$9:G882,5,FALSE),"")</f>
        <v/>
      </c>
      <c r="H883" s="61" t="str">
        <f>IFERROR(VLOOKUP(C883,$C$9:H882,6,FALSE),"")</f>
        <v/>
      </c>
      <c r="I883" s="62"/>
      <c r="J883" s="62"/>
      <c r="K883" s="62"/>
      <c r="L883" s="62"/>
      <c r="N883" s="46" t="e">
        <f t="shared" si="41"/>
        <v>#DIV/0!</v>
      </c>
      <c r="O883" s="46" t="str">
        <f t="shared" si="42"/>
        <v/>
      </c>
      <c r="P883" s="46">
        <f t="shared" si="43"/>
        <v>1</v>
      </c>
      <c r="Q883" s="46"/>
      <c r="R883" s="45"/>
      <c r="S883" s="45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</row>
    <row r="884" spans="1:31" ht="14.25">
      <c r="A884" s="67"/>
      <c r="B884" s="77"/>
      <c r="C884" s="77"/>
      <c r="D884" s="77"/>
      <c r="E884" s="76" t="str">
        <f>IFERROR(VLOOKUP(C884,$C$9:E883,3,0),"")</f>
        <v/>
      </c>
      <c r="F884" s="57" t="str">
        <f>IFERROR(VLOOKUP(C884,$C$9:H883,4,FALSE),"")</f>
        <v/>
      </c>
      <c r="G884" s="61" t="str">
        <f>IFERROR(VLOOKUP(C884,$C$9:G883,5,FALSE),"")</f>
        <v/>
      </c>
      <c r="H884" s="61" t="str">
        <f>IFERROR(VLOOKUP(C884,$C$9:H883,6,FALSE),"")</f>
        <v/>
      </c>
      <c r="I884" s="62"/>
      <c r="J884" s="62"/>
      <c r="K884" s="62"/>
      <c r="L884" s="62"/>
      <c r="N884" s="46" t="e">
        <f t="shared" si="41"/>
        <v>#DIV/0!</v>
      </c>
      <c r="O884" s="46" t="str">
        <f t="shared" si="42"/>
        <v/>
      </c>
      <c r="P884" s="46">
        <f t="shared" si="43"/>
        <v>1</v>
      </c>
      <c r="Q884" s="46"/>
      <c r="R884" s="45"/>
      <c r="S884" s="45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</row>
    <row r="885" spans="1:31" ht="14.25">
      <c r="A885" s="67"/>
      <c r="B885" s="77"/>
      <c r="C885" s="77"/>
      <c r="D885" s="77"/>
      <c r="E885" s="76" t="str">
        <f>IFERROR(VLOOKUP(C885,$C$9:E884,3,0),"")</f>
        <v/>
      </c>
      <c r="F885" s="57" t="str">
        <f>IFERROR(VLOOKUP(C885,$C$9:H884,4,FALSE),"")</f>
        <v/>
      </c>
      <c r="G885" s="61" t="str">
        <f>IFERROR(VLOOKUP(C885,$C$9:G884,5,FALSE),"")</f>
        <v/>
      </c>
      <c r="H885" s="61" t="str">
        <f>IFERROR(VLOOKUP(C885,$C$9:H884,6,FALSE),"")</f>
        <v/>
      </c>
      <c r="I885" s="62"/>
      <c r="J885" s="62"/>
      <c r="K885" s="62"/>
      <c r="L885" s="62"/>
      <c r="N885" s="46" t="e">
        <f t="shared" si="41"/>
        <v>#DIV/0!</v>
      </c>
      <c r="O885" s="46" t="str">
        <f t="shared" si="42"/>
        <v/>
      </c>
      <c r="P885" s="46">
        <f t="shared" si="43"/>
        <v>1</v>
      </c>
      <c r="Q885" s="46"/>
      <c r="R885" s="45"/>
      <c r="S885" s="45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</row>
    <row r="886" spans="1:31" ht="14.25">
      <c r="A886" s="67"/>
      <c r="B886" s="77"/>
      <c r="C886" s="77"/>
      <c r="D886" s="77"/>
      <c r="E886" s="76" t="str">
        <f>IFERROR(VLOOKUP(C886,$C$9:E885,3,0),"")</f>
        <v/>
      </c>
      <c r="F886" s="57" t="str">
        <f>IFERROR(VLOOKUP(C886,$C$9:H885,4,FALSE),"")</f>
        <v/>
      </c>
      <c r="G886" s="61" t="str">
        <f>IFERROR(VLOOKUP(C886,$C$9:G885,5,FALSE),"")</f>
        <v/>
      </c>
      <c r="H886" s="61" t="str">
        <f>IFERROR(VLOOKUP(C886,$C$9:H885,6,FALSE),"")</f>
        <v/>
      </c>
      <c r="I886" s="62"/>
      <c r="J886" s="62"/>
      <c r="K886" s="62"/>
      <c r="L886" s="62"/>
      <c r="N886" s="46" t="e">
        <f t="shared" si="41"/>
        <v>#DIV/0!</v>
      </c>
      <c r="O886" s="46" t="str">
        <f t="shared" si="42"/>
        <v/>
      </c>
      <c r="P886" s="46">
        <f t="shared" si="43"/>
        <v>1</v>
      </c>
      <c r="Q886" s="46"/>
      <c r="R886" s="45"/>
      <c r="S886" s="45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</row>
    <row r="887" spans="1:31" ht="14.25">
      <c r="A887" s="67"/>
      <c r="B887" s="77"/>
      <c r="C887" s="77"/>
      <c r="D887" s="77"/>
      <c r="E887" s="76" t="str">
        <f>IFERROR(VLOOKUP(C887,$C$9:E886,3,0),"")</f>
        <v/>
      </c>
      <c r="F887" s="57" t="str">
        <f>IFERROR(VLOOKUP(C887,$C$9:H886,4,FALSE),"")</f>
        <v/>
      </c>
      <c r="G887" s="61" t="str">
        <f>IFERROR(VLOOKUP(C887,$C$9:G886,5,FALSE),"")</f>
        <v/>
      </c>
      <c r="H887" s="61" t="str">
        <f>IFERROR(VLOOKUP(C887,$C$9:H886,6,FALSE),"")</f>
        <v/>
      </c>
      <c r="I887" s="62"/>
      <c r="J887" s="62"/>
      <c r="K887" s="62"/>
      <c r="L887" s="62"/>
      <c r="N887" s="46" t="e">
        <f t="shared" si="41"/>
        <v>#DIV/0!</v>
      </c>
      <c r="O887" s="46" t="str">
        <f t="shared" si="42"/>
        <v/>
      </c>
      <c r="P887" s="46">
        <f t="shared" si="43"/>
        <v>1</v>
      </c>
      <c r="Q887" s="46"/>
      <c r="R887" s="45"/>
      <c r="S887" s="45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</row>
    <row r="888" spans="1:31" ht="14.25">
      <c r="A888" s="67"/>
      <c r="B888" s="77"/>
      <c r="C888" s="77"/>
      <c r="D888" s="77"/>
      <c r="E888" s="76" t="str">
        <f>IFERROR(VLOOKUP(C888,$C$9:E887,3,0),"")</f>
        <v/>
      </c>
      <c r="F888" s="57" t="str">
        <f>IFERROR(VLOOKUP(C888,$C$9:H887,4,FALSE),"")</f>
        <v/>
      </c>
      <c r="G888" s="61" t="str">
        <f>IFERROR(VLOOKUP(C888,$C$9:G887,5,FALSE),"")</f>
        <v/>
      </c>
      <c r="H888" s="61" t="str">
        <f>IFERROR(VLOOKUP(C888,$C$9:H887,6,FALSE),"")</f>
        <v/>
      </c>
      <c r="I888" s="62"/>
      <c r="J888" s="62"/>
      <c r="K888" s="62"/>
      <c r="L888" s="62"/>
      <c r="N888" s="46" t="e">
        <f t="shared" si="41"/>
        <v>#DIV/0!</v>
      </c>
      <c r="O888" s="46" t="str">
        <f t="shared" si="42"/>
        <v/>
      </c>
      <c r="P888" s="46">
        <f t="shared" si="43"/>
        <v>1</v>
      </c>
      <c r="Q888" s="46"/>
      <c r="R888" s="45"/>
      <c r="S888" s="45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</row>
    <row r="889" spans="1:31" ht="14.25">
      <c r="A889" s="80"/>
      <c r="B889" s="80"/>
      <c r="C889" s="80"/>
      <c r="D889" s="80"/>
      <c r="E889" s="76" t="str">
        <f>IFERROR(VLOOKUP(C889,$C$9:E888,3,0),"")</f>
        <v/>
      </c>
      <c r="F889" s="57" t="str">
        <f>IFERROR(VLOOKUP(C889,$C$9:H888,4,FALSE),"")</f>
        <v/>
      </c>
      <c r="G889" s="61" t="str">
        <f>IFERROR(VLOOKUP(C889,$C$9:G888,5,FALSE),"")</f>
        <v/>
      </c>
      <c r="H889" s="61" t="str">
        <f>IFERROR(VLOOKUP(C889,$C$9:H888,6,FALSE),"")</f>
        <v/>
      </c>
      <c r="N889" s="46" t="e">
        <f t="shared" si="41"/>
        <v>#DIV/0!</v>
      </c>
      <c r="O889" s="46" t="str">
        <f t="shared" si="42"/>
        <v/>
      </c>
      <c r="P889" s="46">
        <f t="shared" si="43"/>
        <v>1</v>
      </c>
    </row>
    <row r="890" spans="1:31" ht="14.25">
      <c r="A890" s="80"/>
      <c r="B890" s="80"/>
      <c r="C890" s="80"/>
      <c r="D890" s="80"/>
      <c r="E890" s="76" t="str">
        <f>IFERROR(VLOOKUP(C890,$C$9:E889,3,0),"")</f>
        <v/>
      </c>
      <c r="F890" s="57" t="str">
        <f>IFERROR(VLOOKUP(C890,$C$9:H889,4,FALSE),"")</f>
        <v/>
      </c>
      <c r="G890" s="61" t="str">
        <f>IFERROR(VLOOKUP(C890,$C$9:G889,5,FALSE),"")</f>
        <v/>
      </c>
      <c r="H890" s="61" t="str">
        <f>IFERROR(VLOOKUP(C890,$C$9:H889,6,FALSE),"")</f>
        <v/>
      </c>
      <c r="N890" s="46" t="e">
        <f t="shared" si="41"/>
        <v>#DIV/0!</v>
      </c>
      <c r="O890" s="46" t="str">
        <f t="shared" si="42"/>
        <v/>
      </c>
      <c r="P890" s="46">
        <f t="shared" si="43"/>
        <v>1</v>
      </c>
    </row>
    <row r="891" spans="1:31" ht="14.25">
      <c r="A891" s="80"/>
      <c r="B891" s="80"/>
      <c r="C891" s="80"/>
      <c r="D891" s="80"/>
      <c r="E891" s="76" t="str">
        <f>IFERROR(VLOOKUP(C891,$C$9:E890,3,0),"")</f>
        <v/>
      </c>
      <c r="F891" s="57" t="str">
        <f>IFERROR(VLOOKUP(C891,$C$9:H890,4,FALSE),"")</f>
        <v/>
      </c>
      <c r="G891" s="61" t="str">
        <f>IFERROR(VLOOKUP(C891,$C$9:G890,5,FALSE),"")</f>
        <v/>
      </c>
      <c r="H891" s="61" t="str">
        <f>IFERROR(VLOOKUP(C891,$C$9:H890,6,FALSE),"")</f>
        <v/>
      </c>
      <c r="N891" s="46" t="e">
        <f t="shared" si="41"/>
        <v>#DIV/0!</v>
      </c>
      <c r="O891" s="46" t="str">
        <f t="shared" si="42"/>
        <v/>
      </c>
      <c r="P891" s="46">
        <f t="shared" si="43"/>
        <v>1</v>
      </c>
    </row>
    <row r="892" spans="1:31" ht="14.25">
      <c r="A892" s="80"/>
      <c r="B892" s="80"/>
      <c r="C892" s="80"/>
      <c r="D892" s="80"/>
      <c r="E892" s="76" t="str">
        <f>IFERROR(VLOOKUP(C892,$C$9:E891,3,0),"")</f>
        <v/>
      </c>
      <c r="F892" s="57" t="str">
        <f>IFERROR(VLOOKUP(C892,$C$9:H891,4,FALSE),"")</f>
        <v/>
      </c>
      <c r="G892" s="61" t="str">
        <f>IFERROR(VLOOKUP(C892,$C$9:G891,5,FALSE),"")</f>
        <v/>
      </c>
      <c r="H892" s="61" t="str">
        <f>IFERROR(VLOOKUP(C892,$C$9:H891,6,FALSE),"")</f>
        <v/>
      </c>
      <c r="N892" s="46" t="e">
        <f t="shared" si="41"/>
        <v>#DIV/0!</v>
      </c>
      <c r="O892" s="46" t="str">
        <f t="shared" si="42"/>
        <v/>
      </c>
      <c r="P892" s="46">
        <f t="shared" si="43"/>
        <v>1</v>
      </c>
    </row>
    <row r="893" spans="1:31" ht="14.25">
      <c r="A893" s="80"/>
      <c r="B893" s="80"/>
      <c r="C893" s="80"/>
      <c r="D893" s="80"/>
      <c r="E893" s="76" t="str">
        <f>IFERROR(VLOOKUP(C893,$C$9:E892,3,0),"")</f>
        <v/>
      </c>
      <c r="F893" s="57" t="str">
        <f>IFERROR(VLOOKUP(C893,$C$9:H892,4,FALSE),"")</f>
        <v/>
      </c>
      <c r="G893" s="61" t="str">
        <f>IFERROR(VLOOKUP(C893,$C$9:G892,5,FALSE),"")</f>
        <v/>
      </c>
      <c r="H893" s="61" t="str">
        <f>IFERROR(VLOOKUP(C893,$C$9:H892,6,FALSE),"")</f>
        <v/>
      </c>
      <c r="N893" s="46" t="e">
        <f t="shared" si="41"/>
        <v>#DIV/0!</v>
      </c>
      <c r="O893" s="46" t="str">
        <f t="shared" si="42"/>
        <v/>
      </c>
      <c r="P893" s="46">
        <f t="shared" si="43"/>
        <v>1</v>
      </c>
    </row>
    <row r="894" spans="1:31" ht="14.25">
      <c r="A894" s="80"/>
      <c r="B894" s="80"/>
      <c r="C894" s="80"/>
      <c r="D894" s="80"/>
      <c r="E894" s="76" t="str">
        <f>IFERROR(VLOOKUP(C894,$C$9:E893,3,0),"")</f>
        <v/>
      </c>
      <c r="F894" s="57" t="str">
        <f>IFERROR(VLOOKUP(C894,$C$9:H893,4,FALSE),"")</f>
        <v/>
      </c>
      <c r="G894" s="61" t="str">
        <f>IFERROR(VLOOKUP(C894,$C$9:G893,5,FALSE),"")</f>
        <v/>
      </c>
      <c r="H894" s="61" t="str">
        <f>IFERROR(VLOOKUP(C894,$C$9:H893,6,FALSE),"")</f>
        <v/>
      </c>
      <c r="N894" s="46" t="e">
        <f t="shared" si="41"/>
        <v>#DIV/0!</v>
      </c>
      <c r="O894" s="46" t="str">
        <f t="shared" si="42"/>
        <v/>
      </c>
      <c r="P894" s="46">
        <f t="shared" si="43"/>
        <v>1</v>
      </c>
    </row>
    <row r="895" spans="1:31" ht="14.25">
      <c r="A895" s="80"/>
      <c r="B895" s="80"/>
      <c r="C895" s="80"/>
      <c r="D895" s="80"/>
      <c r="E895" s="76" t="str">
        <f>IFERROR(VLOOKUP(C895,$C$9:E894,3,0),"")</f>
        <v/>
      </c>
      <c r="F895" s="57" t="str">
        <f>IFERROR(VLOOKUP(C895,$C$9:H894,4,FALSE),"")</f>
        <v/>
      </c>
      <c r="G895" s="61" t="str">
        <f>IFERROR(VLOOKUP(C895,$C$9:G894,5,FALSE),"")</f>
        <v/>
      </c>
      <c r="H895" s="61" t="str">
        <f>IFERROR(VLOOKUP(C895,$C$9:H894,6,FALSE),"")</f>
        <v/>
      </c>
      <c r="N895" s="46" t="e">
        <f t="shared" si="41"/>
        <v>#DIV/0!</v>
      </c>
      <c r="O895" s="46" t="str">
        <f t="shared" si="42"/>
        <v/>
      </c>
      <c r="P895" s="46">
        <f t="shared" si="43"/>
        <v>1</v>
      </c>
    </row>
    <row r="896" spans="1:31" ht="14.25">
      <c r="A896" s="80"/>
      <c r="B896" s="80"/>
      <c r="C896" s="80"/>
      <c r="D896" s="80"/>
      <c r="E896" s="76" t="str">
        <f>IFERROR(VLOOKUP(C896,$C$9:E895,3,0),"")</f>
        <v/>
      </c>
      <c r="F896" s="57" t="str">
        <f>IFERROR(VLOOKUP(C896,$C$9:H895,4,FALSE),"")</f>
        <v/>
      </c>
      <c r="G896" s="61" t="str">
        <f>IFERROR(VLOOKUP(C896,$C$9:G895,5,FALSE),"")</f>
        <v/>
      </c>
      <c r="H896" s="61" t="str">
        <f>IFERROR(VLOOKUP(C896,$C$9:H895,6,FALSE),"")</f>
        <v/>
      </c>
      <c r="N896" s="46" t="e">
        <f t="shared" si="41"/>
        <v>#DIV/0!</v>
      </c>
      <c r="O896" s="46" t="str">
        <f t="shared" si="42"/>
        <v/>
      </c>
      <c r="P896" s="46">
        <f t="shared" si="43"/>
        <v>1</v>
      </c>
    </row>
    <row r="897" spans="1:16" ht="14.25">
      <c r="A897" s="80"/>
      <c r="B897" s="80"/>
      <c r="C897" s="80"/>
      <c r="D897" s="80"/>
      <c r="E897" s="76" t="str">
        <f>IFERROR(VLOOKUP(C897,$C$9:E896,3,0),"")</f>
        <v/>
      </c>
      <c r="F897" s="57" t="str">
        <f>IFERROR(VLOOKUP(C897,$C$9:H896,4,FALSE),"")</f>
        <v/>
      </c>
      <c r="G897" s="61" t="str">
        <f>IFERROR(VLOOKUP(C897,$C$9:G896,5,FALSE),"")</f>
        <v/>
      </c>
      <c r="H897" s="61" t="str">
        <f>IFERROR(VLOOKUP(C897,$C$9:H896,6,FALSE),"")</f>
        <v/>
      </c>
      <c r="N897" s="46" t="e">
        <f t="shared" si="41"/>
        <v>#DIV/0!</v>
      </c>
      <c r="O897" s="46" t="str">
        <f t="shared" si="42"/>
        <v/>
      </c>
      <c r="P897" s="46">
        <f t="shared" si="43"/>
        <v>1</v>
      </c>
    </row>
    <row r="898" spans="1:16" ht="14.25">
      <c r="A898" s="80"/>
      <c r="B898" s="80"/>
      <c r="C898" s="80"/>
      <c r="D898" s="80"/>
      <c r="E898" s="76" t="str">
        <f>IFERROR(VLOOKUP(C898,$C$9:E897,3,0),"")</f>
        <v/>
      </c>
      <c r="F898" s="57" t="str">
        <f>IFERROR(VLOOKUP(C898,$C$9:H897,4,FALSE),"")</f>
        <v/>
      </c>
      <c r="G898" s="61" t="str">
        <f>IFERROR(VLOOKUP(C898,$C$9:G897,5,FALSE),"")</f>
        <v/>
      </c>
      <c r="H898" s="61" t="str">
        <f>IFERROR(VLOOKUP(C898,$C$9:H897,6,FALSE),"")</f>
        <v/>
      </c>
      <c r="N898" s="46" t="e">
        <f t="shared" si="41"/>
        <v>#DIV/0!</v>
      </c>
      <c r="O898" s="46" t="str">
        <f t="shared" si="42"/>
        <v/>
      </c>
      <c r="P898" s="46">
        <f t="shared" si="43"/>
        <v>1</v>
      </c>
    </row>
    <row r="899" spans="1:16" ht="14.25">
      <c r="A899" s="80"/>
      <c r="B899" s="80"/>
      <c r="C899" s="80"/>
      <c r="D899" s="80"/>
      <c r="E899" s="76" t="str">
        <f>IFERROR(VLOOKUP(C899,$C$9:E898,3,0),"")</f>
        <v/>
      </c>
      <c r="F899" s="57" t="str">
        <f>IFERROR(VLOOKUP(C899,$C$9:H898,4,FALSE),"")</f>
        <v/>
      </c>
      <c r="G899" s="61" t="str">
        <f>IFERROR(VLOOKUP(C899,$C$9:G898,5,FALSE),"")</f>
        <v/>
      </c>
      <c r="H899" s="61" t="str">
        <f>IFERROR(VLOOKUP(C899,$C$9:H898,6,FALSE),"")</f>
        <v/>
      </c>
      <c r="N899" s="46" t="e">
        <f t="shared" si="41"/>
        <v>#DIV/0!</v>
      </c>
      <c r="O899" s="46" t="str">
        <f t="shared" si="42"/>
        <v/>
      </c>
      <c r="P899" s="46">
        <f t="shared" si="43"/>
        <v>1</v>
      </c>
    </row>
    <row r="900" spans="1:16" ht="14.25">
      <c r="A900" s="80"/>
      <c r="B900" s="80"/>
      <c r="C900" s="80"/>
      <c r="D900" s="80"/>
      <c r="E900" s="76" t="str">
        <f>IFERROR(VLOOKUP(C900,$C$9:E899,3,0),"")</f>
        <v/>
      </c>
      <c r="F900" s="57" t="str">
        <f>IFERROR(VLOOKUP(C900,$C$9:H899,4,FALSE),"")</f>
        <v/>
      </c>
      <c r="G900" s="61" t="str">
        <f>IFERROR(VLOOKUP(C900,$C$9:G899,5,FALSE),"")</f>
        <v/>
      </c>
      <c r="H900" s="61" t="str">
        <f>IFERROR(VLOOKUP(C900,$C$9:H899,6,FALSE),"")</f>
        <v/>
      </c>
      <c r="N900" s="46" t="e">
        <f t="shared" si="41"/>
        <v>#DIV/0!</v>
      </c>
      <c r="O900" s="46" t="str">
        <f t="shared" si="42"/>
        <v/>
      </c>
      <c r="P900" s="46">
        <f t="shared" si="43"/>
        <v>1</v>
      </c>
    </row>
    <row r="901" spans="1:16" ht="14.25">
      <c r="A901" s="80"/>
      <c r="B901" s="80"/>
      <c r="C901" s="80"/>
      <c r="D901" s="80"/>
      <c r="E901" s="76" t="str">
        <f>IFERROR(VLOOKUP(C901,$C$9:E900,3,0),"")</f>
        <v/>
      </c>
      <c r="F901" s="57" t="str">
        <f>IFERROR(VLOOKUP(C901,$C$9:H900,4,FALSE),"")</f>
        <v/>
      </c>
      <c r="G901" s="61" t="str">
        <f>IFERROR(VLOOKUP(C901,$C$9:G900,5,FALSE),"")</f>
        <v/>
      </c>
      <c r="H901" s="61" t="str">
        <f>IFERROR(VLOOKUP(C901,$C$9:H900,6,FALSE),"")</f>
        <v/>
      </c>
      <c r="N901" s="46" t="e">
        <f t="shared" si="41"/>
        <v>#DIV/0!</v>
      </c>
      <c r="O901" s="46" t="str">
        <f t="shared" si="42"/>
        <v/>
      </c>
      <c r="P901" s="46">
        <f t="shared" si="43"/>
        <v>1</v>
      </c>
    </row>
    <row r="902" spans="1:16" ht="14.25">
      <c r="A902" s="80"/>
      <c r="B902" s="80"/>
      <c r="C902" s="80"/>
      <c r="D902" s="80"/>
      <c r="E902" s="76" t="str">
        <f>IFERROR(VLOOKUP(C902,$C$9:E901,3,0),"")</f>
        <v/>
      </c>
      <c r="F902" s="57" t="str">
        <f>IFERROR(VLOOKUP(C902,$C$9:H901,4,FALSE),"")</f>
        <v/>
      </c>
      <c r="G902" s="61" t="str">
        <f>IFERROR(VLOOKUP(C902,$C$9:G901,5,FALSE),"")</f>
        <v/>
      </c>
      <c r="H902" s="61" t="str">
        <f>IFERROR(VLOOKUP(C902,$C$9:H901,6,FALSE),"")</f>
        <v/>
      </c>
      <c r="N902" s="46" t="e">
        <f t="shared" si="41"/>
        <v>#DIV/0!</v>
      </c>
      <c r="O902" s="46" t="str">
        <f t="shared" si="42"/>
        <v/>
      </c>
      <c r="P902" s="46">
        <f t="shared" si="43"/>
        <v>1</v>
      </c>
    </row>
    <row r="903" spans="1:16" ht="14.25">
      <c r="A903" s="80"/>
      <c r="B903" s="80"/>
      <c r="C903" s="80"/>
      <c r="D903" s="80"/>
      <c r="E903" s="76" t="str">
        <f>IFERROR(VLOOKUP(C903,$C$9:E902,3,0),"")</f>
        <v/>
      </c>
      <c r="F903" s="57" t="str">
        <f>IFERROR(VLOOKUP(C903,$C$9:H902,4,FALSE),"")</f>
        <v/>
      </c>
      <c r="G903" s="61" t="str">
        <f>IFERROR(VLOOKUP(C903,$C$9:G902,5,FALSE),"")</f>
        <v/>
      </c>
      <c r="H903" s="61" t="str">
        <f>IFERROR(VLOOKUP(C903,$C$9:H902,6,FALSE),"")</f>
        <v/>
      </c>
      <c r="N903" s="46" t="e">
        <f t="shared" si="41"/>
        <v>#DIV/0!</v>
      </c>
      <c r="O903" s="46" t="str">
        <f t="shared" si="42"/>
        <v/>
      </c>
      <c r="P903" s="46">
        <f t="shared" si="43"/>
        <v>1</v>
      </c>
    </row>
    <row r="904" spans="1:16" ht="14.25">
      <c r="A904" s="80"/>
      <c r="B904" s="80"/>
      <c r="C904" s="80"/>
      <c r="D904" s="80"/>
      <c r="E904" s="76" t="str">
        <f>IFERROR(VLOOKUP(C904,$C$9:E903,3,0),"")</f>
        <v/>
      </c>
      <c r="F904" s="57" t="str">
        <f>IFERROR(VLOOKUP(C904,$C$9:H903,4,FALSE),"")</f>
        <v/>
      </c>
      <c r="G904" s="61" t="str">
        <f>IFERROR(VLOOKUP(C904,$C$9:G903,5,FALSE),"")</f>
        <v/>
      </c>
      <c r="H904" s="61" t="str">
        <f>IFERROR(VLOOKUP(C904,$C$9:H903,6,FALSE),"")</f>
        <v/>
      </c>
      <c r="N904" s="46" t="e">
        <f t="shared" si="41"/>
        <v>#DIV/0!</v>
      </c>
      <c r="O904" s="46" t="str">
        <f t="shared" si="42"/>
        <v/>
      </c>
      <c r="P904" s="46">
        <f t="shared" si="43"/>
        <v>1</v>
      </c>
    </row>
    <row r="905" spans="1:16" ht="14.25">
      <c r="A905" s="80"/>
      <c r="B905" s="80"/>
      <c r="C905" s="80"/>
      <c r="D905" s="80"/>
      <c r="E905" s="76" t="str">
        <f>IFERROR(VLOOKUP(C905,$C$9:E904,3,0),"")</f>
        <v/>
      </c>
      <c r="F905" s="57" t="str">
        <f>IFERROR(VLOOKUP(C905,$C$9:H904,4,FALSE),"")</f>
        <v/>
      </c>
      <c r="G905" s="61" t="str">
        <f>IFERROR(VLOOKUP(C905,$C$9:G904,5,FALSE),"")</f>
        <v/>
      </c>
      <c r="H905" s="61" t="str">
        <f>IFERROR(VLOOKUP(C905,$C$9:H904,6,FALSE),"")</f>
        <v/>
      </c>
      <c r="N905" s="46" t="e">
        <f t="shared" si="41"/>
        <v>#DIV/0!</v>
      </c>
      <c r="O905" s="46" t="str">
        <f t="shared" si="42"/>
        <v/>
      </c>
      <c r="P905" s="46">
        <f t="shared" si="43"/>
        <v>1</v>
      </c>
    </row>
    <row r="906" spans="1:16" ht="14.25">
      <c r="A906" s="80"/>
      <c r="B906" s="80"/>
      <c r="C906" s="80"/>
      <c r="D906" s="80"/>
      <c r="E906" s="76" t="str">
        <f>IFERROR(VLOOKUP(C906,$C$9:E905,3,0),"")</f>
        <v/>
      </c>
      <c r="F906" s="57" t="str">
        <f>IFERROR(VLOOKUP(C906,$C$9:H905,4,FALSE),"")</f>
        <v/>
      </c>
      <c r="G906" s="61" t="str">
        <f>IFERROR(VLOOKUP(C906,$C$9:G905,5,FALSE),"")</f>
        <v/>
      </c>
      <c r="H906" s="61" t="str">
        <f>IFERROR(VLOOKUP(C906,$C$9:H905,6,FALSE),"")</f>
        <v/>
      </c>
      <c r="N906" s="46" t="e">
        <f t="shared" ref="N906:N969" si="44">IF(OR(F906=$P$1,F906="",F906=0),D906/$B$2,IF(OR(F906=$P$2,F906=$P$3,F906=$P$4),D906/(O906*P906),D906/O906))</f>
        <v>#DIV/0!</v>
      </c>
      <c r="O906" s="46" t="str">
        <f t="shared" ref="O906:O969" si="45">IFERROR(VLOOKUP(F906,$P$1:$Q$4,2,0),F906)</f>
        <v/>
      </c>
      <c r="P906" s="46">
        <f t="shared" si="43"/>
        <v>1</v>
      </c>
    </row>
    <row r="907" spans="1:16" ht="14.25">
      <c r="A907" s="80"/>
      <c r="B907" s="80"/>
      <c r="C907" s="80"/>
      <c r="D907" s="80"/>
      <c r="E907" s="76" t="str">
        <f>IFERROR(VLOOKUP(C907,$C$9:E906,3,0),"")</f>
        <v/>
      </c>
      <c r="F907" s="57" t="str">
        <f>IFERROR(VLOOKUP(C907,$C$9:H906,4,FALSE),"")</f>
        <v/>
      </c>
      <c r="G907" s="61" t="str">
        <f>IFERROR(VLOOKUP(C907,$C$9:G906,5,FALSE),"")</f>
        <v/>
      </c>
      <c r="H907" s="61" t="str">
        <f>IFERROR(VLOOKUP(C907,$C$9:H906,6,FALSE),"")</f>
        <v/>
      </c>
      <c r="N907" s="46" t="e">
        <f t="shared" si="44"/>
        <v>#DIV/0!</v>
      </c>
      <c r="O907" s="46" t="str">
        <f t="shared" si="45"/>
        <v/>
      </c>
      <c r="P907" s="46">
        <f t="shared" ref="P907:P970" si="46">IF(C907="",1,COUNTIFS($C$9:$C$1499,C907,$H$9:$H$1499,H907))</f>
        <v>1</v>
      </c>
    </row>
    <row r="908" spans="1:16" ht="14.25">
      <c r="A908" s="80"/>
      <c r="B908" s="80"/>
      <c r="C908" s="80"/>
      <c r="D908" s="80"/>
      <c r="E908" s="76" t="str">
        <f>IFERROR(VLOOKUP(C908,$C$9:E907,3,0),"")</f>
        <v/>
      </c>
      <c r="F908" s="57" t="str">
        <f>IFERROR(VLOOKUP(C908,$C$9:H907,4,FALSE),"")</f>
        <v/>
      </c>
      <c r="G908" s="61" t="str">
        <f>IFERROR(VLOOKUP(C908,$C$9:G907,5,FALSE),"")</f>
        <v/>
      </c>
      <c r="H908" s="61" t="str">
        <f>IFERROR(VLOOKUP(C908,$C$9:H907,6,FALSE),"")</f>
        <v/>
      </c>
      <c r="N908" s="46" t="e">
        <f t="shared" si="44"/>
        <v>#DIV/0!</v>
      </c>
      <c r="O908" s="46" t="str">
        <f t="shared" si="45"/>
        <v/>
      </c>
      <c r="P908" s="46">
        <f t="shared" si="46"/>
        <v>1</v>
      </c>
    </row>
    <row r="909" spans="1:16" ht="14.25">
      <c r="A909" s="80"/>
      <c r="B909" s="80"/>
      <c r="C909" s="80"/>
      <c r="D909" s="80"/>
      <c r="E909" s="76" t="str">
        <f>IFERROR(VLOOKUP(C909,$C$9:E908,3,0),"")</f>
        <v/>
      </c>
      <c r="F909" s="57" t="str">
        <f>IFERROR(VLOOKUP(C909,$C$9:H908,4,FALSE),"")</f>
        <v/>
      </c>
      <c r="G909" s="61" t="str">
        <f>IFERROR(VLOOKUP(C909,$C$9:G908,5,FALSE),"")</f>
        <v/>
      </c>
      <c r="H909" s="61" t="str">
        <f>IFERROR(VLOOKUP(C909,$C$9:H908,6,FALSE),"")</f>
        <v/>
      </c>
      <c r="N909" s="46" t="e">
        <f t="shared" si="44"/>
        <v>#DIV/0!</v>
      </c>
      <c r="O909" s="46" t="str">
        <f t="shared" si="45"/>
        <v/>
      </c>
      <c r="P909" s="46">
        <f t="shared" si="46"/>
        <v>1</v>
      </c>
    </row>
    <row r="910" spans="1:16" ht="14.25">
      <c r="A910" s="80"/>
      <c r="B910" s="80"/>
      <c r="C910" s="80"/>
      <c r="D910" s="80"/>
      <c r="E910" s="76" t="str">
        <f>IFERROR(VLOOKUP(C910,$C$9:E909,3,0),"")</f>
        <v/>
      </c>
      <c r="F910" s="57" t="str">
        <f>IFERROR(VLOOKUP(C910,$C$9:H909,4,FALSE),"")</f>
        <v/>
      </c>
      <c r="G910" s="61" t="str">
        <f>IFERROR(VLOOKUP(C910,$C$9:G909,5,FALSE),"")</f>
        <v/>
      </c>
      <c r="H910" s="61" t="str">
        <f>IFERROR(VLOOKUP(C910,$C$9:H909,6,FALSE),"")</f>
        <v/>
      </c>
      <c r="N910" s="46" t="e">
        <f t="shared" si="44"/>
        <v>#DIV/0!</v>
      </c>
      <c r="O910" s="46" t="str">
        <f t="shared" si="45"/>
        <v/>
      </c>
      <c r="P910" s="46">
        <f t="shared" si="46"/>
        <v>1</v>
      </c>
    </row>
    <row r="911" spans="1:16" ht="14.25">
      <c r="A911" s="80"/>
      <c r="B911" s="80"/>
      <c r="C911" s="80"/>
      <c r="D911" s="80"/>
      <c r="E911" s="76" t="str">
        <f>IFERROR(VLOOKUP(C911,$C$9:E910,3,0),"")</f>
        <v/>
      </c>
      <c r="F911" s="57" t="str">
        <f>IFERROR(VLOOKUP(C911,$C$9:H910,4,FALSE),"")</f>
        <v/>
      </c>
      <c r="G911" s="61" t="str">
        <f>IFERROR(VLOOKUP(C911,$C$9:G910,5,FALSE),"")</f>
        <v/>
      </c>
      <c r="H911" s="61" t="str">
        <f>IFERROR(VLOOKUP(C911,$C$9:H910,6,FALSE),"")</f>
        <v/>
      </c>
      <c r="N911" s="46" t="e">
        <f t="shared" si="44"/>
        <v>#DIV/0!</v>
      </c>
      <c r="O911" s="46" t="str">
        <f t="shared" si="45"/>
        <v/>
      </c>
      <c r="P911" s="46">
        <f t="shared" si="46"/>
        <v>1</v>
      </c>
    </row>
    <row r="912" spans="1:16" ht="14.25">
      <c r="A912" s="80"/>
      <c r="B912" s="80"/>
      <c r="C912" s="80"/>
      <c r="D912" s="80"/>
      <c r="E912" s="76" t="str">
        <f>IFERROR(VLOOKUP(C912,$C$9:E911,3,0),"")</f>
        <v/>
      </c>
      <c r="F912" s="57" t="str">
        <f>IFERROR(VLOOKUP(C912,$C$9:H911,4,FALSE),"")</f>
        <v/>
      </c>
      <c r="G912" s="61" t="str">
        <f>IFERROR(VLOOKUP(C912,$C$9:G911,5,FALSE),"")</f>
        <v/>
      </c>
      <c r="H912" s="61" t="str">
        <f>IFERROR(VLOOKUP(C912,$C$9:H911,6,FALSE),"")</f>
        <v/>
      </c>
      <c r="N912" s="46" t="e">
        <f t="shared" si="44"/>
        <v>#DIV/0!</v>
      </c>
      <c r="O912" s="46" t="str">
        <f t="shared" si="45"/>
        <v/>
      </c>
      <c r="P912" s="46">
        <f t="shared" si="46"/>
        <v>1</v>
      </c>
    </row>
    <row r="913" spans="1:16" ht="14.25">
      <c r="A913" s="80"/>
      <c r="B913" s="80"/>
      <c r="C913" s="80"/>
      <c r="D913" s="80"/>
      <c r="E913" s="76" t="str">
        <f>IFERROR(VLOOKUP(C913,$C$9:E912,3,0),"")</f>
        <v/>
      </c>
      <c r="F913" s="57" t="str">
        <f>IFERROR(VLOOKUP(C913,$C$9:H912,4,FALSE),"")</f>
        <v/>
      </c>
      <c r="G913" s="61" t="str">
        <f>IFERROR(VLOOKUP(C913,$C$9:G912,5,FALSE),"")</f>
        <v/>
      </c>
      <c r="H913" s="61" t="str">
        <f>IFERROR(VLOOKUP(C913,$C$9:H912,6,FALSE),"")</f>
        <v/>
      </c>
      <c r="N913" s="46" t="e">
        <f t="shared" si="44"/>
        <v>#DIV/0!</v>
      </c>
      <c r="O913" s="46" t="str">
        <f t="shared" si="45"/>
        <v/>
      </c>
      <c r="P913" s="46">
        <f t="shared" si="46"/>
        <v>1</v>
      </c>
    </row>
    <row r="914" spans="1:16" ht="14.25">
      <c r="A914" s="80"/>
      <c r="B914" s="80"/>
      <c r="C914" s="80"/>
      <c r="D914" s="80"/>
      <c r="E914" s="76" t="str">
        <f>IFERROR(VLOOKUP(C914,$C$9:E913,3,0),"")</f>
        <v/>
      </c>
      <c r="F914" s="57" t="str">
        <f>IFERROR(VLOOKUP(C914,$C$9:H913,4,FALSE),"")</f>
        <v/>
      </c>
      <c r="G914" s="61" t="str">
        <f>IFERROR(VLOOKUP(C914,$C$9:G913,5,FALSE),"")</f>
        <v/>
      </c>
      <c r="H914" s="61" t="str">
        <f>IFERROR(VLOOKUP(C914,$C$9:H913,6,FALSE),"")</f>
        <v/>
      </c>
      <c r="N914" s="46" t="e">
        <f t="shared" si="44"/>
        <v>#DIV/0!</v>
      </c>
      <c r="O914" s="46" t="str">
        <f t="shared" si="45"/>
        <v/>
      </c>
      <c r="P914" s="46">
        <f t="shared" si="46"/>
        <v>1</v>
      </c>
    </row>
    <row r="915" spans="1:16" ht="14.25">
      <c r="A915" s="80"/>
      <c r="B915" s="80"/>
      <c r="C915" s="80"/>
      <c r="D915" s="80"/>
      <c r="E915" s="76" t="str">
        <f>IFERROR(VLOOKUP(C915,$C$9:E914,3,0),"")</f>
        <v/>
      </c>
      <c r="F915" s="57" t="str">
        <f>IFERROR(VLOOKUP(C915,$C$9:H914,4,FALSE),"")</f>
        <v/>
      </c>
      <c r="G915" s="61" t="str">
        <f>IFERROR(VLOOKUP(C915,$C$9:G914,5,FALSE),"")</f>
        <v/>
      </c>
      <c r="H915" s="61" t="str">
        <f>IFERROR(VLOOKUP(C915,$C$9:H914,6,FALSE),"")</f>
        <v/>
      </c>
      <c r="N915" s="46" t="e">
        <f t="shared" si="44"/>
        <v>#DIV/0!</v>
      </c>
      <c r="O915" s="46" t="str">
        <f t="shared" si="45"/>
        <v/>
      </c>
      <c r="P915" s="46">
        <f t="shared" si="46"/>
        <v>1</v>
      </c>
    </row>
    <row r="916" spans="1:16" ht="14.25">
      <c r="A916" s="80"/>
      <c r="B916" s="80"/>
      <c r="C916" s="80"/>
      <c r="D916" s="80"/>
      <c r="E916" s="76" t="str">
        <f>IFERROR(VLOOKUP(C916,$C$9:E915,3,0),"")</f>
        <v/>
      </c>
      <c r="F916" s="57" t="str">
        <f>IFERROR(VLOOKUP(C916,$C$9:H915,4,FALSE),"")</f>
        <v/>
      </c>
      <c r="G916" s="61" t="str">
        <f>IFERROR(VLOOKUP(C916,$C$9:G915,5,FALSE),"")</f>
        <v/>
      </c>
      <c r="H916" s="61" t="str">
        <f>IFERROR(VLOOKUP(C916,$C$9:H915,6,FALSE),"")</f>
        <v/>
      </c>
      <c r="N916" s="46" t="e">
        <f t="shared" si="44"/>
        <v>#DIV/0!</v>
      </c>
      <c r="O916" s="46" t="str">
        <f t="shared" si="45"/>
        <v/>
      </c>
      <c r="P916" s="46">
        <f t="shared" si="46"/>
        <v>1</v>
      </c>
    </row>
    <row r="917" spans="1:16" ht="14.25">
      <c r="A917" s="80"/>
      <c r="B917" s="80"/>
      <c r="C917" s="80"/>
      <c r="D917" s="80"/>
      <c r="E917" s="76" t="str">
        <f>IFERROR(VLOOKUP(C917,$C$9:E916,3,0),"")</f>
        <v/>
      </c>
      <c r="F917" s="57" t="str">
        <f>IFERROR(VLOOKUP(C917,$C$9:H916,4,FALSE),"")</f>
        <v/>
      </c>
      <c r="G917" s="61" t="str">
        <f>IFERROR(VLOOKUP(C917,$C$9:G916,5,FALSE),"")</f>
        <v/>
      </c>
      <c r="H917" s="61" t="str">
        <f>IFERROR(VLOOKUP(C917,$C$9:H916,6,FALSE),"")</f>
        <v/>
      </c>
      <c r="N917" s="46" t="e">
        <f t="shared" si="44"/>
        <v>#DIV/0!</v>
      </c>
      <c r="O917" s="46" t="str">
        <f t="shared" si="45"/>
        <v/>
      </c>
      <c r="P917" s="46">
        <f t="shared" si="46"/>
        <v>1</v>
      </c>
    </row>
    <row r="918" spans="1:16" ht="14.25">
      <c r="A918" s="80"/>
      <c r="B918" s="80"/>
      <c r="C918" s="80"/>
      <c r="D918" s="80"/>
      <c r="E918" s="76" t="str">
        <f>IFERROR(VLOOKUP(C918,$C$9:E917,3,0),"")</f>
        <v/>
      </c>
      <c r="F918" s="57" t="str">
        <f>IFERROR(VLOOKUP(C918,$C$9:H917,4,FALSE),"")</f>
        <v/>
      </c>
      <c r="G918" s="61" t="str">
        <f>IFERROR(VLOOKUP(C918,$C$9:G917,5,FALSE),"")</f>
        <v/>
      </c>
      <c r="H918" s="61" t="str">
        <f>IFERROR(VLOOKUP(C918,$C$9:H917,6,FALSE),"")</f>
        <v/>
      </c>
      <c r="N918" s="46" t="e">
        <f t="shared" si="44"/>
        <v>#DIV/0!</v>
      </c>
      <c r="O918" s="46" t="str">
        <f t="shared" si="45"/>
        <v/>
      </c>
      <c r="P918" s="46">
        <f t="shared" si="46"/>
        <v>1</v>
      </c>
    </row>
    <row r="919" spans="1:16" ht="14.25">
      <c r="A919" s="80"/>
      <c r="B919" s="80"/>
      <c r="C919" s="80"/>
      <c r="D919" s="80"/>
      <c r="E919" s="76" t="str">
        <f>IFERROR(VLOOKUP(C919,$C$9:E918,3,0),"")</f>
        <v/>
      </c>
      <c r="F919" s="57" t="str">
        <f>IFERROR(VLOOKUP(C919,$C$9:H918,4,FALSE),"")</f>
        <v/>
      </c>
      <c r="G919" s="61" t="str">
        <f>IFERROR(VLOOKUP(C919,$C$9:G918,5,FALSE),"")</f>
        <v/>
      </c>
      <c r="H919" s="61" t="str">
        <f>IFERROR(VLOOKUP(C919,$C$9:H918,6,FALSE),"")</f>
        <v/>
      </c>
      <c r="N919" s="46" t="e">
        <f t="shared" si="44"/>
        <v>#DIV/0!</v>
      </c>
      <c r="O919" s="46" t="str">
        <f t="shared" si="45"/>
        <v/>
      </c>
      <c r="P919" s="46">
        <f t="shared" si="46"/>
        <v>1</v>
      </c>
    </row>
    <row r="920" spans="1:16" ht="14.25">
      <c r="A920" s="80"/>
      <c r="B920" s="80"/>
      <c r="C920" s="80"/>
      <c r="D920" s="80"/>
      <c r="E920" s="76" t="str">
        <f>IFERROR(VLOOKUP(C920,$C$9:E919,3,0),"")</f>
        <v/>
      </c>
      <c r="F920" s="57" t="str">
        <f>IFERROR(VLOOKUP(C920,$C$9:H919,4,FALSE),"")</f>
        <v/>
      </c>
      <c r="G920" s="61" t="str">
        <f>IFERROR(VLOOKUP(C920,$C$9:G919,5,FALSE),"")</f>
        <v/>
      </c>
      <c r="H920" s="61" t="str">
        <f>IFERROR(VLOOKUP(C920,$C$9:H919,6,FALSE),"")</f>
        <v/>
      </c>
      <c r="N920" s="46" t="e">
        <f t="shared" si="44"/>
        <v>#DIV/0!</v>
      </c>
      <c r="O920" s="46" t="str">
        <f t="shared" si="45"/>
        <v/>
      </c>
      <c r="P920" s="46">
        <f t="shared" si="46"/>
        <v>1</v>
      </c>
    </row>
    <row r="921" spans="1:16" ht="14.25">
      <c r="A921" s="80"/>
      <c r="B921" s="80"/>
      <c r="C921" s="80"/>
      <c r="D921" s="80"/>
      <c r="E921" s="76" t="str">
        <f>IFERROR(VLOOKUP(C921,$C$9:E920,3,0),"")</f>
        <v/>
      </c>
      <c r="F921" s="57" t="str">
        <f>IFERROR(VLOOKUP(C921,$C$9:H920,4,FALSE),"")</f>
        <v/>
      </c>
      <c r="G921" s="61" t="str">
        <f>IFERROR(VLOOKUP(C921,$C$9:G920,5,FALSE),"")</f>
        <v/>
      </c>
      <c r="H921" s="61" t="str">
        <f>IFERROR(VLOOKUP(C921,$C$9:H920,6,FALSE),"")</f>
        <v/>
      </c>
      <c r="N921" s="46" t="e">
        <f t="shared" si="44"/>
        <v>#DIV/0!</v>
      </c>
      <c r="O921" s="46" t="str">
        <f t="shared" si="45"/>
        <v/>
      </c>
      <c r="P921" s="46">
        <f t="shared" si="46"/>
        <v>1</v>
      </c>
    </row>
    <row r="922" spans="1:16" ht="14.25">
      <c r="A922" s="80"/>
      <c r="B922" s="80"/>
      <c r="C922" s="80"/>
      <c r="D922" s="80"/>
      <c r="E922" s="76" t="str">
        <f>IFERROR(VLOOKUP(C922,$C$9:E921,3,0),"")</f>
        <v/>
      </c>
      <c r="F922" s="57" t="str">
        <f>IFERROR(VLOOKUP(C922,$C$9:H921,4,FALSE),"")</f>
        <v/>
      </c>
      <c r="G922" s="61" t="str">
        <f>IFERROR(VLOOKUP(C922,$C$9:G921,5,FALSE),"")</f>
        <v/>
      </c>
      <c r="H922" s="61" t="str">
        <f>IFERROR(VLOOKUP(C922,$C$9:H921,6,FALSE),"")</f>
        <v/>
      </c>
      <c r="N922" s="46" t="e">
        <f t="shared" si="44"/>
        <v>#DIV/0!</v>
      </c>
      <c r="O922" s="46" t="str">
        <f t="shared" si="45"/>
        <v/>
      </c>
      <c r="P922" s="46">
        <f t="shared" si="46"/>
        <v>1</v>
      </c>
    </row>
    <row r="923" spans="1:16" ht="14.25">
      <c r="A923" s="80"/>
      <c r="B923" s="80"/>
      <c r="C923" s="80"/>
      <c r="D923" s="80"/>
      <c r="E923" s="76" t="str">
        <f>IFERROR(VLOOKUP(C923,$C$9:E922,3,0),"")</f>
        <v/>
      </c>
      <c r="F923" s="57" t="str">
        <f>IFERROR(VLOOKUP(C923,$C$9:H922,4,FALSE),"")</f>
        <v/>
      </c>
      <c r="G923" s="61" t="str">
        <f>IFERROR(VLOOKUP(C923,$C$9:G922,5,FALSE),"")</f>
        <v/>
      </c>
      <c r="H923" s="61" t="str">
        <f>IFERROR(VLOOKUP(C923,$C$9:H922,6,FALSE),"")</f>
        <v/>
      </c>
      <c r="N923" s="46" t="e">
        <f t="shared" si="44"/>
        <v>#DIV/0!</v>
      </c>
      <c r="O923" s="46" t="str">
        <f t="shared" si="45"/>
        <v/>
      </c>
      <c r="P923" s="46">
        <f t="shared" si="46"/>
        <v>1</v>
      </c>
    </row>
    <row r="924" spans="1:16" ht="14.25">
      <c r="A924" s="80"/>
      <c r="B924" s="80"/>
      <c r="C924" s="80"/>
      <c r="D924" s="80"/>
      <c r="E924" s="76" t="str">
        <f>IFERROR(VLOOKUP(C924,$C$9:E923,3,0),"")</f>
        <v/>
      </c>
      <c r="F924" s="57" t="str">
        <f>IFERROR(VLOOKUP(C924,$C$9:H923,4,FALSE),"")</f>
        <v/>
      </c>
      <c r="G924" s="61" t="str">
        <f>IFERROR(VLOOKUP(C924,$C$9:G923,5,FALSE),"")</f>
        <v/>
      </c>
      <c r="H924" s="61" t="str">
        <f>IFERROR(VLOOKUP(C924,$C$9:H923,6,FALSE),"")</f>
        <v/>
      </c>
      <c r="N924" s="46" t="e">
        <f t="shared" si="44"/>
        <v>#DIV/0!</v>
      </c>
      <c r="O924" s="46" t="str">
        <f t="shared" si="45"/>
        <v/>
      </c>
      <c r="P924" s="46">
        <f t="shared" si="46"/>
        <v>1</v>
      </c>
    </row>
    <row r="925" spans="1:16" ht="14.25">
      <c r="A925" s="80"/>
      <c r="B925" s="80"/>
      <c r="C925" s="80"/>
      <c r="D925" s="80"/>
      <c r="E925" s="76" t="str">
        <f>IFERROR(VLOOKUP(C925,$C$9:E924,3,0),"")</f>
        <v/>
      </c>
      <c r="F925" s="57" t="str">
        <f>IFERROR(VLOOKUP(C925,$C$9:H924,4,FALSE),"")</f>
        <v/>
      </c>
      <c r="G925" s="61" t="str">
        <f>IFERROR(VLOOKUP(C925,$C$9:G924,5,FALSE),"")</f>
        <v/>
      </c>
      <c r="H925" s="61" t="str">
        <f>IFERROR(VLOOKUP(C925,$C$9:H924,6,FALSE),"")</f>
        <v/>
      </c>
      <c r="N925" s="46" t="e">
        <f t="shared" si="44"/>
        <v>#DIV/0!</v>
      </c>
      <c r="O925" s="46" t="str">
        <f t="shared" si="45"/>
        <v/>
      </c>
      <c r="P925" s="46">
        <f t="shared" si="46"/>
        <v>1</v>
      </c>
    </row>
    <row r="926" spans="1:16" ht="14.25">
      <c r="A926" s="80"/>
      <c r="B926" s="80"/>
      <c r="C926" s="80"/>
      <c r="D926" s="80"/>
      <c r="E926" s="76" t="str">
        <f>IFERROR(VLOOKUP(C926,$C$9:E925,3,0),"")</f>
        <v/>
      </c>
      <c r="F926" s="57" t="str">
        <f>IFERROR(VLOOKUP(C926,$C$9:H925,4,FALSE),"")</f>
        <v/>
      </c>
      <c r="G926" s="61" t="str">
        <f>IFERROR(VLOOKUP(C926,$C$9:G925,5,FALSE),"")</f>
        <v/>
      </c>
      <c r="H926" s="61" t="str">
        <f>IFERROR(VLOOKUP(C926,$C$9:H925,6,FALSE),"")</f>
        <v/>
      </c>
      <c r="N926" s="46" t="e">
        <f t="shared" si="44"/>
        <v>#DIV/0!</v>
      </c>
      <c r="O926" s="46" t="str">
        <f t="shared" si="45"/>
        <v/>
      </c>
      <c r="P926" s="46">
        <f t="shared" si="46"/>
        <v>1</v>
      </c>
    </row>
    <row r="927" spans="1:16" ht="14.25">
      <c r="A927" s="80"/>
      <c r="B927" s="80"/>
      <c r="C927" s="80"/>
      <c r="D927" s="80"/>
      <c r="E927" s="76" t="str">
        <f>IFERROR(VLOOKUP(C927,$C$9:E926,3,0),"")</f>
        <v/>
      </c>
      <c r="F927" s="57" t="str">
        <f>IFERROR(VLOOKUP(C927,$C$9:H926,4,FALSE),"")</f>
        <v/>
      </c>
      <c r="G927" s="61" t="str">
        <f>IFERROR(VLOOKUP(C927,$C$9:G926,5,FALSE),"")</f>
        <v/>
      </c>
      <c r="H927" s="61" t="str">
        <f>IFERROR(VLOOKUP(C927,$C$9:H926,6,FALSE),"")</f>
        <v/>
      </c>
      <c r="N927" s="46" t="e">
        <f t="shared" si="44"/>
        <v>#DIV/0!</v>
      </c>
      <c r="O927" s="46" t="str">
        <f t="shared" si="45"/>
        <v/>
      </c>
      <c r="P927" s="46">
        <f t="shared" si="46"/>
        <v>1</v>
      </c>
    </row>
    <row r="928" spans="1:16" ht="14.25">
      <c r="A928" s="80"/>
      <c r="B928" s="80"/>
      <c r="C928" s="80"/>
      <c r="D928" s="80"/>
      <c r="E928" s="76" t="str">
        <f>IFERROR(VLOOKUP(C928,$C$9:E927,3,0),"")</f>
        <v/>
      </c>
      <c r="F928" s="57" t="str">
        <f>IFERROR(VLOOKUP(C928,$C$9:H927,4,FALSE),"")</f>
        <v/>
      </c>
      <c r="G928" s="61" t="str">
        <f>IFERROR(VLOOKUP(C928,$C$9:G927,5,FALSE),"")</f>
        <v/>
      </c>
      <c r="H928" s="61" t="str">
        <f>IFERROR(VLOOKUP(C928,$C$9:H927,6,FALSE),"")</f>
        <v/>
      </c>
      <c r="N928" s="46" t="e">
        <f t="shared" si="44"/>
        <v>#DIV/0!</v>
      </c>
      <c r="O928" s="46" t="str">
        <f t="shared" si="45"/>
        <v/>
      </c>
      <c r="P928" s="46">
        <f t="shared" si="46"/>
        <v>1</v>
      </c>
    </row>
    <row r="929" spans="1:16" ht="14.25">
      <c r="A929" s="80"/>
      <c r="B929" s="80"/>
      <c r="C929" s="80"/>
      <c r="D929" s="80"/>
      <c r="E929" s="76" t="str">
        <f>IFERROR(VLOOKUP(C929,$C$9:E928,3,0),"")</f>
        <v/>
      </c>
      <c r="F929" s="57" t="str">
        <f>IFERROR(VLOOKUP(C929,$C$9:H928,4,FALSE),"")</f>
        <v/>
      </c>
      <c r="G929" s="61" t="str">
        <f>IFERROR(VLOOKUP(C929,$C$9:G928,5,FALSE),"")</f>
        <v/>
      </c>
      <c r="H929" s="61" t="str">
        <f>IFERROR(VLOOKUP(C929,$C$9:H928,6,FALSE),"")</f>
        <v/>
      </c>
      <c r="N929" s="46" t="e">
        <f t="shared" si="44"/>
        <v>#DIV/0!</v>
      </c>
      <c r="O929" s="46" t="str">
        <f t="shared" si="45"/>
        <v/>
      </c>
      <c r="P929" s="46">
        <f t="shared" si="46"/>
        <v>1</v>
      </c>
    </row>
    <row r="930" spans="1:16" ht="14.25">
      <c r="A930" s="80"/>
      <c r="B930" s="80"/>
      <c r="C930" s="80"/>
      <c r="D930" s="80"/>
      <c r="E930" s="76" t="str">
        <f>IFERROR(VLOOKUP(C930,$C$9:E929,3,0),"")</f>
        <v/>
      </c>
      <c r="F930" s="57" t="str">
        <f>IFERROR(VLOOKUP(C930,$C$9:H929,4,FALSE),"")</f>
        <v/>
      </c>
      <c r="G930" s="61" t="str">
        <f>IFERROR(VLOOKUP(C930,$C$9:G929,5,FALSE),"")</f>
        <v/>
      </c>
      <c r="H930" s="61" t="str">
        <f>IFERROR(VLOOKUP(C930,$C$9:H929,6,FALSE),"")</f>
        <v/>
      </c>
      <c r="N930" s="46" t="e">
        <f t="shared" si="44"/>
        <v>#DIV/0!</v>
      </c>
      <c r="O930" s="46" t="str">
        <f t="shared" si="45"/>
        <v/>
      </c>
      <c r="P930" s="46">
        <f t="shared" si="46"/>
        <v>1</v>
      </c>
    </row>
    <row r="931" spans="1:16" ht="14.25">
      <c r="A931" s="80"/>
      <c r="B931" s="80"/>
      <c r="C931" s="80"/>
      <c r="D931" s="80"/>
      <c r="E931" s="76" t="str">
        <f>IFERROR(VLOOKUP(C931,$C$9:E930,3,0),"")</f>
        <v/>
      </c>
      <c r="F931" s="57" t="str">
        <f>IFERROR(VLOOKUP(C931,$C$9:H930,4,FALSE),"")</f>
        <v/>
      </c>
      <c r="G931" s="61" t="str">
        <f>IFERROR(VLOOKUP(C931,$C$9:G930,5,FALSE),"")</f>
        <v/>
      </c>
      <c r="H931" s="61" t="str">
        <f>IFERROR(VLOOKUP(C931,$C$9:H930,6,FALSE),"")</f>
        <v/>
      </c>
      <c r="N931" s="46" t="e">
        <f t="shared" si="44"/>
        <v>#DIV/0!</v>
      </c>
      <c r="O931" s="46" t="str">
        <f t="shared" si="45"/>
        <v/>
      </c>
      <c r="P931" s="46">
        <f t="shared" si="46"/>
        <v>1</v>
      </c>
    </row>
    <row r="932" spans="1:16" ht="14.25">
      <c r="A932" s="80"/>
      <c r="B932" s="80"/>
      <c r="C932" s="80"/>
      <c r="D932" s="80"/>
      <c r="E932" s="76" t="str">
        <f>IFERROR(VLOOKUP(C932,$C$9:E931,3,0),"")</f>
        <v/>
      </c>
      <c r="F932" s="57" t="str">
        <f>IFERROR(VLOOKUP(C932,$C$9:H931,4,FALSE),"")</f>
        <v/>
      </c>
      <c r="G932" s="61" t="str">
        <f>IFERROR(VLOOKUP(C932,$C$9:G931,5,FALSE),"")</f>
        <v/>
      </c>
      <c r="H932" s="61" t="str">
        <f>IFERROR(VLOOKUP(C932,$C$9:H931,6,FALSE),"")</f>
        <v/>
      </c>
      <c r="N932" s="46" t="e">
        <f t="shared" si="44"/>
        <v>#DIV/0!</v>
      </c>
      <c r="O932" s="46" t="str">
        <f t="shared" si="45"/>
        <v/>
      </c>
      <c r="P932" s="46">
        <f t="shared" si="46"/>
        <v>1</v>
      </c>
    </row>
    <row r="933" spans="1:16" ht="14.25">
      <c r="A933" s="80"/>
      <c r="B933" s="80"/>
      <c r="C933" s="80"/>
      <c r="D933" s="80"/>
      <c r="E933" s="76" t="str">
        <f>IFERROR(VLOOKUP(C933,$C$9:E932,3,0),"")</f>
        <v/>
      </c>
      <c r="F933" s="57" t="str">
        <f>IFERROR(VLOOKUP(C933,$C$9:H932,4,FALSE),"")</f>
        <v/>
      </c>
      <c r="G933" s="61" t="str">
        <f>IFERROR(VLOOKUP(C933,$C$9:G932,5,FALSE),"")</f>
        <v/>
      </c>
      <c r="H933" s="61" t="str">
        <f>IFERROR(VLOOKUP(C933,$C$9:H932,6,FALSE),"")</f>
        <v/>
      </c>
      <c r="N933" s="46" t="e">
        <f t="shared" si="44"/>
        <v>#DIV/0!</v>
      </c>
      <c r="O933" s="46" t="str">
        <f t="shared" si="45"/>
        <v/>
      </c>
      <c r="P933" s="46">
        <f t="shared" si="46"/>
        <v>1</v>
      </c>
    </row>
    <row r="934" spans="1:16" ht="14.25">
      <c r="A934" s="80"/>
      <c r="B934" s="80"/>
      <c r="C934" s="80"/>
      <c r="D934" s="80"/>
      <c r="E934" s="76" t="str">
        <f>IFERROR(VLOOKUP(C934,$C$9:E933,3,0),"")</f>
        <v/>
      </c>
      <c r="F934" s="57" t="str">
        <f>IFERROR(VLOOKUP(C934,$C$9:H933,4,FALSE),"")</f>
        <v/>
      </c>
      <c r="G934" s="61" t="str">
        <f>IFERROR(VLOOKUP(C934,$C$9:G933,5,FALSE),"")</f>
        <v/>
      </c>
      <c r="H934" s="61" t="str">
        <f>IFERROR(VLOOKUP(C934,$C$9:H933,6,FALSE),"")</f>
        <v/>
      </c>
      <c r="N934" s="46" t="e">
        <f t="shared" si="44"/>
        <v>#DIV/0!</v>
      </c>
      <c r="O934" s="46" t="str">
        <f t="shared" si="45"/>
        <v/>
      </c>
      <c r="P934" s="46">
        <f t="shared" si="46"/>
        <v>1</v>
      </c>
    </row>
    <row r="935" spans="1:16" ht="14.25">
      <c r="A935" s="80"/>
      <c r="B935" s="80"/>
      <c r="C935" s="80"/>
      <c r="D935" s="80"/>
      <c r="E935" s="76" t="str">
        <f>IFERROR(VLOOKUP(C935,$C$9:E934,3,0),"")</f>
        <v/>
      </c>
      <c r="F935" s="57" t="str">
        <f>IFERROR(VLOOKUP(C935,$C$9:H934,4,FALSE),"")</f>
        <v/>
      </c>
      <c r="G935" s="61" t="str">
        <f>IFERROR(VLOOKUP(C935,$C$9:G934,5,FALSE),"")</f>
        <v/>
      </c>
      <c r="H935" s="61" t="str">
        <f>IFERROR(VLOOKUP(C935,$C$9:H934,6,FALSE),"")</f>
        <v/>
      </c>
      <c r="N935" s="46" t="e">
        <f t="shared" si="44"/>
        <v>#DIV/0!</v>
      </c>
      <c r="O935" s="46" t="str">
        <f t="shared" si="45"/>
        <v/>
      </c>
      <c r="P935" s="46">
        <f t="shared" si="46"/>
        <v>1</v>
      </c>
    </row>
    <row r="936" spans="1:16" ht="14.25">
      <c r="A936" s="80"/>
      <c r="B936" s="80"/>
      <c r="C936" s="80"/>
      <c r="D936" s="80"/>
      <c r="E936" s="76" t="str">
        <f>IFERROR(VLOOKUP(C936,$C$9:E935,3,0),"")</f>
        <v/>
      </c>
      <c r="F936" s="57" t="str">
        <f>IFERROR(VLOOKUP(C936,$C$9:H935,4,FALSE),"")</f>
        <v/>
      </c>
      <c r="G936" s="61" t="str">
        <f>IFERROR(VLOOKUP(C936,$C$9:G935,5,FALSE),"")</f>
        <v/>
      </c>
      <c r="H936" s="61" t="str">
        <f>IFERROR(VLOOKUP(C936,$C$9:H935,6,FALSE),"")</f>
        <v/>
      </c>
      <c r="N936" s="46" t="e">
        <f t="shared" si="44"/>
        <v>#DIV/0!</v>
      </c>
      <c r="O936" s="46" t="str">
        <f t="shared" si="45"/>
        <v/>
      </c>
      <c r="P936" s="46">
        <f t="shared" si="46"/>
        <v>1</v>
      </c>
    </row>
    <row r="937" spans="1:16" ht="14.25">
      <c r="A937" s="80"/>
      <c r="B937" s="80"/>
      <c r="C937" s="80"/>
      <c r="D937" s="80"/>
      <c r="E937" s="76" t="str">
        <f>IFERROR(VLOOKUP(C937,$C$9:E936,3,0),"")</f>
        <v/>
      </c>
      <c r="F937" s="57" t="str">
        <f>IFERROR(VLOOKUP(C937,$C$9:H936,4,FALSE),"")</f>
        <v/>
      </c>
      <c r="G937" s="61" t="str">
        <f>IFERROR(VLOOKUP(C937,$C$9:G936,5,FALSE),"")</f>
        <v/>
      </c>
      <c r="H937" s="61" t="str">
        <f>IFERROR(VLOOKUP(C937,$C$9:H936,6,FALSE),"")</f>
        <v/>
      </c>
      <c r="N937" s="46" t="e">
        <f t="shared" si="44"/>
        <v>#DIV/0!</v>
      </c>
      <c r="O937" s="46" t="str">
        <f t="shared" si="45"/>
        <v/>
      </c>
      <c r="P937" s="46">
        <f t="shared" si="46"/>
        <v>1</v>
      </c>
    </row>
    <row r="938" spans="1:16" ht="14.25">
      <c r="A938" s="80"/>
      <c r="B938" s="80"/>
      <c r="C938" s="80"/>
      <c r="D938" s="80"/>
      <c r="E938" s="76" t="str">
        <f>IFERROR(VLOOKUP(C938,$C$9:E937,3,0),"")</f>
        <v/>
      </c>
      <c r="F938" s="57" t="str">
        <f>IFERROR(VLOOKUP(C938,$C$9:H937,4,FALSE),"")</f>
        <v/>
      </c>
      <c r="G938" s="61" t="str">
        <f>IFERROR(VLOOKUP(C938,$C$9:G937,5,FALSE),"")</f>
        <v/>
      </c>
      <c r="H938" s="61" t="str">
        <f>IFERROR(VLOOKUP(C938,$C$9:H937,6,FALSE),"")</f>
        <v/>
      </c>
      <c r="N938" s="46" t="e">
        <f t="shared" si="44"/>
        <v>#DIV/0!</v>
      </c>
      <c r="O938" s="46" t="str">
        <f t="shared" si="45"/>
        <v/>
      </c>
      <c r="P938" s="46">
        <f t="shared" si="46"/>
        <v>1</v>
      </c>
    </row>
    <row r="939" spans="1:16" ht="14.25">
      <c r="A939" s="80"/>
      <c r="B939" s="80"/>
      <c r="C939" s="80"/>
      <c r="D939" s="80"/>
      <c r="E939" s="76" t="str">
        <f>IFERROR(VLOOKUP(C939,$C$9:E938,3,0),"")</f>
        <v/>
      </c>
      <c r="F939" s="57" t="str">
        <f>IFERROR(VLOOKUP(C939,$C$9:H938,4,FALSE),"")</f>
        <v/>
      </c>
      <c r="G939" s="61" t="str">
        <f>IFERROR(VLOOKUP(C939,$C$9:G938,5,FALSE),"")</f>
        <v/>
      </c>
      <c r="H939" s="61" t="str">
        <f>IFERROR(VLOOKUP(C939,$C$9:H938,6,FALSE),"")</f>
        <v/>
      </c>
      <c r="N939" s="46" t="e">
        <f t="shared" si="44"/>
        <v>#DIV/0!</v>
      </c>
      <c r="O939" s="46" t="str">
        <f t="shared" si="45"/>
        <v/>
      </c>
      <c r="P939" s="46">
        <f t="shared" si="46"/>
        <v>1</v>
      </c>
    </row>
    <row r="940" spans="1:16" ht="14.25">
      <c r="A940" s="80"/>
      <c r="B940" s="80"/>
      <c r="C940" s="80"/>
      <c r="D940" s="80"/>
      <c r="E940" s="76" t="str">
        <f>IFERROR(VLOOKUP(C940,$C$9:E939,3,0),"")</f>
        <v/>
      </c>
      <c r="F940" s="57" t="str">
        <f>IFERROR(VLOOKUP(C940,$C$9:H939,4,FALSE),"")</f>
        <v/>
      </c>
      <c r="G940" s="61" t="str">
        <f>IFERROR(VLOOKUP(C940,$C$9:G939,5,FALSE),"")</f>
        <v/>
      </c>
      <c r="H940" s="61" t="str">
        <f>IFERROR(VLOOKUP(C940,$C$9:H939,6,FALSE),"")</f>
        <v/>
      </c>
      <c r="N940" s="46" t="e">
        <f t="shared" si="44"/>
        <v>#DIV/0!</v>
      </c>
      <c r="O940" s="46" t="str">
        <f t="shared" si="45"/>
        <v/>
      </c>
      <c r="P940" s="46">
        <f t="shared" si="46"/>
        <v>1</v>
      </c>
    </row>
    <row r="941" spans="1:16" ht="14.25">
      <c r="A941" s="80"/>
      <c r="B941" s="80"/>
      <c r="C941" s="80"/>
      <c r="D941" s="80"/>
      <c r="E941" s="76" t="str">
        <f>IFERROR(VLOOKUP(C941,$C$9:E940,3,0),"")</f>
        <v/>
      </c>
      <c r="F941" s="57" t="str">
        <f>IFERROR(VLOOKUP(C941,$C$9:H940,4,FALSE),"")</f>
        <v/>
      </c>
      <c r="G941" s="61" t="str">
        <f>IFERROR(VLOOKUP(C941,$C$9:G940,5,FALSE),"")</f>
        <v/>
      </c>
      <c r="H941" s="61" t="str">
        <f>IFERROR(VLOOKUP(C941,$C$9:H940,6,FALSE),"")</f>
        <v/>
      </c>
      <c r="N941" s="46" t="e">
        <f t="shared" si="44"/>
        <v>#DIV/0!</v>
      </c>
      <c r="O941" s="46" t="str">
        <f t="shared" si="45"/>
        <v/>
      </c>
      <c r="P941" s="46">
        <f t="shared" si="46"/>
        <v>1</v>
      </c>
    </row>
    <row r="942" spans="1:16" ht="14.25">
      <c r="A942" s="80"/>
      <c r="B942" s="80"/>
      <c r="C942" s="80"/>
      <c r="D942" s="80"/>
      <c r="E942" s="76" t="str">
        <f>IFERROR(VLOOKUP(C942,$C$9:E941,3,0),"")</f>
        <v/>
      </c>
      <c r="F942" s="57" t="str">
        <f>IFERROR(VLOOKUP(C942,$C$9:H941,4,FALSE),"")</f>
        <v/>
      </c>
      <c r="G942" s="61" t="str">
        <f>IFERROR(VLOOKUP(C942,$C$9:G941,5,FALSE),"")</f>
        <v/>
      </c>
      <c r="H942" s="61" t="str">
        <f>IFERROR(VLOOKUP(C942,$C$9:H941,6,FALSE),"")</f>
        <v/>
      </c>
      <c r="N942" s="46" t="e">
        <f t="shared" si="44"/>
        <v>#DIV/0!</v>
      </c>
      <c r="O942" s="46" t="str">
        <f t="shared" si="45"/>
        <v/>
      </c>
      <c r="P942" s="46">
        <f t="shared" si="46"/>
        <v>1</v>
      </c>
    </row>
    <row r="943" spans="1:16" ht="14.25">
      <c r="A943" s="80"/>
      <c r="B943" s="80"/>
      <c r="C943" s="80"/>
      <c r="D943" s="80"/>
      <c r="E943" s="76" t="str">
        <f>IFERROR(VLOOKUP(C943,$C$9:E942,3,0),"")</f>
        <v/>
      </c>
      <c r="F943" s="57" t="str">
        <f>IFERROR(VLOOKUP(C943,$C$9:H942,4,FALSE),"")</f>
        <v/>
      </c>
      <c r="G943" s="61" t="str">
        <f>IFERROR(VLOOKUP(C943,$C$9:G942,5,FALSE),"")</f>
        <v/>
      </c>
      <c r="H943" s="61" t="str">
        <f>IFERROR(VLOOKUP(C943,$C$9:H942,6,FALSE),"")</f>
        <v/>
      </c>
      <c r="N943" s="46" t="e">
        <f t="shared" si="44"/>
        <v>#DIV/0!</v>
      </c>
      <c r="O943" s="46" t="str">
        <f t="shared" si="45"/>
        <v/>
      </c>
      <c r="P943" s="46">
        <f t="shared" si="46"/>
        <v>1</v>
      </c>
    </row>
    <row r="944" spans="1:16" ht="14.25">
      <c r="A944" s="80"/>
      <c r="B944" s="80"/>
      <c r="C944" s="80"/>
      <c r="D944" s="80"/>
      <c r="E944" s="76" t="str">
        <f>IFERROR(VLOOKUP(C944,$C$9:E943,3,0),"")</f>
        <v/>
      </c>
      <c r="F944" s="57" t="str">
        <f>IFERROR(VLOOKUP(C944,$C$9:H943,4,FALSE),"")</f>
        <v/>
      </c>
      <c r="G944" s="61" t="str">
        <f>IFERROR(VLOOKUP(C944,$C$9:G943,5,FALSE),"")</f>
        <v/>
      </c>
      <c r="H944" s="61" t="str">
        <f>IFERROR(VLOOKUP(C944,$C$9:H943,6,FALSE),"")</f>
        <v/>
      </c>
      <c r="N944" s="46" t="e">
        <f t="shared" si="44"/>
        <v>#DIV/0!</v>
      </c>
      <c r="O944" s="46" t="str">
        <f t="shared" si="45"/>
        <v/>
      </c>
      <c r="P944" s="46">
        <f t="shared" si="46"/>
        <v>1</v>
      </c>
    </row>
    <row r="945" spans="1:16" ht="14.25">
      <c r="A945" s="80"/>
      <c r="B945" s="80"/>
      <c r="C945" s="80"/>
      <c r="D945" s="80"/>
      <c r="E945" s="76" t="str">
        <f>IFERROR(VLOOKUP(C945,$C$9:E944,3,0),"")</f>
        <v/>
      </c>
      <c r="F945" s="57" t="str">
        <f>IFERROR(VLOOKUP(C945,$C$9:H944,4,FALSE),"")</f>
        <v/>
      </c>
      <c r="G945" s="61" t="str">
        <f>IFERROR(VLOOKUP(C945,$C$9:G944,5,FALSE),"")</f>
        <v/>
      </c>
      <c r="H945" s="61" t="str">
        <f>IFERROR(VLOOKUP(C945,$C$9:H944,6,FALSE),"")</f>
        <v/>
      </c>
      <c r="N945" s="46" t="e">
        <f t="shared" si="44"/>
        <v>#DIV/0!</v>
      </c>
      <c r="O945" s="46" t="str">
        <f t="shared" si="45"/>
        <v/>
      </c>
      <c r="P945" s="46">
        <f t="shared" si="46"/>
        <v>1</v>
      </c>
    </row>
    <row r="946" spans="1:16" ht="14.25">
      <c r="A946" s="80"/>
      <c r="B946" s="80"/>
      <c r="C946" s="80"/>
      <c r="D946" s="80"/>
      <c r="E946" s="76" t="str">
        <f>IFERROR(VLOOKUP(C946,$C$9:E945,3,0),"")</f>
        <v/>
      </c>
      <c r="F946" s="57" t="str">
        <f>IFERROR(VLOOKUP(C946,$C$9:H945,4,FALSE),"")</f>
        <v/>
      </c>
      <c r="G946" s="61" t="str">
        <f>IFERROR(VLOOKUP(C946,$C$9:G945,5,FALSE),"")</f>
        <v/>
      </c>
      <c r="H946" s="61" t="str">
        <f>IFERROR(VLOOKUP(C946,$C$9:H945,6,FALSE),"")</f>
        <v/>
      </c>
      <c r="N946" s="46" t="e">
        <f t="shared" si="44"/>
        <v>#DIV/0!</v>
      </c>
      <c r="O946" s="46" t="str">
        <f t="shared" si="45"/>
        <v/>
      </c>
      <c r="P946" s="46">
        <f t="shared" si="46"/>
        <v>1</v>
      </c>
    </row>
    <row r="947" spans="1:16" ht="14.25">
      <c r="A947" s="80"/>
      <c r="B947" s="80"/>
      <c r="C947" s="80"/>
      <c r="D947" s="80"/>
      <c r="E947" s="76" t="str">
        <f>IFERROR(VLOOKUP(C947,$C$9:E946,3,0),"")</f>
        <v/>
      </c>
      <c r="F947" s="57" t="str">
        <f>IFERROR(VLOOKUP(C947,$C$9:H946,4,FALSE),"")</f>
        <v/>
      </c>
      <c r="G947" s="61" t="str">
        <f>IFERROR(VLOOKUP(C947,$C$9:G946,5,FALSE),"")</f>
        <v/>
      </c>
      <c r="H947" s="61" t="str">
        <f>IFERROR(VLOOKUP(C947,$C$9:H946,6,FALSE),"")</f>
        <v/>
      </c>
      <c r="N947" s="46" t="e">
        <f t="shared" si="44"/>
        <v>#DIV/0!</v>
      </c>
      <c r="O947" s="46" t="str">
        <f t="shared" si="45"/>
        <v/>
      </c>
      <c r="P947" s="46">
        <f t="shared" si="46"/>
        <v>1</v>
      </c>
    </row>
    <row r="948" spans="1:16" ht="14.25">
      <c r="A948" s="80"/>
      <c r="B948" s="80"/>
      <c r="C948" s="80"/>
      <c r="D948" s="80"/>
      <c r="E948" s="76" t="str">
        <f>IFERROR(VLOOKUP(C948,$C$9:E947,3,0),"")</f>
        <v/>
      </c>
      <c r="F948" s="57" t="str">
        <f>IFERROR(VLOOKUP(C948,$C$9:H947,4,FALSE),"")</f>
        <v/>
      </c>
      <c r="G948" s="61" t="str">
        <f>IFERROR(VLOOKUP(C948,$C$9:G947,5,FALSE),"")</f>
        <v/>
      </c>
      <c r="H948" s="61" t="str">
        <f>IFERROR(VLOOKUP(C948,$C$9:H947,6,FALSE),"")</f>
        <v/>
      </c>
      <c r="N948" s="46" t="e">
        <f t="shared" si="44"/>
        <v>#DIV/0!</v>
      </c>
      <c r="O948" s="46" t="str">
        <f t="shared" si="45"/>
        <v/>
      </c>
      <c r="P948" s="46">
        <f t="shared" si="46"/>
        <v>1</v>
      </c>
    </row>
    <row r="949" spans="1:16" ht="14.25">
      <c r="A949" s="80"/>
      <c r="B949" s="80"/>
      <c r="C949" s="80"/>
      <c r="D949" s="80"/>
      <c r="E949" s="76" t="str">
        <f>IFERROR(VLOOKUP(C949,$C$9:E948,3,0),"")</f>
        <v/>
      </c>
      <c r="F949" s="57" t="str">
        <f>IFERROR(VLOOKUP(C949,$C$9:H948,4,FALSE),"")</f>
        <v/>
      </c>
      <c r="G949" s="61" t="str">
        <f>IFERROR(VLOOKUP(C949,$C$9:G948,5,FALSE),"")</f>
        <v/>
      </c>
      <c r="H949" s="61" t="str">
        <f>IFERROR(VLOOKUP(C949,$C$9:H948,6,FALSE),"")</f>
        <v/>
      </c>
      <c r="N949" s="46" t="e">
        <f t="shared" si="44"/>
        <v>#DIV/0!</v>
      </c>
      <c r="O949" s="46" t="str">
        <f t="shared" si="45"/>
        <v/>
      </c>
      <c r="P949" s="46">
        <f t="shared" si="46"/>
        <v>1</v>
      </c>
    </row>
    <row r="950" spans="1:16" ht="14.25">
      <c r="A950" s="80"/>
      <c r="B950" s="80"/>
      <c r="C950" s="80"/>
      <c r="D950" s="80"/>
      <c r="E950" s="76" t="str">
        <f>IFERROR(VLOOKUP(C950,$C$9:E949,3,0),"")</f>
        <v/>
      </c>
      <c r="F950" s="57" t="str">
        <f>IFERROR(VLOOKUP(C950,$C$9:H949,4,FALSE),"")</f>
        <v/>
      </c>
      <c r="G950" s="61" t="str">
        <f>IFERROR(VLOOKUP(C950,$C$9:G949,5,FALSE),"")</f>
        <v/>
      </c>
      <c r="H950" s="61" t="str">
        <f>IFERROR(VLOOKUP(C950,$C$9:H949,6,FALSE),"")</f>
        <v/>
      </c>
      <c r="N950" s="46" t="e">
        <f t="shared" si="44"/>
        <v>#DIV/0!</v>
      </c>
      <c r="O950" s="46" t="str">
        <f t="shared" si="45"/>
        <v/>
      </c>
      <c r="P950" s="46">
        <f t="shared" si="46"/>
        <v>1</v>
      </c>
    </row>
    <row r="951" spans="1:16" ht="14.25">
      <c r="A951" s="80"/>
      <c r="B951" s="80"/>
      <c r="C951" s="80"/>
      <c r="D951" s="80"/>
      <c r="E951" s="76" t="str">
        <f>IFERROR(VLOOKUP(C951,$C$9:E950,3,0),"")</f>
        <v/>
      </c>
      <c r="F951" s="57" t="str">
        <f>IFERROR(VLOOKUP(C951,$C$9:H950,4,FALSE),"")</f>
        <v/>
      </c>
      <c r="G951" s="61" t="str">
        <f>IFERROR(VLOOKUP(C951,$C$9:G950,5,FALSE),"")</f>
        <v/>
      </c>
      <c r="H951" s="61" t="str">
        <f>IFERROR(VLOOKUP(C951,$C$9:H950,6,FALSE),"")</f>
        <v/>
      </c>
      <c r="N951" s="46" t="e">
        <f t="shared" si="44"/>
        <v>#DIV/0!</v>
      </c>
      <c r="O951" s="46" t="str">
        <f t="shared" si="45"/>
        <v/>
      </c>
      <c r="P951" s="46">
        <f t="shared" si="46"/>
        <v>1</v>
      </c>
    </row>
    <row r="952" spans="1:16" ht="14.25">
      <c r="A952" s="80"/>
      <c r="B952" s="80"/>
      <c r="C952" s="80"/>
      <c r="D952" s="80"/>
      <c r="E952" s="76" t="str">
        <f>IFERROR(VLOOKUP(C952,$C$9:E951,3,0),"")</f>
        <v/>
      </c>
      <c r="F952" s="57" t="str">
        <f>IFERROR(VLOOKUP(C952,$C$9:H951,4,FALSE),"")</f>
        <v/>
      </c>
      <c r="G952" s="61" t="str">
        <f>IFERROR(VLOOKUP(C952,$C$9:G951,5,FALSE),"")</f>
        <v/>
      </c>
      <c r="H952" s="61" t="str">
        <f>IFERROR(VLOOKUP(C952,$C$9:H951,6,FALSE),"")</f>
        <v/>
      </c>
      <c r="N952" s="46" t="e">
        <f t="shared" si="44"/>
        <v>#DIV/0!</v>
      </c>
      <c r="O952" s="46" t="str">
        <f t="shared" si="45"/>
        <v/>
      </c>
      <c r="P952" s="46">
        <f t="shared" si="46"/>
        <v>1</v>
      </c>
    </row>
    <row r="953" spans="1:16" ht="14.25">
      <c r="A953" s="80"/>
      <c r="B953" s="80"/>
      <c r="C953" s="80"/>
      <c r="D953" s="80"/>
      <c r="E953" s="76" t="str">
        <f>IFERROR(VLOOKUP(C953,$C$9:E952,3,0),"")</f>
        <v/>
      </c>
      <c r="F953" s="57" t="str">
        <f>IFERROR(VLOOKUP(C953,$C$9:H952,4,FALSE),"")</f>
        <v/>
      </c>
      <c r="G953" s="61" t="str">
        <f>IFERROR(VLOOKUP(C953,$C$9:G952,5,FALSE),"")</f>
        <v/>
      </c>
      <c r="H953" s="61" t="str">
        <f>IFERROR(VLOOKUP(C953,$C$9:H952,6,FALSE),"")</f>
        <v/>
      </c>
      <c r="N953" s="46" t="e">
        <f t="shared" si="44"/>
        <v>#DIV/0!</v>
      </c>
      <c r="O953" s="46" t="str">
        <f t="shared" si="45"/>
        <v/>
      </c>
      <c r="P953" s="46">
        <f t="shared" si="46"/>
        <v>1</v>
      </c>
    </row>
    <row r="954" spans="1:16" ht="14.25">
      <c r="A954" s="80"/>
      <c r="B954" s="80"/>
      <c r="C954" s="80"/>
      <c r="D954" s="80"/>
      <c r="E954" s="76" t="str">
        <f>IFERROR(VLOOKUP(C954,$C$9:E953,3,0),"")</f>
        <v/>
      </c>
      <c r="F954" s="57" t="str">
        <f>IFERROR(VLOOKUP(C954,$C$9:H953,4,FALSE),"")</f>
        <v/>
      </c>
      <c r="G954" s="61" t="str">
        <f>IFERROR(VLOOKUP(C954,$C$9:G953,5,FALSE),"")</f>
        <v/>
      </c>
      <c r="H954" s="61" t="str">
        <f>IFERROR(VLOOKUP(C954,$C$9:H953,6,FALSE),"")</f>
        <v/>
      </c>
      <c r="N954" s="46" t="e">
        <f t="shared" si="44"/>
        <v>#DIV/0!</v>
      </c>
      <c r="O954" s="46" t="str">
        <f t="shared" si="45"/>
        <v/>
      </c>
      <c r="P954" s="46">
        <f t="shared" si="46"/>
        <v>1</v>
      </c>
    </row>
    <row r="955" spans="1:16" ht="14.25">
      <c r="A955" s="80"/>
      <c r="B955" s="80"/>
      <c r="C955" s="80"/>
      <c r="D955" s="80"/>
      <c r="E955" s="76" t="str">
        <f>IFERROR(VLOOKUP(C955,$C$9:E954,3,0),"")</f>
        <v/>
      </c>
      <c r="F955" s="57" t="str">
        <f>IFERROR(VLOOKUP(C955,$C$9:H954,4,FALSE),"")</f>
        <v/>
      </c>
      <c r="G955" s="61" t="str">
        <f>IFERROR(VLOOKUP(C955,$C$9:G954,5,FALSE),"")</f>
        <v/>
      </c>
      <c r="H955" s="61" t="str">
        <f>IFERROR(VLOOKUP(C955,$C$9:H954,6,FALSE),"")</f>
        <v/>
      </c>
      <c r="N955" s="46" t="e">
        <f t="shared" si="44"/>
        <v>#DIV/0!</v>
      </c>
      <c r="O955" s="46" t="str">
        <f t="shared" si="45"/>
        <v/>
      </c>
      <c r="P955" s="46">
        <f t="shared" si="46"/>
        <v>1</v>
      </c>
    </row>
    <row r="956" spans="1:16" ht="14.25">
      <c r="A956" s="80"/>
      <c r="B956" s="80"/>
      <c r="C956" s="80"/>
      <c r="D956" s="80"/>
      <c r="E956" s="76" t="str">
        <f>IFERROR(VLOOKUP(C956,$C$9:E955,3,0),"")</f>
        <v/>
      </c>
      <c r="F956" s="57" t="str">
        <f>IFERROR(VLOOKUP(C956,$C$9:H955,4,FALSE),"")</f>
        <v/>
      </c>
      <c r="G956" s="61" t="str">
        <f>IFERROR(VLOOKUP(C956,$C$9:G955,5,FALSE),"")</f>
        <v/>
      </c>
      <c r="H956" s="61" t="str">
        <f>IFERROR(VLOOKUP(C956,$C$9:H955,6,FALSE),"")</f>
        <v/>
      </c>
      <c r="N956" s="46" t="e">
        <f t="shared" si="44"/>
        <v>#DIV/0!</v>
      </c>
      <c r="O956" s="46" t="str">
        <f t="shared" si="45"/>
        <v/>
      </c>
      <c r="P956" s="46">
        <f t="shared" si="46"/>
        <v>1</v>
      </c>
    </row>
    <row r="957" spans="1:16" ht="14.25">
      <c r="A957" s="80"/>
      <c r="B957" s="80"/>
      <c r="C957" s="80"/>
      <c r="D957" s="80"/>
      <c r="E957" s="76" t="str">
        <f>IFERROR(VLOOKUP(C957,$C$9:E956,3,0),"")</f>
        <v/>
      </c>
      <c r="F957" s="57" t="str">
        <f>IFERROR(VLOOKUP(C957,$C$9:H956,4,FALSE),"")</f>
        <v/>
      </c>
      <c r="G957" s="61" t="str">
        <f>IFERROR(VLOOKUP(C957,$C$9:G956,5,FALSE),"")</f>
        <v/>
      </c>
      <c r="H957" s="61" t="str">
        <f>IFERROR(VLOOKUP(C957,$C$9:H956,6,FALSE),"")</f>
        <v/>
      </c>
      <c r="N957" s="46" t="e">
        <f t="shared" si="44"/>
        <v>#DIV/0!</v>
      </c>
      <c r="O957" s="46" t="str">
        <f t="shared" si="45"/>
        <v/>
      </c>
      <c r="P957" s="46">
        <f t="shared" si="46"/>
        <v>1</v>
      </c>
    </row>
    <row r="958" spans="1:16" ht="14.25">
      <c r="A958" s="80"/>
      <c r="B958" s="80"/>
      <c r="C958" s="80"/>
      <c r="D958" s="80"/>
      <c r="E958" s="76" t="str">
        <f>IFERROR(VLOOKUP(C958,$C$9:E957,3,0),"")</f>
        <v/>
      </c>
      <c r="F958" s="57" t="str">
        <f>IFERROR(VLOOKUP(C958,$C$9:H957,4,FALSE),"")</f>
        <v/>
      </c>
      <c r="G958" s="61" t="str">
        <f>IFERROR(VLOOKUP(C958,$C$9:G957,5,FALSE),"")</f>
        <v/>
      </c>
      <c r="H958" s="61" t="str">
        <f>IFERROR(VLOOKUP(C958,$C$9:H957,6,FALSE),"")</f>
        <v/>
      </c>
      <c r="N958" s="46" t="e">
        <f t="shared" si="44"/>
        <v>#DIV/0!</v>
      </c>
      <c r="O958" s="46" t="str">
        <f t="shared" si="45"/>
        <v/>
      </c>
      <c r="P958" s="46">
        <f t="shared" si="46"/>
        <v>1</v>
      </c>
    </row>
    <row r="959" spans="1:16" ht="14.25">
      <c r="A959" s="80"/>
      <c r="B959" s="80"/>
      <c r="C959" s="80"/>
      <c r="D959" s="80"/>
      <c r="E959" s="76" t="str">
        <f>IFERROR(VLOOKUP(C959,$C$9:E958,3,0),"")</f>
        <v/>
      </c>
      <c r="F959" s="57" t="str">
        <f>IFERROR(VLOOKUP(C959,$C$9:H958,4,FALSE),"")</f>
        <v/>
      </c>
      <c r="G959" s="61" t="str">
        <f>IFERROR(VLOOKUP(C959,$C$9:G958,5,FALSE),"")</f>
        <v/>
      </c>
      <c r="H959" s="61" t="str">
        <f>IFERROR(VLOOKUP(C959,$C$9:H958,6,FALSE),"")</f>
        <v/>
      </c>
      <c r="N959" s="46" t="e">
        <f t="shared" si="44"/>
        <v>#DIV/0!</v>
      </c>
      <c r="O959" s="46" t="str">
        <f t="shared" si="45"/>
        <v/>
      </c>
      <c r="P959" s="46">
        <f t="shared" si="46"/>
        <v>1</v>
      </c>
    </row>
    <row r="960" spans="1:16" ht="14.25">
      <c r="A960" s="80"/>
      <c r="B960" s="80"/>
      <c r="C960" s="80"/>
      <c r="D960" s="80"/>
      <c r="E960" s="76" t="str">
        <f>IFERROR(VLOOKUP(C960,$C$9:E959,3,0),"")</f>
        <v/>
      </c>
      <c r="F960" s="57" t="str">
        <f>IFERROR(VLOOKUP(C960,$C$9:H959,4,FALSE),"")</f>
        <v/>
      </c>
      <c r="G960" s="61" t="str">
        <f>IFERROR(VLOOKUP(C960,$C$9:G959,5,FALSE),"")</f>
        <v/>
      </c>
      <c r="H960" s="61" t="str">
        <f>IFERROR(VLOOKUP(C960,$C$9:H959,6,FALSE),"")</f>
        <v/>
      </c>
      <c r="N960" s="46" t="e">
        <f t="shared" si="44"/>
        <v>#DIV/0!</v>
      </c>
      <c r="O960" s="46" t="str">
        <f t="shared" si="45"/>
        <v/>
      </c>
      <c r="P960" s="46">
        <f t="shared" si="46"/>
        <v>1</v>
      </c>
    </row>
    <row r="961" spans="1:16" ht="14.25">
      <c r="A961" s="80"/>
      <c r="B961" s="80"/>
      <c r="C961" s="80"/>
      <c r="D961" s="80"/>
      <c r="E961" s="76" t="str">
        <f>IFERROR(VLOOKUP(C961,$C$9:E960,3,0),"")</f>
        <v/>
      </c>
      <c r="F961" s="57" t="str">
        <f>IFERROR(VLOOKUP(C961,$C$9:H960,4,FALSE),"")</f>
        <v/>
      </c>
      <c r="G961" s="61" t="str">
        <f>IFERROR(VLOOKUP(C961,$C$9:G960,5,FALSE),"")</f>
        <v/>
      </c>
      <c r="H961" s="61" t="str">
        <f>IFERROR(VLOOKUP(C961,$C$9:H960,6,FALSE),"")</f>
        <v/>
      </c>
      <c r="N961" s="46" t="e">
        <f t="shared" si="44"/>
        <v>#DIV/0!</v>
      </c>
      <c r="O961" s="46" t="str">
        <f t="shared" si="45"/>
        <v/>
      </c>
      <c r="P961" s="46">
        <f t="shared" si="46"/>
        <v>1</v>
      </c>
    </row>
    <row r="962" spans="1:16" ht="14.25">
      <c r="A962" s="80"/>
      <c r="B962" s="80"/>
      <c r="C962" s="80"/>
      <c r="D962" s="80"/>
      <c r="E962" s="76" t="str">
        <f>IFERROR(VLOOKUP(C962,$C$9:E961,3,0),"")</f>
        <v/>
      </c>
      <c r="F962" s="57" t="str">
        <f>IFERROR(VLOOKUP(C962,$C$9:H961,4,FALSE),"")</f>
        <v/>
      </c>
      <c r="G962" s="61" t="str">
        <f>IFERROR(VLOOKUP(C962,$C$9:G961,5,FALSE),"")</f>
        <v/>
      </c>
      <c r="H962" s="61" t="str">
        <f>IFERROR(VLOOKUP(C962,$C$9:H961,6,FALSE),"")</f>
        <v/>
      </c>
      <c r="N962" s="46" t="e">
        <f t="shared" si="44"/>
        <v>#DIV/0!</v>
      </c>
      <c r="O962" s="46" t="str">
        <f t="shared" si="45"/>
        <v/>
      </c>
      <c r="P962" s="46">
        <f t="shared" si="46"/>
        <v>1</v>
      </c>
    </row>
    <row r="963" spans="1:16" ht="14.25">
      <c r="A963" s="80"/>
      <c r="B963" s="80"/>
      <c r="C963" s="80"/>
      <c r="D963" s="80"/>
      <c r="E963" s="76" t="str">
        <f>IFERROR(VLOOKUP(C963,$C$9:E962,3,0),"")</f>
        <v/>
      </c>
      <c r="F963" s="57" t="str">
        <f>IFERROR(VLOOKUP(C963,$C$9:H962,4,FALSE),"")</f>
        <v/>
      </c>
      <c r="G963" s="61" t="str">
        <f>IFERROR(VLOOKUP(C963,$C$9:G962,5,FALSE),"")</f>
        <v/>
      </c>
      <c r="H963" s="61" t="str">
        <f>IFERROR(VLOOKUP(C963,$C$9:H962,6,FALSE),"")</f>
        <v/>
      </c>
      <c r="N963" s="46" t="e">
        <f t="shared" si="44"/>
        <v>#DIV/0!</v>
      </c>
      <c r="O963" s="46" t="str">
        <f t="shared" si="45"/>
        <v/>
      </c>
      <c r="P963" s="46">
        <f t="shared" si="46"/>
        <v>1</v>
      </c>
    </row>
    <row r="964" spans="1:16" ht="14.25">
      <c r="A964" s="80"/>
      <c r="B964" s="80"/>
      <c r="C964" s="80"/>
      <c r="D964" s="80"/>
      <c r="E964" s="76" t="str">
        <f>IFERROR(VLOOKUP(C964,$C$9:E963,3,0),"")</f>
        <v/>
      </c>
      <c r="F964" s="57" t="str">
        <f>IFERROR(VLOOKUP(C964,$C$9:H963,4,FALSE),"")</f>
        <v/>
      </c>
      <c r="G964" s="61" t="str">
        <f>IFERROR(VLOOKUP(C964,$C$9:G963,5,FALSE),"")</f>
        <v/>
      </c>
      <c r="H964" s="61" t="str">
        <f>IFERROR(VLOOKUP(C964,$C$9:H963,6,FALSE),"")</f>
        <v/>
      </c>
      <c r="N964" s="46" t="e">
        <f t="shared" si="44"/>
        <v>#DIV/0!</v>
      </c>
      <c r="O964" s="46" t="str">
        <f t="shared" si="45"/>
        <v/>
      </c>
      <c r="P964" s="46">
        <f t="shared" si="46"/>
        <v>1</v>
      </c>
    </row>
    <row r="965" spans="1:16" ht="14.25">
      <c r="A965" s="80"/>
      <c r="B965" s="80"/>
      <c r="C965" s="80"/>
      <c r="D965" s="80"/>
      <c r="E965" s="76" t="str">
        <f>IFERROR(VLOOKUP(C965,$C$9:E964,3,0),"")</f>
        <v/>
      </c>
      <c r="F965" s="57" t="str">
        <f>IFERROR(VLOOKUP(C965,$C$9:H964,4,FALSE),"")</f>
        <v/>
      </c>
      <c r="G965" s="61" t="str">
        <f>IFERROR(VLOOKUP(C965,$C$9:G964,5,FALSE),"")</f>
        <v/>
      </c>
      <c r="H965" s="61" t="str">
        <f>IFERROR(VLOOKUP(C965,$C$9:H964,6,FALSE),"")</f>
        <v/>
      </c>
      <c r="N965" s="46" t="e">
        <f t="shared" si="44"/>
        <v>#DIV/0!</v>
      </c>
      <c r="O965" s="46" t="str">
        <f t="shared" si="45"/>
        <v/>
      </c>
      <c r="P965" s="46">
        <f t="shared" si="46"/>
        <v>1</v>
      </c>
    </row>
    <row r="966" spans="1:16" ht="14.25">
      <c r="A966" s="80"/>
      <c r="B966" s="80"/>
      <c r="C966" s="80"/>
      <c r="D966" s="80"/>
      <c r="E966" s="76" t="str">
        <f>IFERROR(VLOOKUP(C966,$C$9:E965,3,0),"")</f>
        <v/>
      </c>
      <c r="F966" s="57" t="str">
        <f>IFERROR(VLOOKUP(C966,$C$9:H965,4,FALSE),"")</f>
        <v/>
      </c>
      <c r="G966" s="61" t="str">
        <f>IFERROR(VLOOKUP(C966,$C$9:G965,5,FALSE),"")</f>
        <v/>
      </c>
      <c r="H966" s="61" t="str">
        <f>IFERROR(VLOOKUP(C966,$C$9:H965,6,FALSE),"")</f>
        <v/>
      </c>
      <c r="N966" s="46" t="e">
        <f t="shared" si="44"/>
        <v>#DIV/0!</v>
      </c>
      <c r="O966" s="46" t="str">
        <f t="shared" si="45"/>
        <v/>
      </c>
      <c r="P966" s="46">
        <f t="shared" si="46"/>
        <v>1</v>
      </c>
    </row>
    <row r="967" spans="1:16" ht="14.25">
      <c r="A967" s="80"/>
      <c r="B967" s="80"/>
      <c r="C967" s="80"/>
      <c r="D967" s="80"/>
      <c r="E967" s="76" t="str">
        <f>IFERROR(VLOOKUP(C967,$C$9:E966,3,0),"")</f>
        <v/>
      </c>
      <c r="F967" s="57" t="str">
        <f>IFERROR(VLOOKUP(C967,$C$9:H966,4,FALSE),"")</f>
        <v/>
      </c>
      <c r="G967" s="61" t="str">
        <f>IFERROR(VLOOKUP(C967,$C$9:G966,5,FALSE),"")</f>
        <v/>
      </c>
      <c r="H967" s="61" t="str">
        <f>IFERROR(VLOOKUP(C967,$C$9:H966,6,FALSE),"")</f>
        <v/>
      </c>
      <c r="N967" s="46" t="e">
        <f t="shared" si="44"/>
        <v>#DIV/0!</v>
      </c>
      <c r="O967" s="46" t="str">
        <f t="shared" si="45"/>
        <v/>
      </c>
      <c r="P967" s="46">
        <f t="shared" si="46"/>
        <v>1</v>
      </c>
    </row>
    <row r="968" spans="1:16" ht="14.25">
      <c r="A968" s="80"/>
      <c r="B968" s="80"/>
      <c r="C968" s="80"/>
      <c r="D968" s="80"/>
      <c r="E968" s="76" t="str">
        <f>IFERROR(VLOOKUP(C968,$C$9:E967,3,0),"")</f>
        <v/>
      </c>
      <c r="F968" s="57" t="str">
        <f>IFERROR(VLOOKUP(C968,$C$9:H967,4,FALSE),"")</f>
        <v/>
      </c>
      <c r="G968" s="61" t="str">
        <f>IFERROR(VLOOKUP(C968,$C$9:G967,5,FALSE),"")</f>
        <v/>
      </c>
      <c r="H968" s="61" t="str">
        <f>IFERROR(VLOOKUP(C968,$C$9:H967,6,FALSE),"")</f>
        <v/>
      </c>
      <c r="N968" s="46" t="e">
        <f t="shared" si="44"/>
        <v>#DIV/0!</v>
      </c>
      <c r="O968" s="46" t="str">
        <f t="shared" si="45"/>
        <v/>
      </c>
      <c r="P968" s="46">
        <f t="shared" si="46"/>
        <v>1</v>
      </c>
    </row>
    <row r="969" spans="1:16" ht="14.25">
      <c r="A969" s="80"/>
      <c r="B969" s="80"/>
      <c r="C969" s="80"/>
      <c r="D969" s="80"/>
      <c r="E969" s="76" t="str">
        <f>IFERROR(VLOOKUP(C969,$C$9:E968,3,0),"")</f>
        <v/>
      </c>
      <c r="F969" s="57" t="str">
        <f>IFERROR(VLOOKUP(C969,$C$9:H968,4,FALSE),"")</f>
        <v/>
      </c>
      <c r="G969" s="61" t="str">
        <f>IFERROR(VLOOKUP(C969,$C$9:G968,5,FALSE),"")</f>
        <v/>
      </c>
      <c r="H969" s="61" t="str">
        <f>IFERROR(VLOOKUP(C969,$C$9:H968,6,FALSE),"")</f>
        <v/>
      </c>
      <c r="N969" s="46" t="e">
        <f t="shared" si="44"/>
        <v>#DIV/0!</v>
      </c>
      <c r="O969" s="46" t="str">
        <f t="shared" si="45"/>
        <v/>
      </c>
      <c r="P969" s="46">
        <f t="shared" si="46"/>
        <v>1</v>
      </c>
    </row>
    <row r="970" spans="1:16" ht="14.25">
      <c r="A970" s="80"/>
      <c r="B970" s="80"/>
      <c r="C970" s="80"/>
      <c r="D970" s="80"/>
      <c r="E970" s="76" t="str">
        <f>IFERROR(VLOOKUP(C970,$C$9:E969,3,0),"")</f>
        <v/>
      </c>
      <c r="F970" s="57" t="str">
        <f>IFERROR(VLOOKUP(C970,$C$9:H969,4,FALSE),"")</f>
        <v/>
      </c>
      <c r="G970" s="61" t="str">
        <f>IFERROR(VLOOKUP(C970,$C$9:G969,5,FALSE),"")</f>
        <v/>
      </c>
      <c r="H970" s="61" t="str">
        <f>IFERROR(VLOOKUP(C970,$C$9:H969,6,FALSE),"")</f>
        <v/>
      </c>
      <c r="N970" s="46" t="e">
        <f t="shared" ref="N970:N1033" si="47">IF(OR(F970=$P$1,F970="",F970=0),D970/$B$2,IF(OR(F970=$P$2,F970=$P$3,F970=$P$4),D970/(O970*P970),D970/O970))</f>
        <v>#DIV/0!</v>
      </c>
      <c r="O970" s="46" t="str">
        <f t="shared" ref="O970:O1033" si="48">IFERROR(VLOOKUP(F970,$P$1:$Q$4,2,0),F970)</f>
        <v/>
      </c>
      <c r="P970" s="46">
        <f t="shared" si="46"/>
        <v>1</v>
      </c>
    </row>
    <row r="971" spans="1:16" ht="14.25">
      <c r="A971" s="80"/>
      <c r="B971" s="80"/>
      <c r="C971" s="80"/>
      <c r="D971" s="80"/>
      <c r="E971" s="76" t="str">
        <f>IFERROR(VLOOKUP(C971,$C$9:E970,3,0),"")</f>
        <v/>
      </c>
      <c r="F971" s="57" t="str">
        <f>IFERROR(VLOOKUP(C971,$C$9:H970,4,FALSE),"")</f>
        <v/>
      </c>
      <c r="G971" s="61" t="str">
        <f>IFERROR(VLOOKUP(C971,$C$9:G970,5,FALSE),"")</f>
        <v/>
      </c>
      <c r="H971" s="61" t="str">
        <f>IFERROR(VLOOKUP(C971,$C$9:H970,6,FALSE),"")</f>
        <v/>
      </c>
      <c r="N971" s="46" t="e">
        <f t="shared" si="47"/>
        <v>#DIV/0!</v>
      </c>
      <c r="O971" s="46" t="str">
        <f t="shared" si="48"/>
        <v/>
      </c>
      <c r="P971" s="46">
        <f t="shared" ref="P971:P1034" si="49">IF(C971="",1,COUNTIFS($C$9:$C$1499,C971,$H$9:$H$1499,H971))</f>
        <v>1</v>
      </c>
    </row>
    <row r="972" spans="1:16" ht="14.25">
      <c r="A972" s="80"/>
      <c r="B972" s="80"/>
      <c r="C972" s="80"/>
      <c r="D972" s="80"/>
      <c r="E972" s="76" t="str">
        <f>IFERROR(VLOOKUP(C972,$C$9:E971,3,0),"")</f>
        <v/>
      </c>
      <c r="F972" s="57" t="str">
        <f>IFERROR(VLOOKUP(C972,$C$9:H971,4,FALSE),"")</f>
        <v/>
      </c>
      <c r="G972" s="61" t="str">
        <f>IFERROR(VLOOKUP(C972,$C$9:G971,5,FALSE),"")</f>
        <v/>
      </c>
      <c r="H972" s="61" t="str">
        <f>IFERROR(VLOOKUP(C972,$C$9:H971,6,FALSE),"")</f>
        <v/>
      </c>
      <c r="N972" s="46" t="e">
        <f t="shared" si="47"/>
        <v>#DIV/0!</v>
      </c>
      <c r="O972" s="46" t="str">
        <f t="shared" si="48"/>
        <v/>
      </c>
      <c r="P972" s="46">
        <f t="shared" si="49"/>
        <v>1</v>
      </c>
    </row>
    <row r="973" spans="1:16" ht="14.25">
      <c r="A973" s="80"/>
      <c r="B973" s="80"/>
      <c r="C973" s="80"/>
      <c r="D973" s="80"/>
      <c r="E973" s="76" t="str">
        <f>IFERROR(VLOOKUP(C973,$C$9:E972,3,0),"")</f>
        <v/>
      </c>
      <c r="F973" s="57" t="str">
        <f>IFERROR(VLOOKUP(C973,$C$9:H972,4,FALSE),"")</f>
        <v/>
      </c>
      <c r="G973" s="61" t="str">
        <f>IFERROR(VLOOKUP(C973,$C$9:G972,5,FALSE),"")</f>
        <v/>
      </c>
      <c r="H973" s="61" t="str">
        <f>IFERROR(VLOOKUP(C973,$C$9:H972,6,FALSE),"")</f>
        <v/>
      </c>
      <c r="N973" s="46" t="e">
        <f t="shared" si="47"/>
        <v>#DIV/0!</v>
      </c>
      <c r="O973" s="46" t="str">
        <f t="shared" si="48"/>
        <v/>
      </c>
      <c r="P973" s="46">
        <f t="shared" si="49"/>
        <v>1</v>
      </c>
    </row>
    <row r="974" spans="1:16" ht="14.25">
      <c r="A974" s="80"/>
      <c r="B974" s="80"/>
      <c r="C974" s="80"/>
      <c r="D974" s="80"/>
      <c r="E974" s="76" t="str">
        <f>IFERROR(VLOOKUP(C974,$C$9:E973,3,0),"")</f>
        <v/>
      </c>
      <c r="F974" s="57" t="str">
        <f>IFERROR(VLOOKUP(C974,$C$9:H973,4,FALSE),"")</f>
        <v/>
      </c>
      <c r="G974" s="61" t="str">
        <f>IFERROR(VLOOKUP(C974,$C$9:G973,5,FALSE),"")</f>
        <v/>
      </c>
      <c r="H974" s="61" t="str">
        <f>IFERROR(VLOOKUP(C974,$C$9:H973,6,FALSE),"")</f>
        <v/>
      </c>
      <c r="N974" s="46" t="e">
        <f t="shared" si="47"/>
        <v>#DIV/0!</v>
      </c>
      <c r="O974" s="46" t="str">
        <f t="shared" si="48"/>
        <v/>
      </c>
      <c r="P974" s="46">
        <f t="shared" si="49"/>
        <v>1</v>
      </c>
    </row>
    <row r="975" spans="1:16" ht="14.25">
      <c r="A975" s="80"/>
      <c r="B975" s="80"/>
      <c r="C975" s="80"/>
      <c r="D975" s="80"/>
      <c r="E975" s="76" t="str">
        <f>IFERROR(VLOOKUP(C975,$C$9:E974,3,0),"")</f>
        <v/>
      </c>
      <c r="F975" s="57" t="str">
        <f>IFERROR(VLOOKUP(C975,$C$9:H974,4,FALSE),"")</f>
        <v/>
      </c>
      <c r="G975" s="61" t="str">
        <f>IFERROR(VLOOKUP(C975,$C$9:G974,5,FALSE),"")</f>
        <v/>
      </c>
      <c r="H975" s="61" t="str">
        <f>IFERROR(VLOOKUP(C975,$C$9:H974,6,FALSE),"")</f>
        <v/>
      </c>
      <c r="N975" s="46" t="e">
        <f t="shared" si="47"/>
        <v>#DIV/0!</v>
      </c>
      <c r="O975" s="46" t="str">
        <f t="shared" si="48"/>
        <v/>
      </c>
      <c r="P975" s="46">
        <f t="shared" si="49"/>
        <v>1</v>
      </c>
    </row>
    <row r="976" spans="1:16" ht="14.25">
      <c r="A976" s="80"/>
      <c r="B976" s="80"/>
      <c r="C976" s="80"/>
      <c r="D976" s="80"/>
      <c r="E976" s="76" t="str">
        <f>IFERROR(VLOOKUP(C976,$C$9:E975,3,0),"")</f>
        <v/>
      </c>
      <c r="F976" s="57" t="str">
        <f>IFERROR(VLOOKUP(C976,$C$9:H975,4,FALSE),"")</f>
        <v/>
      </c>
      <c r="G976" s="61" t="str">
        <f>IFERROR(VLOOKUP(C976,$C$9:G975,5,FALSE),"")</f>
        <v/>
      </c>
      <c r="H976" s="61" t="str">
        <f>IFERROR(VLOOKUP(C976,$C$9:H975,6,FALSE),"")</f>
        <v/>
      </c>
      <c r="N976" s="46" t="e">
        <f t="shared" si="47"/>
        <v>#DIV/0!</v>
      </c>
      <c r="O976" s="46" t="str">
        <f t="shared" si="48"/>
        <v/>
      </c>
      <c r="P976" s="46">
        <f t="shared" si="49"/>
        <v>1</v>
      </c>
    </row>
    <row r="977" spans="1:16" ht="14.25">
      <c r="A977" s="80"/>
      <c r="B977" s="80"/>
      <c r="C977" s="80"/>
      <c r="D977" s="80"/>
      <c r="E977" s="76" t="str">
        <f>IFERROR(VLOOKUP(C977,$C$9:E976,3,0),"")</f>
        <v/>
      </c>
      <c r="F977" s="57" t="str">
        <f>IFERROR(VLOOKUP(C977,$C$9:H976,4,FALSE),"")</f>
        <v/>
      </c>
      <c r="G977" s="61" t="str">
        <f>IFERROR(VLOOKUP(C977,$C$9:G976,5,FALSE),"")</f>
        <v/>
      </c>
      <c r="H977" s="61" t="str">
        <f>IFERROR(VLOOKUP(C977,$C$9:H976,6,FALSE),"")</f>
        <v/>
      </c>
      <c r="N977" s="46" t="e">
        <f t="shared" si="47"/>
        <v>#DIV/0!</v>
      </c>
      <c r="O977" s="46" t="str">
        <f t="shared" si="48"/>
        <v/>
      </c>
      <c r="P977" s="46">
        <f t="shared" si="49"/>
        <v>1</v>
      </c>
    </row>
    <row r="978" spans="1:16" ht="14.25">
      <c r="A978" s="80"/>
      <c r="B978" s="80"/>
      <c r="C978" s="80"/>
      <c r="D978" s="80"/>
      <c r="E978" s="76" t="str">
        <f>IFERROR(VLOOKUP(C978,$C$9:E977,3,0),"")</f>
        <v/>
      </c>
      <c r="F978" s="57" t="str">
        <f>IFERROR(VLOOKUP(C978,$C$9:H977,4,FALSE),"")</f>
        <v/>
      </c>
      <c r="G978" s="61" t="str">
        <f>IFERROR(VLOOKUP(C978,$C$9:G977,5,FALSE),"")</f>
        <v/>
      </c>
      <c r="H978" s="61" t="str">
        <f>IFERROR(VLOOKUP(C978,$C$9:H977,6,FALSE),"")</f>
        <v/>
      </c>
      <c r="N978" s="46" t="e">
        <f t="shared" si="47"/>
        <v>#DIV/0!</v>
      </c>
      <c r="O978" s="46" t="str">
        <f t="shared" si="48"/>
        <v/>
      </c>
      <c r="P978" s="46">
        <f t="shared" si="49"/>
        <v>1</v>
      </c>
    </row>
    <row r="979" spans="1:16" ht="14.25">
      <c r="A979" s="80"/>
      <c r="B979" s="80"/>
      <c r="C979" s="80"/>
      <c r="D979" s="80"/>
      <c r="E979" s="76" t="str">
        <f>IFERROR(VLOOKUP(C979,$C$9:E978,3,0),"")</f>
        <v/>
      </c>
      <c r="F979" s="57" t="str">
        <f>IFERROR(VLOOKUP(C979,$C$9:H978,4,FALSE),"")</f>
        <v/>
      </c>
      <c r="G979" s="61" t="str">
        <f>IFERROR(VLOOKUP(C979,$C$9:G978,5,FALSE),"")</f>
        <v/>
      </c>
      <c r="H979" s="61" t="str">
        <f>IFERROR(VLOOKUP(C979,$C$9:H978,6,FALSE),"")</f>
        <v/>
      </c>
      <c r="N979" s="46" t="e">
        <f t="shared" si="47"/>
        <v>#DIV/0!</v>
      </c>
      <c r="O979" s="46" t="str">
        <f t="shared" si="48"/>
        <v/>
      </c>
      <c r="P979" s="46">
        <f t="shared" si="49"/>
        <v>1</v>
      </c>
    </row>
    <row r="980" spans="1:16" ht="14.25">
      <c r="A980" s="80"/>
      <c r="B980" s="80"/>
      <c r="C980" s="80"/>
      <c r="D980" s="80"/>
      <c r="E980" s="76" t="str">
        <f>IFERROR(VLOOKUP(C980,$C$9:E979,3,0),"")</f>
        <v/>
      </c>
      <c r="F980" s="57" t="str">
        <f>IFERROR(VLOOKUP(C980,$C$9:H979,4,FALSE),"")</f>
        <v/>
      </c>
      <c r="G980" s="61" t="str">
        <f>IFERROR(VLOOKUP(C980,$C$9:G979,5,FALSE),"")</f>
        <v/>
      </c>
      <c r="H980" s="61" t="str">
        <f>IFERROR(VLOOKUP(C980,$C$9:H979,6,FALSE),"")</f>
        <v/>
      </c>
      <c r="N980" s="46" t="e">
        <f t="shared" si="47"/>
        <v>#DIV/0!</v>
      </c>
      <c r="O980" s="46" t="str">
        <f t="shared" si="48"/>
        <v/>
      </c>
      <c r="P980" s="46">
        <f t="shared" si="49"/>
        <v>1</v>
      </c>
    </row>
    <row r="981" spans="1:16" ht="14.25">
      <c r="A981" s="80"/>
      <c r="B981" s="80"/>
      <c r="C981" s="80"/>
      <c r="D981" s="80"/>
      <c r="E981" s="76" t="str">
        <f>IFERROR(VLOOKUP(C981,$C$9:E980,3,0),"")</f>
        <v/>
      </c>
      <c r="F981" s="57" t="str">
        <f>IFERROR(VLOOKUP(C981,$C$9:H980,4,FALSE),"")</f>
        <v/>
      </c>
      <c r="G981" s="61" t="str">
        <f>IFERROR(VLOOKUP(C981,$C$9:G980,5,FALSE),"")</f>
        <v/>
      </c>
      <c r="H981" s="61" t="str">
        <f>IFERROR(VLOOKUP(C981,$C$9:H980,6,FALSE),"")</f>
        <v/>
      </c>
      <c r="N981" s="46" t="e">
        <f t="shared" si="47"/>
        <v>#DIV/0!</v>
      </c>
      <c r="O981" s="46" t="str">
        <f t="shared" si="48"/>
        <v/>
      </c>
      <c r="P981" s="46">
        <f t="shared" si="49"/>
        <v>1</v>
      </c>
    </row>
    <row r="982" spans="1:16" ht="14.25">
      <c r="A982" s="80"/>
      <c r="B982" s="80"/>
      <c r="C982" s="80"/>
      <c r="D982" s="80"/>
      <c r="E982" s="76" t="str">
        <f>IFERROR(VLOOKUP(C982,$C$9:E981,3,0),"")</f>
        <v/>
      </c>
      <c r="F982" s="57" t="str">
        <f>IFERROR(VLOOKUP(C982,$C$9:H981,4,FALSE),"")</f>
        <v/>
      </c>
      <c r="G982" s="61" t="str">
        <f>IFERROR(VLOOKUP(C982,$C$9:G981,5,FALSE),"")</f>
        <v/>
      </c>
      <c r="H982" s="61" t="str">
        <f>IFERROR(VLOOKUP(C982,$C$9:H981,6,FALSE),"")</f>
        <v/>
      </c>
      <c r="N982" s="46" t="e">
        <f t="shared" si="47"/>
        <v>#DIV/0!</v>
      </c>
      <c r="O982" s="46" t="str">
        <f t="shared" si="48"/>
        <v/>
      </c>
      <c r="P982" s="46">
        <f t="shared" si="49"/>
        <v>1</v>
      </c>
    </row>
    <row r="983" spans="1:16" ht="14.25">
      <c r="A983" s="80"/>
      <c r="B983" s="80"/>
      <c r="C983" s="80"/>
      <c r="D983" s="80"/>
      <c r="E983" s="76" t="str">
        <f>IFERROR(VLOOKUP(C983,$C$9:E982,3,0),"")</f>
        <v/>
      </c>
      <c r="F983" s="57" t="str">
        <f>IFERROR(VLOOKUP(C983,$C$9:H982,4,FALSE),"")</f>
        <v/>
      </c>
      <c r="G983" s="61" t="str">
        <f>IFERROR(VLOOKUP(C983,$C$9:G982,5,FALSE),"")</f>
        <v/>
      </c>
      <c r="H983" s="61" t="str">
        <f>IFERROR(VLOOKUP(C983,$C$9:H982,6,FALSE),"")</f>
        <v/>
      </c>
      <c r="N983" s="46" t="e">
        <f t="shared" si="47"/>
        <v>#DIV/0!</v>
      </c>
      <c r="O983" s="46" t="str">
        <f t="shared" si="48"/>
        <v/>
      </c>
      <c r="P983" s="46">
        <f t="shared" si="49"/>
        <v>1</v>
      </c>
    </row>
    <row r="984" spans="1:16" ht="14.25">
      <c r="A984" s="80"/>
      <c r="B984" s="80"/>
      <c r="C984" s="80"/>
      <c r="D984" s="80"/>
      <c r="E984" s="76" t="str">
        <f>IFERROR(VLOOKUP(C984,$C$9:E983,3,0),"")</f>
        <v/>
      </c>
      <c r="F984" s="57" t="str">
        <f>IFERROR(VLOOKUP(C984,$C$9:H983,4,FALSE),"")</f>
        <v/>
      </c>
      <c r="G984" s="61" t="str">
        <f>IFERROR(VLOOKUP(C984,$C$9:G983,5,FALSE),"")</f>
        <v/>
      </c>
      <c r="H984" s="61" t="str">
        <f>IFERROR(VLOOKUP(C984,$C$9:H983,6,FALSE),"")</f>
        <v/>
      </c>
      <c r="N984" s="46" t="e">
        <f t="shared" si="47"/>
        <v>#DIV/0!</v>
      </c>
      <c r="O984" s="46" t="str">
        <f t="shared" si="48"/>
        <v/>
      </c>
      <c r="P984" s="46">
        <f t="shared" si="49"/>
        <v>1</v>
      </c>
    </row>
    <row r="985" spans="1:16" ht="14.25">
      <c r="A985" s="80"/>
      <c r="B985" s="80"/>
      <c r="C985" s="80"/>
      <c r="D985" s="80"/>
      <c r="E985" s="76" t="str">
        <f>IFERROR(VLOOKUP(C985,$C$9:E984,3,0),"")</f>
        <v/>
      </c>
      <c r="F985" s="57" t="str">
        <f>IFERROR(VLOOKUP(C985,$C$9:H984,4,FALSE),"")</f>
        <v/>
      </c>
      <c r="G985" s="61" t="str">
        <f>IFERROR(VLOOKUP(C985,$C$9:G984,5,FALSE),"")</f>
        <v/>
      </c>
      <c r="H985" s="61" t="str">
        <f>IFERROR(VLOOKUP(C985,$C$9:H984,6,FALSE),"")</f>
        <v/>
      </c>
      <c r="N985" s="46" t="e">
        <f t="shared" si="47"/>
        <v>#DIV/0!</v>
      </c>
      <c r="O985" s="46" t="str">
        <f t="shared" si="48"/>
        <v/>
      </c>
      <c r="P985" s="46">
        <f t="shared" si="49"/>
        <v>1</v>
      </c>
    </row>
    <row r="986" spans="1:16" ht="14.25">
      <c r="A986" s="80"/>
      <c r="B986" s="80"/>
      <c r="C986" s="80"/>
      <c r="D986" s="80"/>
      <c r="E986" s="76" t="str">
        <f>IFERROR(VLOOKUP(C986,$C$9:E985,3,0),"")</f>
        <v/>
      </c>
      <c r="F986" s="57" t="str">
        <f>IFERROR(VLOOKUP(C986,$C$9:H985,4,FALSE),"")</f>
        <v/>
      </c>
      <c r="G986" s="61" t="str">
        <f>IFERROR(VLOOKUP(C986,$C$9:G985,5,FALSE),"")</f>
        <v/>
      </c>
      <c r="H986" s="61" t="str">
        <f>IFERROR(VLOOKUP(C986,$C$9:H985,6,FALSE),"")</f>
        <v/>
      </c>
      <c r="N986" s="46" t="e">
        <f t="shared" si="47"/>
        <v>#DIV/0!</v>
      </c>
      <c r="O986" s="46" t="str">
        <f t="shared" si="48"/>
        <v/>
      </c>
      <c r="P986" s="46">
        <f t="shared" si="49"/>
        <v>1</v>
      </c>
    </row>
    <row r="987" spans="1:16" ht="14.25">
      <c r="A987" s="80"/>
      <c r="B987" s="80"/>
      <c r="C987" s="80"/>
      <c r="D987" s="80"/>
      <c r="E987" s="76" t="str">
        <f>IFERROR(VLOOKUP(C987,$C$9:E986,3,0),"")</f>
        <v/>
      </c>
      <c r="F987" s="57" t="str">
        <f>IFERROR(VLOOKUP(C987,$C$9:H986,4,FALSE),"")</f>
        <v/>
      </c>
      <c r="G987" s="61" t="str">
        <f>IFERROR(VLOOKUP(C987,$C$9:G986,5,FALSE),"")</f>
        <v/>
      </c>
      <c r="H987" s="61" t="str">
        <f>IFERROR(VLOOKUP(C987,$C$9:H986,6,FALSE),"")</f>
        <v/>
      </c>
      <c r="N987" s="46" t="e">
        <f t="shared" si="47"/>
        <v>#DIV/0!</v>
      </c>
      <c r="O987" s="46" t="str">
        <f t="shared" si="48"/>
        <v/>
      </c>
      <c r="P987" s="46">
        <f t="shared" si="49"/>
        <v>1</v>
      </c>
    </row>
    <row r="988" spans="1:16" ht="14.25">
      <c r="A988" s="80"/>
      <c r="B988" s="80"/>
      <c r="C988" s="80"/>
      <c r="D988" s="80"/>
      <c r="E988" s="76" t="str">
        <f>IFERROR(VLOOKUP(C988,$C$9:E987,3,0),"")</f>
        <v/>
      </c>
      <c r="F988" s="57" t="str">
        <f>IFERROR(VLOOKUP(C988,$C$9:H987,4,FALSE),"")</f>
        <v/>
      </c>
      <c r="G988" s="61" t="str">
        <f>IFERROR(VLOOKUP(C988,$C$9:G987,5,FALSE),"")</f>
        <v/>
      </c>
      <c r="H988" s="61" t="str">
        <f>IFERROR(VLOOKUP(C988,$C$9:H987,6,FALSE),"")</f>
        <v/>
      </c>
      <c r="N988" s="46" t="e">
        <f t="shared" si="47"/>
        <v>#DIV/0!</v>
      </c>
      <c r="O988" s="46" t="str">
        <f t="shared" si="48"/>
        <v/>
      </c>
      <c r="P988" s="46">
        <f t="shared" si="49"/>
        <v>1</v>
      </c>
    </row>
    <row r="989" spans="1:16" ht="14.25">
      <c r="A989" s="80"/>
      <c r="B989" s="80"/>
      <c r="C989" s="80"/>
      <c r="D989" s="80"/>
      <c r="E989" s="76" t="str">
        <f>IFERROR(VLOOKUP(C989,$C$9:E988,3,0),"")</f>
        <v/>
      </c>
      <c r="F989" s="57" t="str">
        <f>IFERROR(VLOOKUP(C989,$C$9:H988,4,FALSE),"")</f>
        <v/>
      </c>
      <c r="G989" s="61" t="str">
        <f>IFERROR(VLOOKUP(C989,$C$9:G988,5,FALSE),"")</f>
        <v/>
      </c>
      <c r="H989" s="61" t="str">
        <f>IFERROR(VLOOKUP(C989,$C$9:H988,6,FALSE),"")</f>
        <v/>
      </c>
      <c r="N989" s="46" t="e">
        <f t="shared" si="47"/>
        <v>#DIV/0!</v>
      </c>
      <c r="O989" s="46" t="str">
        <f t="shared" si="48"/>
        <v/>
      </c>
      <c r="P989" s="46">
        <f t="shared" si="49"/>
        <v>1</v>
      </c>
    </row>
    <row r="990" spans="1:16" ht="14.25">
      <c r="A990" s="80"/>
      <c r="B990" s="80"/>
      <c r="C990" s="80"/>
      <c r="D990" s="80"/>
      <c r="E990" s="76" t="str">
        <f>IFERROR(VLOOKUP(C990,$C$9:E989,3,0),"")</f>
        <v/>
      </c>
      <c r="F990" s="57" t="str">
        <f>IFERROR(VLOOKUP(C990,$C$9:H989,4,FALSE),"")</f>
        <v/>
      </c>
      <c r="G990" s="61" t="str">
        <f>IFERROR(VLOOKUP(C990,$C$9:G989,5,FALSE),"")</f>
        <v/>
      </c>
      <c r="H990" s="61" t="str">
        <f>IFERROR(VLOOKUP(C990,$C$9:H989,6,FALSE),"")</f>
        <v/>
      </c>
      <c r="N990" s="46" t="e">
        <f t="shared" si="47"/>
        <v>#DIV/0!</v>
      </c>
      <c r="O990" s="46" t="str">
        <f t="shared" si="48"/>
        <v/>
      </c>
      <c r="P990" s="46">
        <f t="shared" si="49"/>
        <v>1</v>
      </c>
    </row>
    <row r="991" spans="1:16" ht="14.25">
      <c r="A991" s="80"/>
      <c r="B991" s="80"/>
      <c r="C991" s="80"/>
      <c r="D991" s="80"/>
      <c r="E991" s="76" t="str">
        <f>IFERROR(VLOOKUP(C991,$C$9:E990,3,0),"")</f>
        <v/>
      </c>
      <c r="F991" s="57" t="str">
        <f>IFERROR(VLOOKUP(C991,$C$9:H990,4,FALSE),"")</f>
        <v/>
      </c>
      <c r="G991" s="61" t="str">
        <f>IFERROR(VLOOKUP(C991,$C$9:G990,5,FALSE),"")</f>
        <v/>
      </c>
      <c r="H991" s="61" t="str">
        <f>IFERROR(VLOOKUP(C991,$C$9:H990,6,FALSE),"")</f>
        <v/>
      </c>
      <c r="N991" s="46" t="e">
        <f t="shared" si="47"/>
        <v>#DIV/0!</v>
      </c>
      <c r="O991" s="46" t="str">
        <f t="shared" si="48"/>
        <v/>
      </c>
      <c r="P991" s="46">
        <f t="shared" si="49"/>
        <v>1</v>
      </c>
    </row>
    <row r="992" spans="1:16" ht="14.25">
      <c r="A992" s="80"/>
      <c r="B992" s="80"/>
      <c r="C992" s="80"/>
      <c r="D992" s="80"/>
      <c r="E992" s="76" t="str">
        <f>IFERROR(VLOOKUP(C992,$C$9:E991,3,0),"")</f>
        <v/>
      </c>
      <c r="F992" s="57" t="str">
        <f>IFERROR(VLOOKUP(C992,$C$9:H991,4,FALSE),"")</f>
        <v/>
      </c>
      <c r="G992" s="61" t="str">
        <f>IFERROR(VLOOKUP(C992,$C$9:G991,5,FALSE),"")</f>
        <v/>
      </c>
      <c r="H992" s="61" t="str">
        <f>IFERROR(VLOOKUP(C992,$C$9:H991,6,FALSE),"")</f>
        <v/>
      </c>
      <c r="N992" s="46" t="e">
        <f t="shared" si="47"/>
        <v>#DIV/0!</v>
      </c>
      <c r="O992" s="46" t="str">
        <f t="shared" si="48"/>
        <v/>
      </c>
      <c r="P992" s="46">
        <f t="shared" si="49"/>
        <v>1</v>
      </c>
    </row>
    <row r="993" spans="1:16" ht="14.25">
      <c r="A993" s="80"/>
      <c r="B993" s="80"/>
      <c r="C993" s="80"/>
      <c r="D993" s="80"/>
      <c r="E993" s="76" t="str">
        <f>IFERROR(VLOOKUP(C993,$C$9:E992,3,0),"")</f>
        <v/>
      </c>
      <c r="F993" s="57" t="str">
        <f>IFERROR(VLOOKUP(C993,$C$9:H992,4,FALSE),"")</f>
        <v/>
      </c>
      <c r="G993" s="61" t="str">
        <f>IFERROR(VLOOKUP(C993,$C$9:G992,5,FALSE),"")</f>
        <v/>
      </c>
      <c r="H993" s="61" t="str">
        <f>IFERROR(VLOOKUP(C993,$C$9:H992,6,FALSE),"")</f>
        <v/>
      </c>
      <c r="N993" s="46" t="e">
        <f t="shared" si="47"/>
        <v>#DIV/0!</v>
      </c>
      <c r="O993" s="46" t="str">
        <f t="shared" si="48"/>
        <v/>
      </c>
      <c r="P993" s="46">
        <f t="shared" si="49"/>
        <v>1</v>
      </c>
    </row>
    <row r="994" spans="1:16" ht="14.25">
      <c r="A994" s="80"/>
      <c r="B994" s="80"/>
      <c r="C994" s="80"/>
      <c r="D994" s="80"/>
      <c r="E994" s="76" t="str">
        <f>IFERROR(VLOOKUP(C994,$C$9:E993,3,0),"")</f>
        <v/>
      </c>
      <c r="F994" s="57" t="str">
        <f>IFERROR(VLOOKUP(C994,$C$9:H993,4,FALSE),"")</f>
        <v/>
      </c>
      <c r="G994" s="61" t="str">
        <f>IFERROR(VLOOKUP(C994,$C$9:G993,5,FALSE),"")</f>
        <v/>
      </c>
      <c r="H994" s="61" t="str">
        <f>IFERROR(VLOOKUP(C994,$C$9:H993,6,FALSE),"")</f>
        <v/>
      </c>
      <c r="N994" s="46" t="e">
        <f t="shared" si="47"/>
        <v>#DIV/0!</v>
      </c>
      <c r="O994" s="46" t="str">
        <f t="shared" si="48"/>
        <v/>
      </c>
      <c r="P994" s="46">
        <f t="shared" si="49"/>
        <v>1</v>
      </c>
    </row>
    <row r="995" spans="1:16" ht="14.25">
      <c r="A995" s="80"/>
      <c r="B995" s="80"/>
      <c r="C995" s="80"/>
      <c r="D995" s="80"/>
      <c r="E995" s="76" t="str">
        <f>IFERROR(VLOOKUP(C995,$C$9:E994,3,0),"")</f>
        <v/>
      </c>
      <c r="F995" s="57" t="str">
        <f>IFERROR(VLOOKUP(C995,$C$9:H994,4,FALSE),"")</f>
        <v/>
      </c>
      <c r="G995" s="61" t="str">
        <f>IFERROR(VLOOKUP(C995,$C$9:G994,5,FALSE),"")</f>
        <v/>
      </c>
      <c r="H995" s="61" t="str">
        <f>IFERROR(VLOOKUP(C995,$C$9:H994,6,FALSE),"")</f>
        <v/>
      </c>
      <c r="N995" s="46" t="e">
        <f t="shared" si="47"/>
        <v>#DIV/0!</v>
      </c>
      <c r="O995" s="46" t="str">
        <f t="shared" si="48"/>
        <v/>
      </c>
      <c r="P995" s="46">
        <f t="shared" si="49"/>
        <v>1</v>
      </c>
    </row>
    <row r="996" spans="1:16" ht="14.25">
      <c r="A996" s="80"/>
      <c r="B996" s="80"/>
      <c r="C996" s="80"/>
      <c r="D996" s="80"/>
      <c r="E996" s="76" t="str">
        <f>IFERROR(VLOOKUP(C996,$C$9:E995,3,0),"")</f>
        <v/>
      </c>
      <c r="F996" s="57" t="str">
        <f>IFERROR(VLOOKUP(C996,$C$9:H995,4,FALSE),"")</f>
        <v/>
      </c>
      <c r="G996" s="61" t="str">
        <f>IFERROR(VLOOKUP(C996,$C$9:G995,5,FALSE),"")</f>
        <v/>
      </c>
      <c r="H996" s="61" t="str">
        <f>IFERROR(VLOOKUP(C996,$C$9:H995,6,FALSE),"")</f>
        <v/>
      </c>
      <c r="N996" s="46" t="e">
        <f t="shared" si="47"/>
        <v>#DIV/0!</v>
      </c>
      <c r="O996" s="46" t="str">
        <f t="shared" si="48"/>
        <v/>
      </c>
      <c r="P996" s="46">
        <f t="shared" si="49"/>
        <v>1</v>
      </c>
    </row>
    <row r="997" spans="1:16" ht="14.25">
      <c r="A997" s="80"/>
      <c r="B997" s="80"/>
      <c r="C997" s="80"/>
      <c r="D997" s="80"/>
      <c r="E997" s="76" t="str">
        <f>IFERROR(VLOOKUP(C997,$C$9:E996,3,0),"")</f>
        <v/>
      </c>
      <c r="F997" s="57" t="str">
        <f>IFERROR(VLOOKUP(C997,$C$9:H996,4,FALSE),"")</f>
        <v/>
      </c>
      <c r="G997" s="61" t="str">
        <f>IFERROR(VLOOKUP(C997,$C$9:G996,5,FALSE),"")</f>
        <v/>
      </c>
      <c r="H997" s="61" t="str">
        <f>IFERROR(VLOOKUP(C997,$C$9:H996,6,FALSE),"")</f>
        <v/>
      </c>
      <c r="N997" s="46" t="e">
        <f t="shared" si="47"/>
        <v>#DIV/0!</v>
      </c>
      <c r="O997" s="46" t="str">
        <f t="shared" si="48"/>
        <v/>
      </c>
      <c r="P997" s="46">
        <f t="shared" si="49"/>
        <v>1</v>
      </c>
    </row>
    <row r="998" spans="1:16" ht="14.25">
      <c r="A998" s="80"/>
      <c r="B998" s="80"/>
      <c r="C998" s="80"/>
      <c r="D998" s="80"/>
      <c r="E998" s="76" t="str">
        <f>IFERROR(VLOOKUP(C998,$C$9:E997,3,0),"")</f>
        <v/>
      </c>
      <c r="F998" s="57" t="str">
        <f>IFERROR(VLOOKUP(C998,$C$9:H997,4,FALSE),"")</f>
        <v/>
      </c>
      <c r="G998" s="61" t="str">
        <f>IFERROR(VLOOKUP(C998,$C$9:G997,5,FALSE),"")</f>
        <v/>
      </c>
      <c r="H998" s="61" t="str">
        <f>IFERROR(VLOOKUP(C998,$C$9:H997,6,FALSE),"")</f>
        <v/>
      </c>
      <c r="N998" s="46" t="e">
        <f t="shared" si="47"/>
        <v>#DIV/0!</v>
      </c>
      <c r="O998" s="46" t="str">
        <f t="shared" si="48"/>
        <v/>
      </c>
      <c r="P998" s="46">
        <f t="shared" si="49"/>
        <v>1</v>
      </c>
    </row>
    <row r="999" spans="1:16" ht="14.25">
      <c r="A999" s="80"/>
      <c r="B999" s="80"/>
      <c r="C999" s="80"/>
      <c r="D999" s="80"/>
      <c r="E999" s="76" t="str">
        <f>IFERROR(VLOOKUP(C999,$C$9:E998,3,0),"")</f>
        <v/>
      </c>
      <c r="F999" s="57" t="str">
        <f>IFERROR(VLOOKUP(C999,$C$9:H998,4,FALSE),"")</f>
        <v/>
      </c>
      <c r="G999" s="61" t="str">
        <f>IFERROR(VLOOKUP(C999,$C$9:G998,5,FALSE),"")</f>
        <v/>
      </c>
      <c r="H999" s="61" t="str">
        <f>IFERROR(VLOOKUP(C999,$C$9:H998,6,FALSE),"")</f>
        <v/>
      </c>
      <c r="N999" s="46" t="e">
        <f t="shared" si="47"/>
        <v>#DIV/0!</v>
      </c>
      <c r="O999" s="46" t="str">
        <f t="shared" si="48"/>
        <v/>
      </c>
      <c r="P999" s="46">
        <f t="shared" si="49"/>
        <v>1</v>
      </c>
    </row>
    <row r="1000" spans="1:16" ht="14.25">
      <c r="A1000" s="80"/>
      <c r="B1000" s="80"/>
      <c r="C1000" s="80"/>
      <c r="D1000" s="80"/>
      <c r="E1000" s="76" t="str">
        <f>IFERROR(VLOOKUP(C1000,$C$9:E999,3,0),"")</f>
        <v/>
      </c>
      <c r="F1000" s="57" t="str">
        <f>IFERROR(VLOOKUP(C1000,$C$9:H999,4,FALSE),"")</f>
        <v/>
      </c>
      <c r="G1000" s="61" t="str">
        <f>IFERROR(VLOOKUP(C1000,$C$9:G999,5,FALSE),"")</f>
        <v/>
      </c>
      <c r="H1000" s="61" t="str">
        <f>IFERROR(VLOOKUP(C1000,$C$9:H999,6,FALSE),"")</f>
        <v/>
      </c>
      <c r="N1000" s="46" t="e">
        <f t="shared" si="47"/>
        <v>#DIV/0!</v>
      </c>
      <c r="O1000" s="46" t="str">
        <f t="shared" si="48"/>
        <v/>
      </c>
      <c r="P1000" s="46">
        <f t="shared" si="49"/>
        <v>1</v>
      </c>
    </row>
    <row r="1001" spans="1:16" ht="14.25">
      <c r="A1001" s="80"/>
      <c r="B1001" s="80"/>
      <c r="C1001" s="80"/>
      <c r="D1001" s="80"/>
      <c r="E1001" s="76" t="str">
        <f>IFERROR(VLOOKUP(C1001,$C$9:E1000,3,0),"")</f>
        <v/>
      </c>
      <c r="F1001" s="57" t="str">
        <f>IFERROR(VLOOKUP(C1001,$C$9:H1000,4,FALSE),"")</f>
        <v/>
      </c>
      <c r="G1001" s="61" t="str">
        <f>IFERROR(VLOOKUP(C1001,$C$9:G1000,5,FALSE),"")</f>
        <v/>
      </c>
      <c r="H1001" s="61" t="str">
        <f>IFERROR(VLOOKUP(C1001,$C$9:H1000,6,FALSE),"")</f>
        <v/>
      </c>
      <c r="N1001" s="46" t="e">
        <f t="shared" si="47"/>
        <v>#DIV/0!</v>
      </c>
      <c r="O1001" s="46" t="str">
        <f t="shared" si="48"/>
        <v/>
      </c>
      <c r="P1001" s="46">
        <f t="shared" si="49"/>
        <v>1</v>
      </c>
    </row>
    <row r="1002" spans="1:16" ht="14.25">
      <c r="A1002" s="80"/>
      <c r="B1002" s="80"/>
      <c r="C1002" s="80"/>
      <c r="D1002" s="80"/>
      <c r="E1002" s="76" t="str">
        <f>IFERROR(VLOOKUP(C1002,$C$9:E1001,3,0),"")</f>
        <v/>
      </c>
      <c r="F1002" s="57" t="str">
        <f>IFERROR(VLOOKUP(C1002,$C$9:H1001,4,FALSE),"")</f>
        <v/>
      </c>
      <c r="G1002" s="61" t="str">
        <f>IFERROR(VLOOKUP(C1002,$C$9:G1001,5,FALSE),"")</f>
        <v/>
      </c>
      <c r="H1002" s="61" t="str">
        <f>IFERROR(VLOOKUP(C1002,$C$9:H1001,6,FALSE),"")</f>
        <v/>
      </c>
      <c r="N1002" s="46" t="e">
        <f t="shared" si="47"/>
        <v>#DIV/0!</v>
      </c>
      <c r="O1002" s="46" t="str">
        <f t="shared" si="48"/>
        <v/>
      </c>
      <c r="P1002" s="46">
        <f t="shared" si="49"/>
        <v>1</v>
      </c>
    </row>
    <row r="1003" spans="1:16" ht="14.25">
      <c r="A1003" s="80"/>
      <c r="B1003" s="80"/>
      <c r="C1003" s="80"/>
      <c r="D1003" s="80"/>
      <c r="E1003" s="76" t="str">
        <f>IFERROR(VLOOKUP(C1003,$C$9:E1002,3,0),"")</f>
        <v/>
      </c>
      <c r="F1003" s="57" t="str">
        <f>IFERROR(VLOOKUP(C1003,$C$9:H1002,4,FALSE),"")</f>
        <v/>
      </c>
      <c r="G1003" s="61" t="str">
        <f>IFERROR(VLOOKUP(C1003,$C$9:G1002,5,FALSE),"")</f>
        <v/>
      </c>
      <c r="H1003" s="61" t="str">
        <f>IFERROR(VLOOKUP(C1003,$C$9:H1002,6,FALSE),"")</f>
        <v/>
      </c>
      <c r="N1003" s="46" t="e">
        <f t="shared" si="47"/>
        <v>#DIV/0!</v>
      </c>
      <c r="O1003" s="46" t="str">
        <f t="shared" si="48"/>
        <v/>
      </c>
      <c r="P1003" s="46">
        <f t="shared" si="49"/>
        <v>1</v>
      </c>
    </row>
    <row r="1004" spans="1:16" ht="14.25">
      <c r="A1004" s="80"/>
      <c r="B1004" s="80"/>
      <c r="C1004" s="80"/>
      <c r="D1004" s="80"/>
      <c r="E1004" s="76" t="str">
        <f>IFERROR(VLOOKUP(C1004,$C$9:E1003,3,0),"")</f>
        <v/>
      </c>
      <c r="F1004" s="57" t="str">
        <f>IFERROR(VLOOKUP(C1004,$C$9:H1003,4,FALSE),"")</f>
        <v/>
      </c>
      <c r="G1004" s="61" t="str">
        <f>IFERROR(VLOOKUP(C1004,$C$9:G1003,5,FALSE),"")</f>
        <v/>
      </c>
      <c r="H1004" s="61" t="str">
        <f>IFERROR(VLOOKUP(C1004,$C$9:H1003,6,FALSE),"")</f>
        <v/>
      </c>
      <c r="N1004" s="46" t="e">
        <f t="shared" si="47"/>
        <v>#DIV/0!</v>
      </c>
      <c r="O1004" s="46" t="str">
        <f t="shared" si="48"/>
        <v/>
      </c>
      <c r="P1004" s="46">
        <f t="shared" si="49"/>
        <v>1</v>
      </c>
    </row>
    <row r="1005" spans="1:16" ht="14.25">
      <c r="A1005" s="80"/>
      <c r="B1005" s="80"/>
      <c r="C1005" s="80"/>
      <c r="D1005" s="80"/>
      <c r="E1005" s="76" t="str">
        <f>IFERROR(VLOOKUP(C1005,$C$9:E1004,3,0),"")</f>
        <v/>
      </c>
      <c r="F1005" s="57" t="str">
        <f>IFERROR(VLOOKUP(C1005,$C$9:H1004,4,FALSE),"")</f>
        <v/>
      </c>
      <c r="G1005" s="61" t="str">
        <f>IFERROR(VLOOKUP(C1005,$C$9:G1004,5,FALSE),"")</f>
        <v/>
      </c>
      <c r="H1005" s="61" t="str">
        <f>IFERROR(VLOOKUP(C1005,$C$9:H1004,6,FALSE),"")</f>
        <v/>
      </c>
      <c r="N1005" s="46" t="e">
        <f t="shared" si="47"/>
        <v>#DIV/0!</v>
      </c>
      <c r="O1005" s="46" t="str">
        <f t="shared" si="48"/>
        <v/>
      </c>
      <c r="P1005" s="46">
        <f t="shared" si="49"/>
        <v>1</v>
      </c>
    </row>
    <row r="1006" spans="1:16" ht="14.25">
      <c r="A1006" s="80"/>
      <c r="B1006" s="80"/>
      <c r="C1006" s="80"/>
      <c r="D1006" s="80"/>
      <c r="E1006" s="76" t="str">
        <f>IFERROR(VLOOKUP(C1006,$C$9:E1005,3,0),"")</f>
        <v/>
      </c>
      <c r="F1006" s="57" t="str">
        <f>IFERROR(VLOOKUP(C1006,$C$9:H1005,4,FALSE),"")</f>
        <v/>
      </c>
      <c r="G1006" s="61" t="str">
        <f>IFERROR(VLOOKUP(C1006,$C$9:G1005,5,FALSE),"")</f>
        <v/>
      </c>
      <c r="H1006" s="61" t="str">
        <f>IFERROR(VLOOKUP(C1006,$C$9:H1005,6,FALSE),"")</f>
        <v/>
      </c>
      <c r="N1006" s="46" t="e">
        <f t="shared" si="47"/>
        <v>#DIV/0!</v>
      </c>
      <c r="O1006" s="46" t="str">
        <f t="shared" si="48"/>
        <v/>
      </c>
      <c r="P1006" s="46">
        <f t="shared" si="49"/>
        <v>1</v>
      </c>
    </row>
    <row r="1007" spans="1:16" ht="14.25">
      <c r="A1007" s="80"/>
      <c r="B1007" s="80"/>
      <c r="C1007" s="80"/>
      <c r="D1007" s="80"/>
      <c r="E1007" s="76" t="str">
        <f>IFERROR(VLOOKUP(C1007,$C$9:E1006,3,0),"")</f>
        <v/>
      </c>
      <c r="F1007" s="57" t="str">
        <f>IFERROR(VLOOKUP(C1007,$C$9:H1006,4,FALSE),"")</f>
        <v/>
      </c>
      <c r="G1007" s="61" t="str">
        <f>IFERROR(VLOOKUP(C1007,$C$9:G1006,5,FALSE),"")</f>
        <v/>
      </c>
      <c r="H1007" s="61" t="str">
        <f>IFERROR(VLOOKUP(C1007,$C$9:H1006,6,FALSE),"")</f>
        <v/>
      </c>
      <c r="N1007" s="46" t="e">
        <f t="shared" si="47"/>
        <v>#DIV/0!</v>
      </c>
      <c r="O1007" s="46" t="str">
        <f t="shared" si="48"/>
        <v/>
      </c>
      <c r="P1007" s="46">
        <f t="shared" si="49"/>
        <v>1</v>
      </c>
    </row>
    <row r="1008" spans="1:16" ht="14.25">
      <c r="A1008" s="80"/>
      <c r="B1008" s="80"/>
      <c r="C1008" s="80"/>
      <c r="D1008" s="80"/>
      <c r="E1008" s="76" t="str">
        <f>IFERROR(VLOOKUP(C1008,$C$9:E1007,3,0),"")</f>
        <v/>
      </c>
      <c r="F1008" s="57" t="str">
        <f>IFERROR(VLOOKUP(C1008,$C$9:H1007,4,FALSE),"")</f>
        <v/>
      </c>
      <c r="G1008" s="61" t="str">
        <f>IFERROR(VLOOKUP(C1008,$C$9:G1007,5,FALSE),"")</f>
        <v/>
      </c>
      <c r="H1008" s="61" t="str">
        <f>IFERROR(VLOOKUP(C1008,$C$9:H1007,6,FALSE),"")</f>
        <v/>
      </c>
      <c r="N1008" s="46" t="e">
        <f t="shared" si="47"/>
        <v>#DIV/0!</v>
      </c>
      <c r="O1008" s="46" t="str">
        <f t="shared" si="48"/>
        <v/>
      </c>
      <c r="P1008" s="46">
        <f t="shared" si="49"/>
        <v>1</v>
      </c>
    </row>
    <row r="1009" spans="1:16" ht="14.25">
      <c r="A1009" s="80"/>
      <c r="B1009" s="80"/>
      <c r="C1009" s="80"/>
      <c r="D1009" s="80"/>
      <c r="E1009" s="76" t="str">
        <f>IFERROR(VLOOKUP(C1009,$C$9:E1008,3,0),"")</f>
        <v/>
      </c>
      <c r="F1009" s="57" t="str">
        <f>IFERROR(VLOOKUP(C1009,$C$9:H1008,4,FALSE),"")</f>
        <v/>
      </c>
      <c r="G1009" s="61" t="str">
        <f>IFERROR(VLOOKUP(C1009,$C$9:G1008,5,FALSE),"")</f>
        <v/>
      </c>
      <c r="H1009" s="61" t="str">
        <f>IFERROR(VLOOKUP(C1009,$C$9:H1008,6,FALSE),"")</f>
        <v/>
      </c>
      <c r="N1009" s="46" t="e">
        <f t="shared" si="47"/>
        <v>#DIV/0!</v>
      </c>
      <c r="O1009" s="46" t="str">
        <f t="shared" si="48"/>
        <v/>
      </c>
      <c r="P1009" s="46">
        <f t="shared" si="49"/>
        <v>1</v>
      </c>
    </row>
    <row r="1010" spans="1:16" ht="14.25">
      <c r="A1010" s="80"/>
      <c r="B1010" s="80"/>
      <c r="C1010" s="80"/>
      <c r="D1010" s="80"/>
      <c r="E1010" s="76" t="str">
        <f>IFERROR(VLOOKUP(C1010,$C$9:E1009,3,0),"")</f>
        <v/>
      </c>
      <c r="F1010" s="57" t="str">
        <f>IFERROR(VLOOKUP(C1010,$C$9:H1009,4,FALSE),"")</f>
        <v/>
      </c>
      <c r="G1010" s="61" t="str">
        <f>IFERROR(VLOOKUP(C1010,$C$9:G1009,5,FALSE),"")</f>
        <v/>
      </c>
      <c r="H1010" s="61" t="str">
        <f>IFERROR(VLOOKUP(C1010,$C$9:H1009,6,FALSE),"")</f>
        <v/>
      </c>
      <c r="N1010" s="46" t="e">
        <f t="shared" si="47"/>
        <v>#DIV/0!</v>
      </c>
      <c r="O1010" s="46" t="str">
        <f t="shared" si="48"/>
        <v/>
      </c>
      <c r="P1010" s="46">
        <f t="shared" si="49"/>
        <v>1</v>
      </c>
    </row>
    <row r="1011" spans="1:16" ht="14.25">
      <c r="A1011" s="80"/>
      <c r="B1011" s="80"/>
      <c r="C1011" s="80"/>
      <c r="D1011" s="80"/>
      <c r="E1011" s="76" t="str">
        <f>IFERROR(VLOOKUP(C1011,$C$9:E1010,3,0),"")</f>
        <v/>
      </c>
      <c r="F1011" s="57" t="str">
        <f>IFERROR(VLOOKUP(C1011,$C$9:H1010,4,FALSE),"")</f>
        <v/>
      </c>
      <c r="G1011" s="61" t="str">
        <f>IFERROR(VLOOKUP(C1011,$C$9:G1010,5,FALSE),"")</f>
        <v/>
      </c>
      <c r="H1011" s="61" t="str">
        <f>IFERROR(VLOOKUP(C1011,$C$9:H1010,6,FALSE),"")</f>
        <v/>
      </c>
      <c r="N1011" s="46" t="e">
        <f t="shared" si="47"/>
        <v>#DIV/0!</v>
      </c>
      <c r="O1011" s="46" t="str">
        <f t="shared" si="48"/>
        <v/>
      </c>
      <c r="P1011" s="46">
        <f t="shared" si="49"/>
        <v>1</v>
      </c>
    </row>
    <row r="1012" spans="1:16" ht="14.25">
      <c r="A1012" s="80"/>
      <c r="B1012" s="80"/>
      <c r="C1012" s="80"/>
      <c r="D1012" s="80"/>
      <c r="E1012" s="76" t="str">
        <f>IFERROR(VLOOKUP(C1012,$C$9:E1011,3,0),"")</f>
        <v/>
      </c>
      <c r="F1012" s="57" t="str">
        <f>IFERROR(VLOOKUP(C1012,$C$9:H1011,4,FALSE),"")</f>
        <v/>
      </c>
      <c r="G1012" s="61" t="str">
        <f>IFERROR(VLOOKUP(C1012,$C$9:G1011,5,FALSE),"")</f>
        <v/>
      </c>
      <c r="H1012" s="61" t="str">
        <f>IFERROR(VLOOKUP(C1012,$C$9:H1011,6,FALSE),"")</f>
        <v/>
      </c>
      <c r="N1012" s="46" t="e">
        <f t="shared" si="47"/>
        <v>#DIV/0!</v>
      </c>
      <c r="O1012" s="46" t="str">
        <f t="shared" si="48"/>
        <v/>
      </c>
      <c r="P1012" s="46">
        <f t="shared" si="49"/>
        <v>1</v>
      </c>
    </row>
    <row r="1013" spans="1:16" ht="14.25">
      <c r="A1013" s="80"/>
      <c r="B1013" s="80"/>
      <c r="C1013" s="80"/>
      <c r="D1013" s="80"/>
      <c r="E1013" s="76" t="str">
        <f>IFERROR(VLOOKUP(C1013,$C$9:E1012,3,0),"")</f>
        <v/>
      </c>
      <c r="F1013" s="57" t="str">
        <f>IFERROR(VLOOKUP(C1013,$C$9:H1012,4,FALSE),"")</f>
        <v/>
      </c>
      <c r="G1013" s="61" t="str">
        <f>IFERROR(VLOOKUP(C1013,$C$9:G1012,5,FALSE),"")</f>
        <v/>
      </c>
      <c r="H1013" s="61" t="str">
        <f>IFERROR(VLOOKUP(C1013,$C$9:H1012,6,FALSE),"")</f>
        <v/>
      </c>
      <c r="N1013" s="46" t="e">
        <f t="shared" si="47"/>
        <v>#DIV/0!</v>
      </c>
      <c r="O1013" s="46" t="str">
        <f t="shared" si="48"/>
        <v/>
      </c>
      <c r="P1013" s="46">
        <f t="shared" si="49"/>
        <v>1</v>
      </c>
    </row>
    <row r="1014" spans="1:16" ht="14.25">
      <c r="A1014" s="80"/>
      <c r="B1014" s="80"/>
      <c r="C1014" s="80"/>
      <c r="D1014" s="80"/>
      <c r="E1014" s="76" t="str">
        <f>IFERROR(VLOOKUP(C1014,$C$9:E1013,3,0),"")</f>
        <v/>
      </c>
      <c r="F1014" s="57" t="str">
        <f>IFERROR(VLOOKUP(C1014,$C$9:H1013,4,FALSE),"")</f>
        <v/>
      </c>
      <c r="G1014" s="61" t="str">
        <f>IFERROR(VLOOKUP(C1014,$C$9:G1013,5,FALSE),"")</f>
        <v/>
      </c>
      <c r="H1014" s="61" t="str">
        <f>IFERROR(VLOOKUP(C1014,$C$9:H1013,6,FALSE),"")</f>
        <v/>
      </c>
      <c r="N1014" s="46" t="e">
        <f t="shared" si="47"/>
        <v>#DIV/0!</v>
      </c>
      <c r="O1014" s="46" t="str">
        <f t="shared" si="48"/>
        <v/>
      </c>
      <c r="P1014" s="46">
        <f t="shared" si="49"/>
        <v>1</v>
      </c>
    </row>
    <row r="1015" spans="1:16" ht="14.25">
      <c r="A1015" s="80"/>
      <c r="B1015" s="80"/>
      <c r="C1015" s="80"/>
      <c r="D1015" s="80"/>
      <c r="E1015" s="76" t="str">
        <f>IFERROR(VLOOKUP(C1015,$C$9:E1014,3,0),"")</f>
        <v/>
      </c>
      <c r="F1015" s="57" t="str">
        <f>IFERROR(VLOOKUP(C1015,$C$9:H1014,4,FALSE),"")</f>
        <v/>
      </c>
      <c r="G1015" s="61" t="str">
        <f>IFERROR(VLOOKUP(C1015,$C$9:G1014,5,FALSE),"")</f>
        <v/>
      </c>
      <c r="H1015" s="61" t="str">
        <f>IFERROR(VLOOKUP(C1015,$C$9:H1014,6,FALSE),"")</f>
        <v/>
      </c>
      <c r="N1015" s="46" t="e">
        <f t="shared" si="47"/>
        <v>#DIV/0!</v>
      </c>
      <c r="O1015" s="46" t="str">
        <f t="shared" si="48"/>
        <v/>
      </c>
      <c r="P1015" s="46">
        <f t="shared" si="49"/>
        <v>1</v>
      </c>
    </row>
    <row r="1016" spans="1:16" ht="14.25">
      <c r="A1016" s="80"/>
      <c r="B1016" s="80"/>
      <c r="C1016" s="80"/>
      <c r="D1016" s="80"/>
      <c r="E1016" s="76" t="str">
        <f>IFERROR(VLOOKUP(C1016,$C$9:E1015,3,0),"")</f>
        <v/>
      </c>
      <c r="F1016" s="57" t="str">
        <f>IFERROR(VLOOKUP(C1016,$C$9:H1015,4,FALSE),"")</f>
        <v/>
      </c>
      <c r="G1016" s="61" t="str">
        <f>IFERROR(VLOOKUP(C1016,$C$9:G1015,5,FALSE),"")</f>
        <v/>
      </c>
      <c r="H1016" s="61" t="str">
        <f>IFERROR(VLOOKUP(C1016,$C$9:H1015,6,FALSE),"")</f>
        <v/>
      </c>
      <c r="N1016" s="46" t="e">
        <f t="shared" si="47"/>
        <v>#DIV/0!</v>
      </c>
      <c r="O1016" s="46" t="str">
        <f t="shared" si="48"/>
        <v/>
      </c>
      <c r="P1016" s="46">
        <f t="shared" si="49"/>
        <v>1</v>
      </c>
    </row>
    <row r="1017" spans="1:16" ht="14.25">
      <c r="A1017" s="80"/>
      <c r="B1017" s="80"/>
      <c r="C1017" s="80"/>
      <c r="D1017" s="80"/>
      <c r="E1017" s="76" t="str">
        <f>IFERROR(VLOOKUP(C1017,$C$9:E1016,3,0),"")</f>
        <v/>
      </c>
      <c r="F1017" s="57" t="str">
        <f>IFERROR(VLOOKUP(C1017,$C$9:H1016,4,FALSE),"")</f>
        <v/>
      </c>
      <c r="G1017" s="61" t="str">
        <f>IFERROR(VLOOKUP(C1017,$C$9:G1016,5,FALSE),"")</f>
        <v/>
      </c>
      <c r="H1017" s="61" t="str">
        <f>IFERROR(VLOOKUP(C1017,$C$9:H1016,6,FALSE),"")</f>
        <v/>
      </c>
      <c r="N1017" s="46" t="e">
        <f t="shared" si="47"/>
        <v>#DIV/0!</v>
      </c>
      <c r="O1017" s="46" t="str">
        <f t="shared" si="48"/>
        <v/>
      </c>
      <c r="P1017" s="46">
        <f t="shared" si="49"/>
        <v>1</v>
      </c>
    </row>
    <row r="1018" spans="1:16" ht="14.25">
      <c r="A1018" s="80"/>
      <c r="B1018" s="80"/>
      <c r="C1018" s="80"/>
      <c r="D1018" s="80"/>
      <c r="E1018" s="76" t="str">
        <f>IFERROR(VLOOKUP(C1018,$C$9:E1017,3,0),"")</f>
        <v/>
      </c>
      <c r="F1018" s="57" t="str">
        <f>IFERROR(VLOOKUP(C1018,$C$9:H1017,4,FALSE),"")</f>
        <v/>
      </c>
      <c r="G1018" s="61" t="str">
        <f>IFERROR(VLOOKUP(C1018,$C$9:G1017,5,FALSE),"")</f>
        <v/>
      </c>
      <c r="H1018" s="61" t="str">
        <f>IFERROR(VLOOKUP(C1018,$C$9:H1017,6,FALSE),"")</f>
        <v/>
      </c>
      <c r="N1018" s="46" t="e">
        <f t="shared" si="47"/>
        <v>#DIV/0!</v>
      </c>
      <c r="O1018" s="46" t="str">
        <f t="shared" si="48"/>
        <v/>
      </c>
      <c r="P1018" s="46">
        <f t="shared" si="49"/>
        <v>1</v>
      </c>
    </row>
    <row r="1019" spans="1:16" ht="14.25">
      <c r="A1019" s="80"/>
      <c r="B1019" s="80"/>
      <c r="C1019" s="80"/>
      <c r="D1019" s="80"/>
      <c r="E1019" s="76" t="str">
        <f>IFERROR(VLOOKUP(C1019,$C$9:E1018,3,0),"")</f>
        <v/>
      </c>
      <c r="F1019" s="57" t="str">
        <f>IFERROR(VLOOKUP(C1019,$C$9:H1018,4,FALSE),"")</f>
        <v/>
      </c>
      <c r="G1019" s="61" t="str">
        <f>IFERROR(VLOOKUP(C1019,$C$9:G1018,5,FALSE),"")</f>
        <v/>
      </c>
      <c r="H1019" s="61" t="str">
        <f>IFERROR(VLOOKUP(C1019,$C$9:H1018,6,FALSE),"")</f>
        <v/>
      </c>
      <c r="N1019" s="46" t="e">
        <f t="shared" si="47"/>
        <v>#DIV/0!</v>
      </c>
      <c r="O1019" s="46" t="str">
        <f t="shared" si="48"/>
        <v/>
      </c>
      <c r="P1019" s="46">
        <f t="shared" si="49"/>
        <v>1</v>
      </c>
    </row>
    <row r="1020" spans="1:16" ht="14.25">
      <c r="A1020" s="80"/>
      <c r="B1020" s="80"/>
      <c r="C1020" s="80"/>
      <c r="D1020" s="80"/>
      <c r="E1020" s="76" t="str">
        <f>IFERROR(VLOOKUP(C1020,$C$9:E1019,3,0),"")</f>
        <v/>
      </c>
      <c r="F1020" s="57" t="str">
        <f>IFERROR(VLOOKUP(C1020,$C$9:H1019,4,FALSE),"")</f>
        <v/>
      </c>
      <c r="G1020" s="61" t="str">
        <f>IFERROR(VLOOKUP(C1020,$C$9:G1019,5,FALSE),"")</f>
        <v/>
      </c>
      <c r="H1020" s="61" t="str">
        <f>IFERROR(VLOOKUP(C1020,$C$9:H1019,6,FALSE),"")</f>
        <v/>
      </c>
      <c r="N1020" s="46" t="e">
        <f t="shared" si="47"/>
        <v>#DIV/0!</v>
      </c>
      <c r="O1020" s="46" t="str">
        <f t="shared" si="48"/>
        <v/>
      </c>
      <c r="P1020" s="46">
        <f t="shared" si="49"/>
        <v>1</v>
      </c>
    </row>
    <row r="1021" spans="1:16" ht="14.25">
      <c r="A1021" s="80"/>
      <c r="B1021" s="80"/>
      <c r="C1021" s="80"/>
      <c r="D1021" s="80"/>
      <c r="E1021" s="76" t="str">
        <f>IFERROR(VLOOKUP(C1021,$C$9:E1020,3,0),"")</f>
        <v/>
      </c>
      <c r="F1021" s="57" t="str">
        <f>IFERROR(VLOOKUP(C1021,$C$9:H1020,4,FALSE),"")</f>
        <v/>
      </c>
      <c r="G1021" s="61" t="str">
        <f>IFERROR(VLOOKUP(C1021,$C$9:G1020,5,FALSE),"")</f>
        <v/>
      </c>
      <c r="H1021" s="61" t="str">
        <f>IFERROR(VLOOKUP(C1021,$C$9:H1020,6,FALSE),"")</f>
        <v/>
      </c>
      <c r="N1021" s="46" t="e">
        <f t="shared" si="47"/>
        <v>#DIV/0!</v>
      </c>
      <c r="O1021" s="46" t="str">
        <f t="shared" si="48"/>
        <v/>
      </c>
      <c r="P1021" s="46">
        <f t="shared" si="49"/>
        <v>1</v>
      </c>
    </row>
    <row r="1022" spans="1:16" ht="14.25">
      <c r="A1022" s="80"/>
      <c r="B1022" s="80"/>
      <c r="C1022" s="80"/>
      <c r="D1022" s="80"/>
      <c r="E1022" s="76" t="str">
        <f>IFERROR(VLOOKUP(C1022,$C$9:E1021,3,0),"")</f>
        <v/>
      </c>
      <c r="F1022" s="57" t="str">
        <f>IFERROR(VLOOKUP(C1022,$C$9:H1021,4,FALSE),"")</f>
        <v/>
      </c>
      <c r="G1022" s="61" t="str">
        <f>IFERROR(VLOOKUP(C1022,$C$9:G1021,5,FALSE),"")</f>
        <v/>
      </c>
      <c r="H1022" s="61" t="str">
        <f>IFERROR(VLOOKUP(C1022,$C$9:H1021,6,FALSE),"")</f>
        <v/>
      </c>
      <c r="N1022" s="46" t="e">
        <f t="shared" si="47"/>
        <v>#DIV/0!</v>
      </c>
      <c r="O1022" s="46" t="str">
        <f t="shared" si="48"/>
        <v/>
      </c>
      <c r="P1022" s="46">
        <f t="shared" si="49"/>
        <v>1</v>
      </c>
    </row>
    <row r="1023" spans="1:16" ht="14.25">
      <c r="A1023" s="80"/>
      <c r="B1023" s="80"/>
      <c r="C1023" s="80"/>
      <c r="D1023" s="80"/>
      <c r="E1023" s="76" t="str">
        <f>IFERROR(VLOOKUP(C1023,$C$9:E1022,3,0),"")</f>
        <v/>
      </c>
      <c r="F1023" s="57" t="str">
        <f>IFERROR(VLOOKUP(C1023,$C$9:H1022,4,FALSE),"")</f>
        <v/>
      </c>
      <c r="G1023" s="61" t="str">
        <f>IFERROR(VLOOKUP(C1023,$C$9:G1022,5,FALSE),"")</f>
        <v/>
      </c>
      <c r="H1023" s="61" t="str">
        <f>IFERROR(VLOOKUP(C1023,$C$9:H1022,6,FALSE),"")</f>
        <v/>
      </c>
      <c r="N1023" s="46" t="e">
        <f t="shared" si="47"/>
        <v>#DIV/0!</v>
      </c>
      <c r="O1023" s="46" t="str">
        <f t="shared" si="48"/>
        <v/>
      </c>
      <c r="P1023" s="46">
        <f t="shared" si="49"/>
        <v>1</v>
      </c>
    </row>
    <row r="1024" spans="1:16" ht="14.25">
      <c r="A1024" s="80"/>
      <c r="B1024" s="80"/>
      <c r="C1024" s="80"/>
      <c r="D1024" s="80"/>
      <c r="E1024" s="76" t="str">
        <f>IFERROR(VLOOKUP(C1024,$C$9:E1023,3,0),"")</f>
        <v/>
      </c>
      <c r="F1024" s="57" t="str">
        <f>IFERROR(VLOOKUP(C1024,$C$9:H1023,4,FALSE),"")</f>
        <v/>
      </c>
      <c r="G1024" s="61" t="str">
        <f>IFERROR(VLOOKUP(C1024,$C$9:G1023,5,FALSE),"")</f>
        <v/>
      </c>
      <c r="H1024" s="61" t="str">
        <f>IFERROR(VLOOKUP(C1024,$C$9:H1023,6,FALSE),"")</f>
        <v/>
      </c>
      <c r="N1024" s="46" t="e">
        <f t="shared" si="47"/>
        <v>#DIV/0!</v>
      </c>
      <c r="O1024" s="46" t="str">
        <f t="shared" si="48"/>
        <v/>
      </c>
      <c r="P1024" s="46">
        <f t="shared" si="49"/>
        <v>1</v>
      </c>
    </row>
    <row r="1025" spans="1:16" ht="14.25">
      <c r="A1025" s="80"/>
      <c r="B1025" s="80"/>
      <c r="C1025" s="80"/>
      <c r="D1025" s="80"/>
      <c r="E1025" s="76" t="str">
        <f>IFERROR(VLOOKUP(C1025,$C$9:E1024,3,0),"")</f>
        <v/>
      </c>
      <c r="F1025" s="57" t="str">
        <f>IFERROR(VLOOKUP(C1025,$C$9:H1024,4,FALSE),"")</f>
        <v/>
      </c>
      <c r="G1025" s="61" t="str">
        <f>IFERROR(VLOOKUP(C1025,$C$9:G1024,5,FALSE),"")</f>
        <v/>
      </c>
      <c r="H1025" s="61" t="str">
        <f>IFERROR(VLOOKUP(C1025,$C$9:H1024,6,FALSE),"")</f>
        <v/>
      </c>
      <c r="N1025" s="46" t="e">
        <f t="shared" si="47"/>
        <v>#DIV/0!</v>
      </c>
      <c r="O1025" s="46" t="str">
        <f t="shared" si="48"/>
        <v/>
      </c>
      <c r="P1025" s="46">
        <f t="shared" si="49"/>
        <v>1</v>
      </c>
    </row>
    <row r="1026" spans="1:16" ht="14.25">
      <c r="A1026" s="80"/>
      <c r="B1026" s="80"/>
      <c r="C1026" s="80"/>
      <c r="D1026" s="80"/>
      <c r="E1026" s="76" t="str">
        <f>IFERROR(VLOOKUP(C1026,$C$9:E1025,3,0),"")</f>
        <v/>
      </c>
      <c r="F1026" s="57" t="str">
        <f>IFERROR(VLOOKUP(C1026,$C$9:H1025,4,FALSE),"")</f>
        <v/>
      </c>
      <c r="G1026" s="61" t="str">
        <f>IFERROR(VLOOKUP(C1026,$C$9:G1025,5,FALSE),"")</f>
        <v/>
      </c>
      <c r="H1026" s="61" t="str">
        <f>IFERROR(VLOOKUP(C1026,$C$9:H1025,6,FALSE),"")</f>
        <v/>
      </c>
      <c r="N1026" s="46" t="e">
        <f t="shared" si="47"/>
        <v>#DIV/0!</v>
      </c>
      <c r="O1026" s="46" t="str">
        <f t="shared" si="48"/>
        <v/>
      </c>
      <c r="P1026" s="46">
        <f t="shared" si="49"/>
        <v>1</v>
      </c>
    </row>
    <row r="1027" spans="1:16" ht="14.25">
      <c r="A1027" s="80"/>
      <c r="B1027" s="80"/>
      <c r="C1027" s="80"/>
      <c r="D1027" s="80"/>
      <c r="E1027" s="76" t="str">
        <f>IFERROR(VLOOKUP(C1027,$C$9:E1026,3,0),"")</f>
        <v/>
      </c>
      <c r="F1027" s="57" t="str">
        <f>IFERROR(VLOOKUP(C1027,$C$9:H1026,4,FALSE),"")</f>
        <v/>
      </c>
      <c r="G1027" s="61" t="str">
        <f>IFERROR(VLOOKUP(C1027,$C$9:G1026,5,FALSE),"")</f>
        <v/>
      </c>
      <c r="H1027" s="61" t="str">
        <f>IFERROR(VLOOKUP(C1027,$C$9:H1026,6,FALSE),"")</f>
        <v/>
      </c>
      <c r="N1027" s="46" t="e">
        <f t="shared" si="47"/>
        <v>#DIV/0!</v>
      </c>
      <c r="O1027" s="46" t="str">
        <f t="shared" si="48"/>
        <v/>
      </c>
      <c r="P1027" s="46">
        <f t="shared" si="49"/>
        <v>1</v>
      </c>
    </row>
    <row r="1028" spans="1:16" ht="14.25">
      <c r="A1028" s="80"/>
      <c r="B1028" s="80"/>
      <c r="C1028" s="80"/>
      <c r="D1028" s="80"/>
      <c r="E1028" s="76" t="str">
        <f>IFERROR(VLOOKUP(C1028,$C$9:E1027,3,0),"")</f>
        <v/>
      </c>
      <c r="F1028" s="57" t="str">
        <f>IFERROR(VLOOKUP(C1028,$C$9:H1027,4,FALSE),"")</f>
        <v/>
      </c>
      <c r="G1028" s="61" t="str">
        <f>IFERROR(VLOOKUP(C1028,$C$9:G1027,5,FALSE),"")</f>
        <v/>
      </c>
      <c r="H1028" s="61" t="str">
        <f>IFERROR(VLOOKUP(C1028,$C$9:H1027,6,FALSE),"")</f>
        <v/>
      </c>
      <c r="N1028" s="46" t="e">
        <f t="shared" si="47"/>
        <v>#DIV/0!</v>
      </c>
      <c r="O1028" s="46" t="str">
        <f t="shared" si="48"/>
        <v/>
      </c>
      <c r="P1028" s="46">
        <f t="shared" si="49"/>
        <v>1</v>
      </c>
    </row>
    <row r="1029" spans="1:16" ht="14.25">
      <c r="A1029" s="80"/>
      <c r="B1029" s="80"/>
      <c r="C1029" s="80"/>
      <c r="D1029" s="80"/>
      <c r="E1029" s="76" t="str">
        <f>IFERROR(VLOOKUP(C1029,$C$9:E1028,3,0),"")</f>
        <v/>
      </c>
      <c r="F1029" s="57" t="str">
        <f>IFERROR(VLOOKUP(C1029,$C$9:H1028,4,FALSE),"")</f>
        <v/>
      </c>
      <c r="G1029" s="61" t="str">
        <f>IFERROR(VLOOKUP(C1029,$C$9:G1028,5,FALSE),"")</f>
        <v/>
      </c>
      <c r="H1029" s="61" t="str">
        <f>IFERROR(VLOOKUP(C1029,$C$9:H1028,6,FALSE),"")</f>
        <v/>
      </c>
      <c r="N1029" s="46" t="e">
        <f t="shared" si="47"/>
        <v>#DIV/0!</v>
      </c>
      <c r="O1029" s="46" t="str">
        <f t="shared" si="48"/>
        <v/>
      </c>
      <c r="P1029" s="46">
        <f t="shared" si="49"/>
        <v>1</v>
      </c>
    </row>
    <row r="1030" spans="1:16" ht="14.25">
      <c r="A1030" s="80"/>
      <c r="B1030" s="80"/>
      <c r="C1030" s="80"/>
      <c r="D1030" s="80"/>
      <c r="E1030" s="76" t="str">
        <f>IFERROR(VLOOKUP(C1030,$C$9:E1029,3,0),"")</f>
        <v/>
      </c>
      <c r="F1030" s="57" t="str">
        <f>IFERROR(VLOOKUP(C1030,$C$9:H1029,4,FALSE),"")</f>
        <v/>
      </c>
      <c r="G1030" s="61" t="str">
        <f>IFERROR(VLOOKUP(C1030,$C$9:G1029,5,FALSE),"")</f>
        <v/>
      </c>
      <c r="H1030" s="61" t="str">
        <f>IFERROR(VLOOKUP(C1030,$C$9:H1029,6,FALSE),"")</f>
        <v/>
      </c>
      <c r="N1030" s="46" t="e">
        <f t="shared" si="47"/>
        <v>#DIV/0!</v>
      </c>
      <c r="O1030" s="46" t="str">
        <f t="shared" si="48"/>
        <v/>
      </c>
      <c r="P1030" s="46">
        <f t="shared" si="49"/>
        <v>1</v>
      </c>
    </row>
    <row r="1031" spans="1:16" ht="14.25">
      <c r="A1031" s="80"/>
      <c r="B1031" s="80"/>
      <c r="C1031" s="80"/>
      <c r="D1031" s="80"/>
      <c r="E1031" s="76" t="str">
        <f>IFERROR(VLOOKUP(C1031,$C$9:E1030,3,0),"")</f>
        <v/>
      </c>
      <c r="F1031" s="57" t="str">
        <f>IFERROR(VLOOKUP(C1031,$C$9:H1030,4,FALSE),"")</f>
        <v/>
      </c>
      <c r="G1031" s="61" t="str">
        <f>IFERROR(VLOOKUP(C1031,$C$9:G1030,5,FALSE),"")</f>
        <v/>
      </c>
      <c r="H1031" s="61" t="str">
        <f>IFERROR(VLOOKUP(C1031,$C$9:H1030,6,FALSE),"")</f>
        <v/>
      </c>
      <c r="N1031" s="46" t="e">
        <f t="shared" si="47"/>
        <v>#DIV/0!</v>
      </c>
      <c r="O1031" s="46" t="str">
        <f t="shared" si="48"/>
        <v/>
      </c>
      <c r="P1031" s="46">
        <f t="shared" si="49"/>
        <v>1</v>
      </c>
    </row>
    <row r="1032" spans="1:16" ht="14.25">
      <c r="A1032" s="80"/>
      <c r="B1032" s="80"/>
      <c r="C1032" s="80"/>
      <c r="D1032" s="80"/>
      <c r="E1032" s="76" t="str">
        <f>IFERROR(VLOOKUP(C1032,$C$9:E1031,3,0),"")</f>
        <v/>
      </c>
      <c r="F1032" s="57" t="str">
        <f>IFERROR(VLOOKUP(C1032,$C$9:H1031,4,FALSE),"")</f>
        <v/>
      </c>
      <c r="G1032" s="61" t="str">
        <f>IFERROR(VLOOKUP(C1032,$C$9:G1031,5,FALSE),"")</f>
        <v/>
      </c>
      <c r="H1032" s="61" t="str">
        <f>IFERROR(VLOOKUP(C1032,$C$9:H1031,6,FALSE),"")</f>
        <v/>
      </c>
      <c r="N1032" s="46" t="e">
        <f t="shared" si="47"/>
        <v>#DIV/0!</v>
      </c>
      <c r="O1032" s="46" t="str">
        <f t="shared" si="48"/>
        <v/>
      </c>
      <c r="P1032" s="46">
        <f t="shared" si="49"/>
        <v>1</v>
      </c>
    </row>
    <row r="1033" spans="1:16" ht="14.25">
      <c r="A1033" s="80"/>
      <c r="B1033" s="80"/>
      <c r="C1033" s="80"/>
      <c r="D1033" s="80"/>
      <c r="E1033" s="76" t="str">
        <f>IFERROR(VLOOKUP(C1033,$C$9:E1032,3,0),"")</f>
        <v/>
      </c>
      <c r="F1033" s="57" t="str">
        <f>IFERROR(VLOOKUP(C1033,$C$9:H1032,4,FALSE),"")</f>
        <v/>
      </c>
      <c r="G1033" s="61" t="str">
        <f>IFERROR(VLOOKUP(C1033,$C$9:G1032,5,FALSE),"")</f>
        <v/>
      </c>
      <c r="H1033" s="61" t="str">
        <f>IFERROR(VLOOKUP(C1033,$C$9:H1032,6,FALSE),"")</f>
        <v/>
      </c>
      <c r="N1033" s="46" t="e">
        <f t="shared" si="47"/>
        <v>#DIV/0!</v>
      </c>
      <c r="O1033" s="46" t="str">
        <f t="shared" si="48"/>
        <v/>
      </c>
      <c r="P1033" s="46">
        <f t="shared" si="49"/>
        <v>1</v>
      </c>
    </row>
    <row r="1034" spans="1:16" ht="14.25">
      <c r="A1034" s="80"/>
      <c r="B1034" s="80"/>
      <c r="C1034" s="80"/>
      <c r="D1034" s="80"/>
      <c r="E1034" s="76" t="str">
        <f>IFERROR(VLOOKUP(C1034,$C$9:E1033,3,0),"")</f>
        <v/>
      </c>
      <c r="F1034" s="57" t="str">
        <f>IFERROR(VLOOKUP(C1034,$C$9:H1033,4,FALSE),"")</f>
        <v/>
      </c>
      <c r="G1034" s="61" t="str">
        <f>IFERROR(VLOOKUP(C1034,$C$9:G1033,5,FALSE),"")</f>
        <v/>
      </c>
      <c r="H1034" s="61" t="str">
        <f>IFERROR(VLOOKUP(C1034,$C$9:H1033,6,FALSE),"")</f>
        <v/>
      </c>
      <c r="N1034" s="46" t="e">
        <f t="shared" ref="N1034:N1097" si="50">IF(OR(F1034=$P$1,F1034="",F1034=0),D1034/$B$2,IF(OR(F1034=$P$2,F1034=$P$3,F1034=$P$4),D1034/(O1034*P1034),D1034/O1034))</f>
        <v>#DIV/0!</v>
      </c>
      <c r="O1034" s="46" t="str">
        <f t="shared" ref="O1034:O1097" si="51">IFERROR(VLOOKUP(F1034,$P$1:$Q$4,2,0),F1034)</f>
        <v/>
      </c>
      <c r="P1034" s="46">
        <f t="shared" si="49"/>
        <v>1</v>
      </c>
    </row>
    <row r="1035" spans="1:16" ht="14.25">
      <c r="A1035" s="80"/>
      <c r="B1035" s="80"/>
      <c r="C1035" s="80"/>
      <c r="D1035" s="80"/>
      <c r="E1035" s="76" t="str">
        <f>IFERROR(VLOOKUP(C1035,$C$9:E1034,3,0),"")</f>
        <v/>
      </c>
      <c r="F1035" s="57" t="str">
        <f>IFERROR(VLOOKUP(C1035,$C$9:H1034,4,FALSE),"")</f>
        <v/>
      </c>
      <c r="G1035" s="61" t="str">
        <f>IFERROR(VLOOKUP(C1035,$C$9:G1034,5,FALSE),"")</f>
        <v/>
      </c>
      <c r="H1035" s="61" t="str">
        <f>IFERROR(VLOOKUP(C1035,$C$9:H1034,6,FALSE),"")</f>
        <v/>
      </c>
      <c r="N1035" s="46" t="e">
        <f t="shared" si="50"/>
        <v>#DIV/0!</v>
      </c>
      <c r="O1035" s="46" t="str">
        <f t="shared" si="51"/>
        <v/>
      </c>
      <c r="P1035" s="46">
        <f t="shared" ref="P1035:P1098" si="52">IF(C1035="",1,COUNTIFS($C$9:$C$1499,C1035,$H$9:$H$1499,H1035))</f>
        <v>1</v>
      </c>
    </row>
    <row r="1036" spans="1:16" ht="14.25">
      <c r="A1036" s="80"/>
      <c r="B1036" s="80"/>
      <c r="C1036" s="80"/>
      <c r="D1036" s="80"/>
      <c r="E1036" s="76" t="str">
        <f>IFERROR(VLOOKUP(C1036,$C$9:E1035,3,0),"")</f>
        <v/>
      </c>
      <c r="F1036" s="57" t="str">
        <f>IFERROR(VLOOKUP(C1036,$C$9:H1035,4,FALSE),"")</f>
        <v/>
      </c>
      <c r="G1036" s="61" t="str">
        <f>IFERROR(VLOOKUP(C1036,$C$9:G1035,5,FALSE),"")</f>
        <v/>
      </c>
      <c r="H1036" s="61" t="str">
        <f>IFERROR(VLOOKUP(C1036,$C$9:H1035,6,FALSE),"")</f>
        <v/>
      </c>
      <c r="N1036" s="46" t="e">
        <f t="shared" si="50"/>
        <v>#DIV/0!</v>
      </c>
      <c r="O1036" s="46" t="str">
        <f t="shared" si="51"/>
        <v/>
      </c>
      <c r="P1036" s="46">
        <f t="shared" si="52"/>
        <v>1</v>
      </c>
    </row>
    <row r="1037" spans="1:16" ht="14.25">
      <c r="A1037" s="80"/>
      <c r="B1037" s="80"/>
      <c r="C1037" s="80"/>
      <c r="D1037" s="80"/>
      <c r="E1037" s="76" t="str">
        <f>IFERROR(VLOOKUP(C1037,$C$9:E1036,3,0),"")</f>
        <v/>
      </c>
      <c r="F1037" s="57" t="str">
        <f>IFERROR(VLOOKUP(C1037,$C$9:H1036,4,FALSE),"")</f>
        <v/>
      </c>
      <c r="G1037" s="61" t="str">
        <f>IFERROR(VLOOKUP(C1037,$C$9:G1036,5,FALSE),"")</f>
        <v/>
      </c>
      <c r="H1037" s="61" t="str">
        <f>IFERROR(VLOOKUP(C1037,$C$9:H1036,6,FALSE),"")</f>
        <v/>
      </c>
      <c r="N1037" s="46" t="e">
        <f t="shared" si="50"/>
        <v>#DIV/0!</v>
      </c>
      <c r="O1037" s="46" t="str">
        <f t="shared" si="51"/>
        <v/>
      </c>
      <c r="P1037" s="46">
        <f t="shared" si="52"/>
        <v>1</v>
      </c>
    </row>
    <row r="1038" spans="1:16" ht="14.25">
      <c r="A1038" s="80"/>
      <c r="B1038" s="80"/>
      <c r="C1038" s="80"/>
      <c r="D1038" s="80"/>
      <c r="E1038" s="76" t="str">
        <f>IFERROR(VLOOKUP(C1038,$C$9:E1037,3,0),"")</f>
        <v/>
      </c>
      <c r="F1038" s="57" t="str">
        <f>IFERROR(VLOOKUP(C1038,$C$9:H1037,4,FALSE),"")</f>
        <v/>
      </c>
      <c r="G1038" s="61" t="str">
        <f>IFERROR(VLOOKUP(C1038,$C$9:G1037,5,FALSE),"")</f>
        <v/>
      </c>
      <c r="H1038" s="61" t="str">
        <f>IFERROR(VLOOKUP(C1038,$C$9:H1037,6,FALSE),"")</f>
        <v/>
      </c>
      <c r="N1038" s="46" t="e">
        <f t="shared" si="50"/>
        <v>#DIV/0!</v>
      </c>
      <c r="O1038" s="46" t="str">
        <f t="shared" si="51"/>
        <v/>
      </c>
      <c r="P1038" s="46">
        <f t="shared" si="52"/>
        <v>1</v>
      </c>
    </row>
    <row r="1039" spans="1:16" ht="14.25">
      <c r="A1039" s="80"/>
      <c r="B1039" s="80"/>
      <c r="C1039" s="80"/>
      <c r="D1039" s="80"/>
      <c r="E1039" s="76" t="str">
        <f>IFERROR(VLOOKUP(C1039,$C$9:E1038,3,0),"")</f>
        <v/>
      </c>
      <c r="F1039" s="57" t="str">
        <f>IFERROR(VLOOKUP(C1039,$C$9:H1038,4,FALSE),"")</f>
        <v/>
      </c>
      <c r="G1039" s="61" t="str">
        <f>IFERROR(VLOOKUP(C1039,$C$9:G1038,5,FALSE),"")</f>
        <v/>
      </c>
      <c r="H1039" s="61" t="str">
        <f>IFERROR(VLOOKUP(C1039,$C$9:H1038,6,FALSE),"")</f>
        <v/>
      </c>
      <c r="N1039" s="46" t="e">
        <f t="shared" si="50"/>
        <v>#DIV/0!</v>
      </c>
      <c r="O1039" s="46" t="str">
        <f t="shared" si="51"/>
        <v/>
      </c>
      <c r="P1039" s="46">
        <f t="shared" si="52"/>
        <v>1</v>
      </c>
    </row>
    <row r="1040" spans="1:16" ht="14.25">
      <c r="A1040" s="80"/>
      <c r="B1040" s="80"/>
      <c r="C1040" s="80"/>
      <c r="D1040" s="80"/>
      <c r="E1040" s="76" t="str">
        <f>IFERROR(VLOOKUP(C1040,$C$9:E1039,3,0),"")</f>
        <v/>
      </c>
      <c r="F1040" s="57" t="str">
        <f>IFERROR(VLOOKUP(C1040,$C$9:H1039,4,FALSE),"")</f>
        <v/>
      </c>
      <c r="G1040" s="61" t="str">
        <f>IFERROR(VLOOKUP(C1040,$C$9:G1039,5,FALSE),"")</f>
        <v/>
      </c>
      <c r="H1040" s="61" t="str">
        <f>IFERROR(VLOOKUP(C1040,$C$9:H1039,6,FALSE),"")</f>
        <v/>
      </c>
      <c r="N1040" s="46" t="e">
        <f t="shared" si="50"/>
        <v>#DIV/0!</v>
      </c>
      <c r="O1040" s="46" t="str">
        <f t="shared" si="51"/>
        <v/>
      </c>
      <c r="P1040" s="46">
        <f t="shared" si="52"/>
        <v>1</v>
      </c>
    </row>
    <row r="1041" spans="1:16" ht="14.25">
      <c r="A1041" s="80"/>
      <c r="B1041" s="80"/>
      <c r="C1041" s="80"/>
      <c r="D1041" s="80"/>
      <c r="E1041" s="76" t="str">
        <f>IFERROR(VLOOKUP(C1041,$C$9:E1040,3,0),"")</f>
        <v/>
      </c>
      <c r="F1041" s="57" t="str">
        <f>IFERROR(VLOOKUP(C1041,$C$9:H1040,4,FALSE),"")</f>
        <v/>
      </c>
      <c r="G1041" s="61" t="str">
        <f>IFERROR(VLOOKUP(C1041,$C$9:G1040,5,FALSE),"")</f>
        <v/>
      </c>
      <c r="H1041" s="61" t="str">
        <f>IFERROR(VLOOKUP(C1041,$C$9:H1040,6,FALSE),"")</f>
        <v/>
      </c>
      <c r="N1041" s="46" t="e">
        <f t="shared" si="50"/>
        <v>#DIV/0!</v>
      </c>
      <c r="O1041" s="46" t="str">
        <f t="shared" si="51"/>
        <v/>
      </c>
      <c r="P1041" s="46">
        <f t="shared" si="52"/>
        <v>1</v>
      </c>
    </row>
    <row r="1042" spans="1:16" ht="14.25">
      <c r="A1042" s="80"/>
      <c r="B1042" s="80"/>
      <c r="C1042" s="80"/>
      <c r="D1042" s="80"/>
      <c r="E1042" s="76" t="str">
        <f>IFERROR(VLOOKUP(C1042,$C$9:E1041,3,0),"")</f>
        <v/>
      </c>
      <c r="F1042" s="57" t="str">
        <f>IFERROR(VLOOKUP(C1042,$C$9:H1041,4,FALSE),"")</f>
        <v/>
      </c>
      <c r="G1042" s="61" t="str">
        <f>IFERROR(VLOOKUP(C1042,$C$9:G1041,5,FALSE),"")</f>
        <v/>
      </c>
      <c r="H1042" s="61" t="str">
        <f>IFERROR(VLOOKUP(C1042,$C$9:H1041,6,FALSE),"")</f>
        <v/>
      </c>
      <c r="N1042" s="46" t="e">
        <f t="shared" si="50"/>
        <v>#DIV/0!</v>
      </c>
      <c r="O1042" s="46" t="str">
        <f t="shared" si="51"/>
        <v/>
      </c>
      <c r="P1042" s="46">
        <f t="shared" si="52"/>
        <v>1</v>
      </c>
    </row>
    <row r="1043" spans="1:16" ht="14.25">
      <c r="A1043" s="80"/>
      <c r="B1043" s="80"/>
      <c r="C1043" s="80"/>
      <c r="D1043" s="80"/>
      <c r="E1043" s="76" t="str">
        <f>IFERROR(VLOOKUP(C1043,$C$9:E1042,3,0),"")</f>
        <v/>
      </c>
      <c r="F1043" s="57" t="str">
        <f>IFERROR(VLOOKUP(C1043,$C$9:H1042,4,FALSE),"")</f>
        <v/>
      </c>
      <c r="G1043" s="61" t="str">
        <f>IFERROR(VLOOKUP(C1043,$C$9:G1042,5,FALSE),"")</f>
        <v/>
      </c>
      <c r="H1043" s="61" t="str">
        <f>IFERROR(VLOOKUP(C1043,$C$9:H1042,6,FALSE),"")</f>
        <v/>
      </c>
      <c r="N1043" s="46" t="e">
        <f t="shared" si="50"/>
        <v>#DIV/0!</v>
      </c>
      <c r="O1043" s="46" t="str">
        <f t="shared" si="51"/>
        <v/>
      </c>
      <c r="P1043" s="46">
        <f t="shared" si="52"/>
        <v>1</v>
      </c>
    </row>
    <row r="1044" spans="1:16" ht="14.25">
      <c r="A1044" s="80"/>
      <c r="B1044" s="80"/>
      <c r="C1044" s="80"/>
      <c r="D1044" s="80"/>
      <c r="E1044" s="76" t="str">
        <f>IFERROR(VLOOKUP(C1044,$C$9:E1043,3,0),"")</f>
        <v/>
      </c>
      <c r="F1044" s="57" t="str">
        <f>IFERROR(VLOOKUP(C1044,$C$9:H1043,4,FALSE),"")</f>
        <v/>
      </c>
      <c r="G1044" s="61" t="str">
        <f>IFERROR(VLOOKUP(C1044,$C$9:G1043,5,FALSE),"")</f>
        <v/>
      </c>
      <c r="H1044" s="61" t="str">
        <f>IFERROR(VLOOKUP(C1044,$C$9:H1043,6,FALSE),"")</f>
        <v/>
      </c>
      <c r="N1044" s="46" t="e">
        <f t="shared" si="50"/>
        <v>#DIV/0!</v>
      </c>
      <c r="O1044" s="46" t="str">
        <f t="shared" si="51"/>
        <v/>
      </c>
      <c r="P1044" s="46">
        <f t="shared" si="52"/>
        <v>1</v>
      </c>
    </row>
    <row r="1045" spans="1:16" ht="14.25">
      <c r="A1045" s="80"/>
      <c r="B1045" s="80"/>
      <c r="C1045" s="80"/>
      <c r="D1045" s="80"/>
      <c r="E1045" s="76" t="str">
        <f>IFERROR(VLOOKUP(C1045,$C$9:E1044,3,0),"")</f>
        <v/>
      </c>
      <c r="F1045" s="57" t="str">
        <f>IFERROR(VLOOKUP(C1045,$C$9:H1044,4,FALSE),"")</f>
        <v/>
      </c>
      <c r="G1045" s="61" t="str">
        <f>IFERROR(VLOOKUP(C1045,$C$9:G1044,5,FALSE),"")</f>
        <v/>
      </c>
      <c r="H1045" s="61" t="str">
        <f>IFERROR(VLOOKUP(C1045,$C$9:H1044,6,FALSE),"")</f>
        <v/>
      </c>
      <c r="N1045" s="46" t="e">
        <f t="shared" si="50"/>
        <v>#DIV/0!</v>
      </c>
      <c r="O1045" s="46" t="str">
        <f t="shared" si="51"/>
        <v/>
      </c>
      <c r="P1045" s="46">
        <f t="shared" si="52"/>
        <v>1</v>
      </c>
    </row>
    <row r="1046" spans="1:16" ht="14.25">
      <c r="A1046" s="80"/>
      <c r="B1046" s="80"/>
      <c r="C1046" s="80"/>
      <c r="D1046" s="80"/>
      <c r="E1046" s="76" t="str">
        <f>IFERROR(VLOOKUP(C1046,$C$9:E1045,3,0),"")</f>
        <v/>
      </c>
      <c r="F1046" s="57" t="str">
        <f>IFERROR(VLOOKUP(C1046,$C$9:H1045,4,FALSE),"")</f>
        <v/>
      </c>
      <c r="G1046" s="61" t="str">
        <f>IFERROR(VLOOKUP(C1046,$C$9:G1045,5,FALSE),"")</f>
        <v/>
      </c>
      <c r="H1046" s="61" t="str">
        <f>IFERROR(VLOOKUP(C1046,$C$9:H1045,6,FALSE),"")</f>
        <v/>
      </c>
      <c r="N1046" s="46" t="e">
        <f t="shared" si="50"/>
        <v>#DIV/0!</v>
      </c>
      <c r="O1046" s="46" t="str">
        <f t="shared" si="51"/>
        <v/>
      </c>
      <c r="P1046" s="46">
        <f t="shared" si="52"/>
        <v>1</v>
      </c>
    </row>
    <row r="1047" spans="1:16" ht="14.25">
      <c r="A1047" s="80"/>
      <c r="B1047" s="80"/>
      <c r="C1047" s="80"/>
      <c r="D1047" s="80"/>
      <c r="E1047" s="76" t="str">
        <f>IFERROR(VLOOKUP(C1047,$C$9:E1046,3,0),"")</f>
        <v/>
      </c>
      <c r="F1047" s="57" t="str">
        <f>IFERROR(VLOOKUP(C1047,$C$9:H1046,4,FALSE),"")</f>
        <v/>
      </c>
      <c r="G1047" s="61" t="str">
        <f>IFERROR(VLOOKUP(C1047,$C$9:G1046,5,FALSE),"")</f>
        <v/>
      </c>
      <c r="H1047" s="61" t="str">
        <f>IFERROR(VLOOKUP(C1047,$C$9:H1046,6,FALSE),"")</f>
        <v/>
      </c>
      <c r="N1047" s="46" t="e">
        <f t="shared" si="50"/>
        <v>#DIV/0!</v>
      </c>
      <c r="O1047" s="46" t="str">
        <f t="shared" si="51"/>
        <v/>
      </c>
      <c r="P1047" s="46">
        <f t="shared" si="52"/>
        <v>1</v>
      </c>
    </row>
    <row r="1048" spans="1:16" ht="14.25">
      <c r="A1048" s="80"/>
      <c r="B1048" s="80"/>
      <c r="C1048" s="80"/>
      <c r="D1048" s="80"/>
      <c r="E1048" s="76" t="str">
        <f>IFERROR(VLOOKUP(C1048,$C$9:E1047,3,0),"")</f>
        <v/>
      </c>
      <c r="F1048" s="57" t="str">
        <f>IFERROR(VLOOKUP(C1048,$C$9:H1047,4,FALSE),"")</f>
        <v/>
      </c>
      <c r="G1048" s="61" t="str">
        <f>IFERROR(VLOOKUP(C1048,$C$9:G1047,5,FALSE),"")</f>
        <v/>
      </c>
      <c r="H1048" s="61" t="str">
        <f>IFERROR(VLOOKUP(C1048,$C$9:H1047,6,FALSE),"")</f>
        <v/>
      </c>
      <c r="N1048" s="46" t="e">
        <f t="shared" si="50"/>
        <v>#DIV/0!</v>
      </c>
      <c r="O1048" s="46" t="str">
        <f t="shared" si="51"/>
        <v/>
      </c>
      <c r="P1048" s="46">
        <f t="shared" si="52"/>
        <v>1</v>
      </c>
    </row>
    <row r="1049" spans="1:16" ht="14.25">
      <c r="A1049" s="80"/>
      <c r="B1049" s="80"/>
      <c r="C1049" s="80"/>
      <c r="D1049" s="80"/>
      <c r="E1049" s="76" t="str">
        <f>IFERROR(VLOOKUP(C1049,$C$9:E1048,3,0),"")</f>
        <v/>
      </c>
      <c r="F1049" s="57" t="str">
        <f>IFERROR(VLOOKUP(C1049,$C$9:H1048,4,FALSE),"")</f>
        <v/>
      </c>
      <c r="G1049" s="61" t="str">
        <f>IFERROR(VLOOKUP(C1049,$C$9:G1048,5,FALSE),"")</f>
        <v/>
      </c>
      <c r="H1049" s="61" t="str">
        <f>IFERROR(VLOOKUP(C1049,$C$9:H1048,6,FALSE),"")</f>
        <v/>
      </c>
      <c r="N1049" s="46" t="e">
        <f t="shared" si="50"/>
        <v>#DIV/0!</v>
      </c>
      <c r="O1049" s="46" t="str">
        <f t="shared" si="51"/>
        <v/>
      </c>
      <c r="P1049" s="46">
        <f t="shared" si="52"/>
        <v>1</v>
      </c>
    </row>
    <row r="1050" spans="1:16" ht="14.25">
      <c r="A1050" s="80"/>
      <c r="B1050" s="80"/>
      <c r="C1050" s="80"/>
      <c r="D1050" s="80"/>
      <c r="E1050" s="76" t="str">
        <f>IFERROR(VLOOKUP(C1050,$C$9:E1049,3,0),"")</f>
        <v/>
      </c>
      <c r="F1050" s="57" t="str">
        <f>IFERROR(VLOOKUP(C1050,$C$9:H1049,4,FALSE),"")</f>
        <v/>
      </c>
      <c r="G1050" s="61" t="str">
        <f>IFERROR(VLOOKUP(C1050,$C$9:G1049,5,FALSE),"")</f>
        <v/>
      </c>
      <c r="H1050" s="61" t="str">
        <f>IFERROR(VLOOKUP(C1050,$C$9:H1049,6,FALSE),"")</f>
        <v/>
      </c>
      <c r="N1050" s="46" t="e">
        <f t="shared" si="50"/>
        <v>#DIV/0!</v>
      </c>
      <c r="O1050" s="46" t="str">
        <f t="shared" si="51"/>
        <v/>
      </c>
      <c r="P1050" s="46">
        <f t="shared" si="52"/>
        <v>1</v>
      </c>
    </row>
    <row r="1051" spans="1:16" ht="14.25">
      <c r="A1051" s="80"/>
      <c r="B1051" s="80"/>
      <c r="C1051" s="80"/>
      <c r="D1051" s="80"/>
      <c r="E1051" s="76" t="str">
        <f>IFERROR(VLOOKUP(C1051,$C$9:E1050,3,0),"")</f>
        <v/>
      </c>
      <c r="F1051" s="57" t="str">
        <f>IFERROR(VLOOKUP(C1051,$C$9:H1050,4,FALSE),"")</f>
        <v/>
      </c>
      <c r="G1051" s="61" t="str">
        <f>IFERROR(VLOOKUP(C1051,$C$9:G1050,5,FALSE),"")</f>
        <v/>
      </c>
      <c r="H1051" s="61" t="str">
        <f>IFERROR(VLOOKUP(C1051,$C$9:H1050,6,FALSE),"")</f>
        <v/>
      </c>
      <c r="N1051" s="46" t="e">
        <f t="shared" si="50"/>
        <v>#DIV/0!</v>
      </c>
      <c r="O1051" s="46" t="str">
        <f t="shared" si="51"/>
        <v/>
      </c>
      <c r="P1051" s="46">
        <f t="shared" si="52"/>
        <v>1</v>
      </c>
    </row>
    <row r="1052" spans="1:16" ht="14.25">
      <c r="A1052" s="80"/>
      <c r="B1052" s="80"/>
      <c r="C1052" s="80"/>
      <c r="D1052" s="80"/>
      <c r="E1052" s="76" t="str">
        <f>IFERROR(VLOOKUP(C1052,$C$9:E1051,3,0),"")</f>
        <v/>
      </c>
      <c r="F1052" s="57" t="str">
        <f>IFERROR(VLOOKUP(C1052,$C$9:H1051,4,FALSE),"")</f>
        <v/>
      </c>
      <c r="G1052" s="61" t="str">
        <f>IFERROR(VLOOKUP(C1052,$C$9:G1051,5,FALSE),"")</f>
        <v/>
      </c>
      <c r="H1052" s="61" t="str">
        <f>IFERROR(VLOOKUP(C1052,$C$9:H1051,6,FALSE),"")</f>
        <v/>
      </c>
      <c r="N1052" s="46" t="e">
        <f t="shared" si="50"/>
        <v>#DIV/0!</v>
      </c>
      <c r="O1052" s="46" t="str">
        <f t="shared" si="51"/>
        <v/>
      </c>
      <c r="P1052" s="46">
        <f t="shared" si="52"/>
        <v>1</v>
      </c>
    </row>
    <row r="1053" spans="1:16" ht="14.25">
      <c r="A1053" s="80"/>
      <c r="B1053" s="80"/>
      <c r="C1053" s="80"/>
      <c r="D1053" s="80"/>
      <c r="E1053" s="76" t="str">
        <f>IFERROR(VLOOKUP(C1053,$C$9:E1052,3,0),"")</f>
        <v/>
      </c>
      <c r="F1053" s="57" t="str">
        <f>IFERROR(VLOOKUP(C1053,$C$9:H1052,4,FALSE),"")</f>
        <v/>
      </c>
      <c r="G1053" s="61" t="str">
        <f>IFERROR(VLOOKUP(C1053,$C$9:G1052,5,FALSE),"")</f>
        <v/>
      </c>
      <c r="H1053" s="61" t="str">
        <f>IFERROR(VLOOKUP(C1053,$C$9:H1052,6,FALSE),"")</f>
        <v/>
      </c>
      <c r="N1053" s="46" t="e">
        <f t="shared" si="50"/>
        <v>#DIV/0!</v>
      </c>
      <c r="O1053" s="46" t="str">
        <f t="shared" si="51"/>
        <v/>
      </c>
      <c r="P1053" s="46">
        <f t="shared" si="52"/>
        <v>1</v>
      </c>
    </row>
    <row r="1054" spans="1:16" ht="14.25">
      <c r="A1054" s="80"/>
      <c r="B1054" s="80"/>
      <c r="C1054" s="80"/>
      <c r="D1054" s="80"/>
      <c r="E1054" s="76" t="str">
        <f>IFERROR(VLOOKUP(C1054,$C$9:E1053,3,0),"")</f>
        <v/>
      </c>
      <c r="F1054" s="57" t="str">
        <f>IFERROR(VLOOKUP(C1054,$C$9:H1053,4,FALSE),"")</f>
        <v/>
      </c>
      <c r="G1054" s="61" t="str">
        <f>IFERROR(VLOOKUP(C1054,$C$9:G1053,5,FALSE),"")</f>
        <v/>
      </c>
      <c r="H1054" s="61" t="str">
        <f>IFERROR(VLOOKUP(C1054,$C$9:H1053,6,FALSE),"")</f>
        <v/>
      </c>
      <c r="N1054" s="46" t="e">
        <f t="shared" si="50"/>
        <v>#DIV/0!</v>
      </c>
      <c r="O1054" s="46" t="str">
        <f t="shared" si="51"/>
        <v/>
      </c>
      <c r="P1054" s="46">
        <f t="shared" si="52"/>
        <v>1</v>
      </c>
    </row>
    <row r="1055" spans="1:16" ht="14.25">
      <c r="A1055" s="80"/>
      <c r="B1055" s="80"/>
      <c r="C1055" s="80"/>
      <c r="D1055" s="80"/>
      <c r="E1055" s="76" t="str">
        <f>IFERROR(VLOOKUP(C1055,$C$9:E1054,3,0),"")</f>
        <v/>
      </c>
      <c r="F1055" s="57" t="str">
        <f>IFERROR(VLOOKUP(C1055,$C$9:H1054,4,FALSE),"")</f>
        <v/>
      </c>
      <c r="G1055" s="61" t="str">
        <f>IFERROR(VLOOKUP(C1055,$C$9:G1054,5,FALSE),"")</f>
        <v/>
      </c>
      <c r="H1055" s="61" t="str">
        <f>IFERROR(VLOOKUP(C1055,$C$9:H1054,6,FALSE),"")</f>
        <v/>
      </c>
      <c r="N1055" s="46" t="e">
        <f t="shared" si="50"/>
        <v>#DIV/0!</v>
      </c>
      <c r="O1055" s="46" t="str">
        <f t="shared" si="51"/>
        <v/>
      </c>
      <c r="P1055" s="46">
        <f t="shared" si="52"/>
        <v>1</v>
      </c>
    </row>
    <row r="1056" spans="1:16" ht="14.25">
      <c r="A1056" s="80"/>
      <c r="B1056" s="80"/>
      <c r="C1056" s="80"/>
      <c r="D1056" s="80"/>
      <c r="E1056" s="76" t="str">
        <f>IFERROR(VLOOKUP(C1056,$C$9:E1055,3,0),"")</f>
        <v/>
      </c>
      <c r="F1056" s="57" t="str">
        <f>IFERROR(VLOOKUP(C1056,$C$9:H1055,4,FALSE),"")</f>
        <v/>
      </c>
      <c r="G1056" s="61" t="str">
        <f>IFERROR(VLOOKUP(C1056,$C$9:G1055,5,FALSE),"")</f>
        <v/>
      </c>
      <c r="H1056" s="61" t="str">
        <f>IFERROR(VLOOKUP(C1056,$C$9:H1055,6,FALSE),"")</f>
        <v/>
      </c>
      <c r="N1056" s="46" t="e">
        <f t="shared" si="50"/>
        <v>#DIV/0!</v>
      </c>
      <c r="O1056" s="46" t="str">
        <f t="shared" si="51"/>
        <v/>
      </c>
      <c r="P1056" s="46">
        <f t="shared" si="52"/>
        <v>1</v>
      </c>
    </row>
    <row r="1057" spans="1:16" ht="14.25">
      <c r="A1057" s="80"/>
      <c r="B1057" s="80"/>
      <c r="C1057" s="80"/>
      <c r="D1057" s="80"/>
      <c r="E1057" s="76" t="str">
        <f>IFERROR(VLOOKUP(C1057,$C$9:E1056,3,0),"")</f>
        <v/>
      </c>
      <c r="F1057" s="57" t="str">
        <f>IFERROR(VLOOKUP(C1057,$C$9:H1056,4,FALSE),"")</f>
        <v/>
      </c>
      <c r="G1057" s="61" t="str">
        <f>IFERROR(VLOOKUP(C1057,$C$9:G1056,5,FALSE),"")</f>
        <v/>
      </c>
      <c r="H1057" s="61" t="str">
        <f>IFERROR(VLOOKUP(C1057,$C$9:H1056,6,FALSE),"")</f>
        <v/>
      </c>
      <c r="N1057" s="46" t="e">
        <f t="shared" si="50"/>
        <v>#DIV/0!</v>
      </c>
      <c r="O1057" s="46" t="str">
        <f t="shared" si="51"/>
        <v/>
      </c>
      <c r="P1057" s="46">
        <f t="shared" si="52"/>
        <v>1</v>
      </c>
    </row>
    <row r="1058" spans="1:16" ht="14.25">
      <c r="A1058" s="80"/>
      <c r="B1058" s="80"/>
      <c r="C1058" s="80"/>
      <c r="D1058" s="80"/>
      <c r="E1058" s="76" t="str">
        <f>IFERROR(VLOOKUP(C1058,$C$9:E1057,3,0),"")</f>
        <v/>
      </c>
      <c r="F1058" s="57" t="str">
        <f>IFERROR(VLOOKUP(C1058,$C$9:H1057,4,FALSE),"")</f>
        <v/>
      </c>
      <c r="G1058" s="61" t="str">
        <f>IFERROR(VLOOKUP(C1058,$C$9:G1057,5,FALSE),"")</f>
        <v/>
      </c>
      <c r="H1058" s="61" t="str">
        <f>IFERROR(VLOOKUP(C1058,$C$9:H1057,6,FALSE),"")</f>
        <v/>
      </c>
      <c r="N1058" s="46" t="e">
        <f t="shared" si="50"/>
        <v>#DIV/0!</v>
      </c>
      <c r="O1058" s="46" t="str">
        <f t="shared" si="51"/>
        <v/>
      </c>
      <c r="P1058" s="46">
        <f t="shared" si="52"/>
        <v>1</v>
      </c>
    </row>
    <row r="1059" spans="1:16" ht="14.25">
      <c r="A1059" s="80"/>
      <c r="B1059" s="80"/>
      <c r="C1059" s="80"/>
      <c r="D1059" s="80"/>
      <c r="E1059" s="76" t="str">
        <f>IFERROR(VLOOKUP(C1059,$C$9:E1058,3,0),"")</f>
        <v/>
      </c>
      <c r="F1059" s="57" t="str">
        <f>IFERROR(VLOOKUP(C1059,$C$9:H1058,4,FALSE),"")</f>
        <v/>
      </c>
      <c r="G1059" s="61" t="str">
        <f>IFERROR(VLOOKUP(C1059,$C$9:G1058,5,FALSE),"")</f>
        <v/>
      </c>
      <c r="H1059" s="61" t="str">
        <f>IFERROR(VLOOKUP(C1059,$C$9:H1058,6,FALSE),"")</f>
        <v/>
      </c>
      <c r="N1059" s="46" t="e">
        <f t="shared" si="50"/>
        <v>#DIV/0!</v>
      </c>
      <c r="O1059" s="46" t="str">
        <f t="shared" si="51"/>
        <v/>
      </c>
      <c r="P1059" s="46">
        <f t="shared" si="52"/>
        <v>1</v>
      </c>
    </row>
    <row r="1060" spans="1:16" ht="14.25">
      <c r="A1060" s="80"/>
      <c r="B1060" s="80"/>
      <c r="C1060" s="80"/>
      <c r="D1060" s="80"/>
      <c r="E1060" s="76" t="str">
        <f>IFERROR(VLOOKUP(C1060,$C$9:E1059,3,0),"")</f>
        <v/>
      </c>
      <c r="F1060" s="57" t="str">
        <f>IFERROR(VLOOKUP(C1060,$C$9:H1059,4,FALSE),"")</f>
        <v/>
      </c>
      <c r="G1060" s="61" t="str">
        <f>IFERROR(VLOOKUP(C1060,$C$9:G1059,5,FALSE),"")</f>
        <v/>
      </c>
      <c r="H1060" s="61" t="str">
        <f>IFERROR(VLOOKUP(C1060,$C$9:H1059,6,FALSE),"")</f>
        <v/>
      </c>
      <c r="N1060" s="46" t="e">
        <f t="shared" si="50"/>
        <v>#DIV/0!</v>
      </c>
      <c r="O1060" s="46" t="str">
        <f t="shared" si="51"/>
        <v/>
      </c>
      <c r="P1060" s="46">
        <f t="shared" si="52"/>
        <v>1</v>
      </c>
    </row>
    <row r="1061" spans="1:16" ht="14.25">
      <c r="A1061" s="80"/>
      <c r="B1061" s="80"/>
      <c r="C1061" s="80"/>
      <c r="D1061" s="80"/>
      <c r="E1061" s="76" t="str">
        <f>IFERROR(VLOOKUP(C1061,$C$9:E1060,3,0),"")</f>
        <v/>
      </c>
      <c r="F1061" s="57" t="str">
        <f>IFERROR(VLOOKUP(C1061,$C$9:H1060,4,FALSE),"")</f>
        <v/>
      </c>
      <c r="G1061" s="61" t="str">
        <f>IFERROR(VLOOKUP(C1061,$C$9:G1060,5,FALSE),"")</f>
        <v/>
      </c>
      <c r="H1061" s="61" t="str">
        <f>IFERROR(VLOOKUP(C1061,$C$9:H1060,6,FALSE),"")</f>
        <v/>
      </c>
      <c r="N1061" s="46" t="e">
        <f t="shared" si="50"/>
        <v>#DIV/0!</v>
      </c>
      <c r="O1061" s="46" t="str">
        <f t="shared" si="51"/>
        <v/>
      </c>
      <c r="P1061" s="46">
        <f t="shared" si="52"/>
        <v>1</v>
      </c>
    </row>
    <row r="1062" spans="1:16" ht="14.25">
      <c r="A1062" s="80"/>
      <c r="B1062" s="80"/>
      <c r="C1062" s="80"/>
      <c r="D1062" s="80"/>
      <c r="E1062" s="76" t="str">
        <f>IFERROR(VLOOKUP(C1062,$C$9:E1061,3,0),"")</f>
        <v/>
      </c>
      <c r="F1062" s="57" t="str">
        <f>IFERROR(VLOOKUP(C1062,$C$9:H1061,4,FALSE),"")</f>
        <v/>
      </c>
      <c r="G1062" s="61" t="str">
        <f>IFERROR(VLOOKUP(C1062,$C$9:G1061,5,FALSE),"")</f>
        <v/>
      </c>
      <c r="H1062" s="61" t="str">
        <f>IFERROR(VLOOKUP(C1062,$C$9:H1061,6,FALSE),"")</f>
        <v/>
      </c>
      <c r="N1062" s="46" t="e">
        <f t="shared" si="50"/>
        <v>#DIV/0!</v>
      </c>
      <c r="O1062" s="46" t="str">
        <f t="shared" si="51"/>
        <v/>
      </c>
      <c r="P1062" s="46">
        <f t="shared" si="52"/>
        <v>1</v>
      </c>
    </row>
    <row r="1063" spans="1:16" ht="14.25">
      <c r="A1063" s="80"/>
      <c r="B1063" s="80"/>
      <c r="C1063" s="80"/>
      <c r="D1063" s="80"/>
      <c r="E1063" s="76" t="str">
        <f>IFERROR(VLOOKUP(C1063,$C$9:E1062,3,0),"")</f>
        <v/>
      </c>
      <c r="F1063" s="57" t="str">
        <f>IFERROR(VLOOKUP(C1063,$C$9:H1062,4,FALSE),"")</f>
        <v/>
      </c>
      <c r="G1063" s="61" t="str">
        <f>IFERROR(VLOOKUP(C1063,$C$9:G1062,5,FALSE),"")</f>
        <v/>
      </c>
      <c r="H1063" s="61" t="str">
        <f>IFERROR(VLOOKUP(C1063,$C$9:H1062,6,FALSE),"")</f>
        <v/>
      </c>
      <c r="N1063" s="46" t="e">
        <f t="shared" si="50"/>
        <v>#DIV/0!</v>
      </c>
      <c r="O1063" s="46" t="str">
        <f t="shared" si="51"/>
        <v/>
      </c>
      <c r="P1063" s="46">
        <f t="shared" si="52"/>
        <v>1</v>
      </c>
    </row>
    <row r="1064" spans="1:16" ht="14.25">
      <c r="A1064" s="80"/>
      <c r="B1064" s="80"/>
      <c r="C1064" s="80"/>
      <c r="D1064" s="80"/>
      <c r="E1064" s="76" t="str">
        <f>IFERROR(VLOOKUP(C1064,$C$9:E1063,3,0),"")</f>
        <v/>
      </c>
      <c r="F1064" s="57" t="str">
        <f>IFERROR(VLOOKUP(C1064,$C$9:H1063,4,FALSE),"")</f>
        <v/>
      </c>
      <c r="G1064" s="61" t="str">
        <f>IFERROR(VLOOKUP(C1064,$C$9:G1063,5,FALSE),"")</f>
        <v/>
      </c>
      <c r="H1064" s="61" t="str">
        <f>IFERROR(VLOOKUP(C1064,$C$9:H1063,6,FALSE),"")</f>
        <v/>
      </c>
      <c r="N1064" s="46" t="e">
        <f t="shared" si="50"/>
        <v>#DIV/0!</v>
      </c>
      <c r="O1064" s="46" t="str">
        <f t="shared" si="51"/>
        <v/>
      </c>
      <c r="P1064" s="46">
        <f t="shared" si="52"/>
        <v>1</v>
      </c>
    </row>
    <row r="1065" spans="1:16" ht="14.25">
      <c r="A1065" s="80"/>
      <c r="B1065" s="80"/>
      <c r="C1065" s="80"/>
      <c r="D1065" s="80"/>
      <c r="E1065" s="76" t="str">
        <f>IFERROR(VLOOKUP(C1065,$C$9:E1064,3,0),"")</f>
        <v/>
      </c>
      <c r="F1065" s="57" t="str">
        <f>IFERROR(VLOOKUP(C1065,$C$9:H1064,4,FALSE),"")</f>
        <v/>
      </c>
      <c r="G1065" s="61" t="str">
        <f>IFERROR(VLOOKUP(C1065,$C$9:G1064,5,FALSE),"")</f>
        <v/>
      </c>
      <c r="H1065" s="61" t="str">
        <f>IFERROR(VLOOKUP(C1065,$C$9:H1064,6,FALSE),"")</f>
        <v/>
      </c>
      <c r="N1065" s="46" t="e">
        <f t="shared" si="50"/>
        <v>#DIV/0!</v>
      </c>
      <c r="O1065" s="46" t="str">
        <f t="shared" si="51"/>
        <v/>
      </c>
      <c r="P1065" s="46">
        <f t="shared" si="52"/>
        <v>1</v>
      </c>
    </row>
    <row r="1066" spans="1:16" ht="14.25">
      <c r="A1066" s="80"/>
      <c r="B1066" s="80"/>
      <c r="C1066" s="80"/>
      <c r="D1066" s="80"/>
      <c r="E1066" s="76" t="str">
        <f>IFERROR(VLOOKUP(C1066,$C$9:E1065,3,0),"")</f>
        <v/>
      </c>
      <c r="F1066" s="57" t="str">
        <f>IFERROR(VLOOKUP(C1066,$C$9:H1065,4,FALSE),"")</f>
        <v/>
      </c>
      <c r="G1066" s="61" t="str">
        <f>IFERROR(VLOOKUP(C1066,$C$9:G1065,5,FALSE),"")</f>
        <v/>
      </c>
      <c r="H1066" s="61" t="str">
        <f>IFERROR(VLOOKUP(C1066,$C$9:H1065,6,FALSE),"")</f>
        <v/>
      </c>
      <c r="N1066" s="46" t="e">
        <f t="shared" si="50"/>
        <v>#DIV/0!</v>
      </c>
      <c r="O1066" s="46" t="str">
        <f t="shared" si="51"/>
        <v/>
      </c>
      <c r="P1066" s="46">
        <f t="shared" si="52"/>
        <v>1</v>
      </c>
    </row>
    <row r="1067" spans="1:16" ht="14.25">
      <c r="A1067" s="80"/>
      <c r="B1067" s="80"/>
      <c r="C1067" s="80"/>
      <c r="D1067" s="80"/>
      <c r="E1067" s="76" t="str">
        <f>IFERROR(VLOOKUP(C1067,$C$9:E1066,3,0),"")</f>
        <v/>
      </c>
      <c r="F1067" s="57" t="str">
        <f>IFERROR(VLOOKUP(C1067,$C$9:H1066,4,FALSE),"")</f>
        <v/>
      </c>
      <c r="G1067" s="61" t="str">
        <f>IFERROR(VLOOKUP(C1067,$C$9:G1066,5,FALSE),"")</f>
        <v/>
      </c>
      <c r="H1067" s="61" t="str">
        <f>IFERROR(VLOOKUP(C1067,$C$9:H1066,6,FALSE),"")</f>
        <v/>
      </c>
      <c r="N1067" s="46" t="e">
        <f t="shared" si="50"/>
        <v>#DIV/0!</v>
      </c>
      <c r="O1067" s="46" t="str">
        <f t="shared" si="51"/>
        <v/>
      </c>
      <c r="P1067" s="46">
        <f t="shared" si="52"/>
        <v>1</v>
      </c>
    </row>
    <row r="1068" spans="1:16" ht="14.25">
      <c r="A1068" s="80"/>
      <c r="B1068" s="80"/>
      <c r="C1068" s="80"/>
      <c r="D1068" s="80"/>
      <c r="E1068" s="76" t="str">
        <f>IFERROR(VLOOKUP(C1068,$C$9:E1067,3,0),"")</f>
        <v/>
      </c>
      <c r="F1068" s="57" t="str">
        <f>IFERROR(VLOOKUP(C1068,$C$9:H1067,4,FALSE),"")</f>
        <v/>
      </c>
      <c r="G1068" s="61" t="str">
        <f>IFERROR(VLOOKUP(C1068,$C$9:G1067,5,FALSE),"")</f>
        <v/>
      </c>
      <c r="H1068" s="61" t="str">
        <f>IFERROR(VLOOKUP(C1068,$C$9:H1067,6,FALSE),"")</f>
        <v/>
      </c>
      <c r="N1068" s="46" t="e">
        <f t="shared" si="50"/>
        <v>#DIV/0!</v>
      </c>
      <c r="O1068" s="46" t="str">
        <f t="shared" si="51"/>
        <v/>
      </c>
      <c r="P1068" s="46">
        <f t="shared" si="52"/>
        <v>1</v>
      </c>
    </row>
    <row r="1069" spans="1:16" ht="14.25">
      <c r="A1069" s="80"/>
      <c r="B1069" s="80"/>
      <c r="C1069" s="80"/>
      <c r="D1069" s="80"/>
      <c r="E1069" s="76" t="str">
        <f>IFERROR(VLOOKUP(C1069,$C$9:E1068,3,0),"")</f>
        <v/>
      </c>
      <c r="F1069" s="57" t="str">
        <f>IFERROR(VLOOKUP(C1069,$C$9:H1068,4,FALSE),"")</f>
        <v/>
      </c>
      <c r="G1069" s="61" t="str">
        <f>IFERROR(VLOOKUP(C1069,$C$9:G1068,5,FALSE),"")</f>
        <v/>
      </c>
      <c r="H1069" s="61" t="str">
        <f>IFERROR(VLOOKUP(C1069,$C$9:H1068,6,FALSE),"")</f>
        <v/>
      </c>
      <c r="N1069" s="46" t="e">
        <f t="shared" si="50"/>
        <v>#DIV/0!</v>
      </c>
      <c r="O1069" s="46" t="str">
        <f t="shared" si="51"/>
        <v/>
      </c>
      <c r="P1069" s="46">
        <f t="shared" si="52"/>
        <v>1</v>
      </c>
    </row>
    <row r="1070" spans="1:16" ht="14.25">
      <c r="A1070" s="80"/>
      <c r="B1070" s="80"/>
      <c r="C1070" s="80"/>
      <c r="D1070" s="80"/>
      <c r="E1070" s="76" t="str">
        <f>IFERROR(VLOOKUP(C1070,$C$9:E1069,3,0),"")</f>
        <v/>
      </c>
      <c r="F1070" s="57" t="str">
        <f>IFERROR(VLOOKUP(C1070,$C$9:H1069,4,FALSE),"")</f>
        <v/>
      </c>
      <c r="G1070" s="61" t="str">
        <f>IFERROR(VLOOKUP(C1070,$C$9:G1069,5,FALSE),"")</f>
        <v/>
      </c>
      <c r="H1070" s="61" t="str">
        <f>IFERROR(VLOOKUP(C1070,$C$9:H1069,6,FALSE),"")</f>
        <v/>
      </c>
      <c r="N1070" s="46" t="e">
        <f t="shared" si="50"/>
        <v>#DIV/0!</v>
      </c>
      <c r="O1070" s="46" t="str">
        <f t="shared" si="51"/>
        <v/>
      </c>
      <c r="P1070" s="46">
        <f t="shared" si="52"/>
        <v>1</v>
      </c>
    </row>
    <row r="1071" spans="1:16" ht="14.25">
      <c r="A1071" s="80"/>
      <c r="B1071" s="80"/>
      <c r="C1071" s="80"/>
      <c r="D1071" s="80"/>
      <c r="E1071" s="76" t="str">
        <f>IFERROR(VLOOKUP(C1071,$C$9:E1070,3,0),"")</f>
        <v/>
      </c>
      <c r="F1071" s="57" t="str">
        <f>IFERROR(VLOOKUP(C1071,$C$9:H1070,4,FALSE),"")</f>
        <v/>
      </c>
      <c r="G1071" s="61" t="str">
        <f>IFERROR(VLOOKUP(C1071,$C$9:G1070,5,FALSE),"")</f>
        <v/>
      </c>
      <c r="H1071" s="61" t="str">
        <f>IFERROR(VLOOKUP(C1071,$C$9:H1070,6,FALSE),"")</f>
        <v/>
      </c>
      <c r="N1071" s="46" t="e">
        <f t="shared" si="50"/>
        <v>#DIV/0!</v>
      </c>
      <c r="O1071" s="46" t="str">
        <f t="shared" si="51"/>
        <v/>
      </c>
      <c r="P1071" s="46">
        <f t="shared" si="52"/>
        <v>1</v>
      </c>
    </row>
    <row r="1072" spans="1:16" ht="14.25">
      <c r="A1072" s="80"/>
      <c r="B1072" s="80"/>
      <c r="C1072" s="80"/>
      <c r="D1072" s="80"/>
      <c r="E1072" s="76" t="str">
        <f>IFERROR(VLOOKUP(C1072,$C$9:E1071,3,0),"")</f>
        <v/>
      </c>
      <c r="F1072" s="57" t="str">
        <f>IFERROR(VLOOKUP(C1072,$C$9:H1071,4,FALSE),"")</f>
        <v/>
      </c>
      <c r="G1072" s="61" t="str">
        <f>IFERROR(VLOOKUP(C1072,$C$9:G1071,5,FALSE),"")</f>
        <v/>
      </c>
      <c r="H1072" s="61" t="str">
        <f>IFERROR(VLOOKUP(C1072,$C$9:H1071,6,FALSE),"")</f>
        <v/>
      </c>
      <c r="N1072" s="46" t="e">
        <f t="shared" si="50"/>
        <v>#DIV/0!</v>
      </c>
      <c r="O1072" s="46" t="str">
        <f t="shared" si="51"/>
        <v/>
      </c>
      <c r="P1072" s="46">
        <f t="shared" si="52"/>
        <v>1</v>
      </c>
    </row>
    <row r="1073" spans="1:16" ht="14.25">
      <c r="A1073" s="80"/>
      <c r="B1073" s="80"/>
      <c r="C1073" s="80"/>
      <c r="D1073" s="80"/>
      <c r="E1073" s="76" t="str">
        <f>IFERROR(VLOOKUP(C1073,$C$9:E1072,3,0),"")</f>
        <v/>
      </c>
      <c r="F1073" s="57" t="str">
        <f>IFERROR(VLOOKUP(C1073,$C$9:H1072,4,FALSE),"")</f>
        <v/>
      </c>
      <c r="G1073" s="61" t="str">
        <f>IFERROR(VLOOKUP(C1073,$C$9:G1072,5,FALSE),"")</f>
        <v/>
      </c>
      <c r="H1073" s="61" t="str">
        <f>IFERROR(VLOOKUP(C1073,$C$9:H1072,6,FALSE),"")</f>
        <v/>
      </c>
      <c r="N1073" s="46" t="e">
        <f t="shared" si="50"/>
        <v>#DIV/0!</v>
      </c>
      <c r="O1073" s="46" t="str">
        <f t="shared" si="51"/>
        <v/>
      </c>
      <c r="P1073" s="46">
        <f t="shared" si="52"/>
        <v>1</v>
      </c>
    </row>
    <row r="1074" spans="1:16" ht="14.25">
      <c r="A1074" s="80"/>
      <c r="B1074" s="80"/>
      <c r="C1074" s="80"/>
      <c r="D1074" s="80"/>
      <c r="E1074" s="76" t="str">
        <f>IFERROR(VLOOKUP(C1074,$C$9:E1073,3,0),"")</f>
        <v/>
      </c>
      <c r="F1074" s="57" t="str">
        <f>IFERROR(VLOOKUP(C1074,$C$9:H1073,4,FALSE),"")</f>
        <v/>
      </c>
      <c r="G1074" s="61" t="str">
        <f>IFERROR(VLOOKUP(C1074,$C$9:G1073,5,FALSE),"")</f>
        <v/>
      </c>
      <c r="H1074" s="61" t="str">
        <f>IFERROR(VLOOKUP(C1074,$C$9:H1073,6,FALSE),"")</f>
        <v/>
      </c>
      <c r="N1074" s="46" t="e">
        <f t="shared" si="50"/>
        <v>#DIV/0!</v>
      </c>
      <c r="O1074" s="46" t="str">
        <f t="shared" si="51"/>
        <v/>
      </c>
      <c r="P1074" s="46">
        <f t="shared" si="52"/>
        <v>1</v>
      </c>
    </row>
    <row r="1075" spans="1:16" ht="14.25">
      <c r="A1075" s="80"/>
      <c r="B1075" s="80"/>
      <c r="C1075" s="80"/>
      <c r="D1075" s="80"/>
      <c r="E1075" s="76" t="str">
        <f>IFERROR(VLOOKUP(C1075,$C$9:E1074,3,0),"")</f>
        <v/>
      </c>
      <c r="F1075" s="57" t="str">
        <f>IFERROR(VLOOKUP(C1075,$C$9:H1074,4,FALSE),"")</f>
        <v/>
      </c>
      <c r="G1075" s="61" t="str">
        <f>IFERROR(VLOOKUP(C1075,$C$9:G1074,5,FALSE),"")</f>
        <v/>
      </c>
      <c r="H1075" s="61" t="str">
        <f>IFERROR(VLOOKUP(C1075,$C$9:H1074,6,FALSE),"")</f>
        <v/>
      </c>
      <c r="N1075" s="46" t="e">
        <f t="shared" si="50"/>
        <v>#DIV/0!</v>
      </c>
      <c r="O1075" s="46" t="str">
        <f t="shared" si="51"/>
        <v/>
      </c>
      <c r="P1075" s="46">
        <f t="shared" si="52"/>
        <v>1</v>
      </c>
    </row>
    <row r="1076" spans="1:16" ht="14.25">
      <c r="A1076" s="80"/>
      <c r="B1076" s="80"/>
      <c r="C1076" s="80"/>
      <c r="D1076" s="80"/>
      <c r="E1076" s="76" t="str">
        <f>IFERROR(VLOOKUP(C1076,$C$9:E1075,3,0),"")</f>
        <v/>
      </c>
      <c r="F1076" s="57" t="str">
        <f>IFERROR(VLOOKUP(C1076,$C$9:H1075,4,FALSE),"")</f>
        <v/>
      </c>
      <c r="G1076" s="61" t="str">
        <f>IFERROR(VLOOKUP(C1076,$C$9:G1075,5,FALSE),"")</f>
        <v/>
      </c>
      <c r="H1076" s="61" t="str">
        <f>IFERROR(VLOOKUP(C1076,$C$9:H1075,6,FALSE),"")</f>
        <v/>
      </c>
      <c r="N1076" s="46" t="e">
        <f t="shared" si="50"/>
        <v>#DIV/0!</v>
      </c>
      <c r="O1076" s="46" t="str">
        <f t="shared" si="51"/>
        <v/>
      </c>
      <c r="P1076" s="46">
        <f t="shared" si="52"/>
        <v>1</v>
      </c>
    </row>
    <row r="1077" spans="1:16" ht="14.25">
      <c r="A1077" s="80"/>
      <c r="B1077" s="80"/>
      <c r="C1077" s="80"/>
      <c r="D1077" s="80"/>
      <c r="E1077" s="76" t="str">
        <f>IFERROR(VLOOKUP(C1077,$C$9:E1076,3,0),"")</f>
        <v/>
      </c>
      <c r="F1077" s="57" t="str">
        <f>IFERROR(VLOOKUP(C1077,$C$9:H1076,4,FALSE),"")</f>
        <v/>
      </c>
      <c r="G1077" s="61" t="str">
        <f>IFERROR(VLOOKUP(C1077,$C$9:G1076,5,FALSE),"")</f>
        <v/>
      </c>
      <c r="H1077" s="61" t="str">
        <f>IFERROR(VLOOKUP(C1077,$C$9:H1076,6,FALSE),"")</f>
        <v/>
      </c>
      <c r="N1077" s="46" t="e">
        <f t="shared" si="50"/>
        <v>#DIV/0!</v>
      </c>
      <c r="O1077" s="46" t="str">
        <f t="shared" si="51"/>
        <v/>
      </c>
      <c r="P1077" s="46">
        <f t="shared" si="52"/>
        <v>1</v>
      </c>
    </row>
    <row r="1078" spans="1:16" ht="14.25">
      <c r="A1078" s="80"/>
      <c r="B1078" s="80"/>
      <c r="C1078" s="80"/>
      <c r="D1078" s="80"/>
      <c r="E1078" s="76" t="str">
        <f>IFERROR(VLOOKUP(C1078,$C$9:E1077,3,0),"")</f>
        <v/>
      </c>
      <c r="F1078" s="57" t="str">
        <f>IFERROR(VLOOKUP(C1078,$C$9:H1077,4,FALSE),"")</f>
        <v/>
      </c>
      <c r="G1078" s="61" t="str">
        <f>IFERROR(VLOOKUP(C1078,$C$9:G1077,5,FALSE),"")</f>
        <v/>
      </c>
      <c r="H1078" s="61" t="str">
        <f>IFERROR(VLOOKUP(C1078,$C$9:H1077,6,FALSE),"")</f>
        <v/>
      </c>
      <c r="N1078" s="46" t="e">
        <f t="shared" si="50"/>
        <v>#DIV/0!</v>
      </c>
      <c r="O1078" s="46" t="str">
        <f t="shared" si="51"/>
        <v/>
      </c>
      <c r="P1078" s="46">
        <f t="shared" si="52"/>
        <v>1</v>
      </c>
    </row>
    <row r="1079" spans="1:16" ht="14.25">
      <c r="A1079" s="80"/>
      <c r="B1079" s="80"/>
      <c r="C1079" s="80"/>
      <c r="D1079" s="80"/>
      <c r="E1079" s="76" t="str">
        <f>IFERROR(VLOOKUP(C1079,$C$9:E1078,3,0),"")</f>
        <v/>
      </c>
      <c r="F1079" s="57" t="str">
        <f>IFERROR(VLOOKUP(C1079,$C$9:H1078,4,FALSE),"")</f>
        <v/>
      </c>
      <c r="G1079" s="61" t="str">
        <f>IFERROR(VLOOKUP(C1079,$C$9:G1078,5,FALSE),"")</f>
        <v/>
      </c>
      <c r="H1079" s="61" t="str">
        <f>IFERROR(VLOOKUP(C1079,$C$9:H1078,6,FALSE),"")</f>
        <v/>
      </c>
      <c r="N1079" s="46" t="e">
        <f t="shared" si="50"/>
        <v>#DIV/0!</v>
      </c>
      <c r="O1079" s="46" t="str">
        <f t="shared" si="51"/>
        <v/>
      </c>
      <c r="P1079" s="46">
        <f t="shared" si="52"/>
        <v>1</v>
      </c>
    </row>
    <row r="1080" spans="1:16" ht="14.25">
      <c r="A1080" s="80"/>
      <c r="B1080" s="80"/>
      <c r="C1080" s="80"/>
      <c r="D1080" s="80"/>
      <c r="E1080" s="76" t="str">
        <f>IFERROR(VLOOKUP(C1080,$C$9:E1079,3,0),"")</f>
        <v/>
      </c>
      <c r="F1080" s="57" t="str">
        <f>IFERROR(VLOOKUP(C1080,$C$9:H1079,4,FALSE),"")</f>
        <v/>
      </c>
      <c r="G1080" s="61" t="str">
        <f>IFERROR(VLOOKUP(C1080,$C$9:G1079,5,FALSE),"")</f>
        <v/>
      </c>
      <c r="H1080" s="61" t="str">
        <f>IFERROR(VLOOKUP(C1080,$C$9:H1079,6,FALSE),"")</f>
        <v/>
      </c>
      <c r="N1080" s="46" t="e">
        <f t="shared" si="50"/>
        <v>#DIV/0!</v>
      </c>
      <c r="O1080" s="46" t="str">
        <f t="shared" si="51"/>
        <v/>
      </c>
      <c r="P1080" s="46">
        <f t="shared" si="52"/>
        <v>1</v>
      </c>
    </row>
    <row r="1081" spans="1:16" ht="14.25">
      <c r="A1081" s="80"/>
      <c r="B1081" s="80"/>
      <c r="C1081" s="80"/>
      <c r="D1081" s="80"/>
      <c r="E1081" s="76" t="str">
        <f>IFERROR(VLOOKUP(C1081,$C$9:E1080,3,0),"")</f>
        <v/>
      </c>
      <c r="F1081" s="57" t="str">
        <f>IFERROR(VLOOKUP(C1081,$C$9:H1080,4,FALSE),"")</f>
        <v/>
      </c>
      <c r="G1081" s="61" t="str">
        <f>IFERROR(VLOOKUP(C1081,$C$9:G1080,5,FALSE),"")</f>
        <v/>
      </c>
      <c r="H1081" s="61" t="str">
        <f>IFERROR(VLOOKUP(C1081,$C$9:H1080,6,FALSE),"")</f>
        <v/>
      </c>
      <c r="N1081" s="46" t="e">
        <f t="shared" si="50"/>
        <v>#DIV/0!</v>
      </c>
      <c r="O1081" s="46" t="str">
        <f t="shared" si="51"/>
        <v/>
      </c>
      <c r="P1081" s="46">
        <f t="shared" si="52"/>
        <v>1</v>
      </c>
    </row>
    <row r="1082" spans="1:16" ht="14.25">
      <c r="A1082" s="80"/>
      <c r="B1082" s="80"/>
      <c r="C1082" s="80"/>
      <c r="D1082" s="80"/>
      <c r="E1082" s="76" t="str">
        <f>IFERROR(VLOOKUP(C1082,$C$9:E1081,3,0),"")</f>
        <v/>
      </c>
      <c r="F1082" s="57" t="str">
        <f>IFERROR(VLOOKUP(C1082,$C$9:H1081,4,FALSE),"")</f>
        <v/>
      </c>
      <c r="G1082" s="61" t="str">
        <f>IFERROR(VLOOKUP(C1082,$C$9:G1081,5,FALSE),"")</f>
        <v/>
      </c>
      <c r="H1082" s="61" t="str">
        <f>IFERROR(VLOOKUP(C1082,$C$9:H1081,6,FALSE),"")</f>
        <v/>
      </c>
      <c r="N1082" s="46" t="e">
        <f t="shared" si="50"/>
        <v>#DIV/0!</v>
      </c>
      <c r="O1082" s="46" t="str">
        <f t="shared" si="51"/>
        <v/>
      </c>
      <c r="P1082" s="46">
        <f t="shared" si="52"/>
        <v>1</v>
      </c>
    </row>
    <row r="1083" spans="1:16" ht="14.25">
      <c r="A1083" s="80"/>
      <c r="B1083" s="80"/>
      <c r="C1083" s="80"/>
      <c r="D1083" s="80"/>
      <c r="E1083" s="76" t="str">
        <f>IFERROR(VLOOKUP(C1083,$C$9:E1082,3,0),"")</f>
        <v/>
      </c>
      <c r="F1083" s="57" t="str">
        <f>IFERROR(VLOOKUP(C1083,$C$9:H1082,4,FALSE),"")</f>
        <v/>
      </c>
      <c r="G1083" s="61" t="str">
        <f>IFERROR(VLOOKUP(C1083,$C$9:G1082,5,FALSE),"")</f>
        <v/>
      </c>
      <c r="H1083" s="61" t="str">
        <f>IFERROR(VLOOKUP(C1083,$C$9:H1082,6,FALSE),"")</f>
        <v/>
      </c>
      <c r="N1083" s="46" t="e">
        <f t="shared" si="50"/>
        <v>#DIV/0!</v>
      </c>
      <c r="O1083" s="46" t="str">
        <f t="shared" si="51"/>
        <v/>
      </c>
      <c r="P1083" s="46">
        <f t="shared" si="52"/>
        <v>1</v>
      </c>
    </row>
    <row r="1084" spans="1:16" ht="14.25">
      <c r="A1084" s="80"/>
      <c r="B1084" s="80"/>
      <c r="C1084" s="80"/>
      <c r="D1084" s="80"/>
      <c r="E1084" s="76" t="str">
        <f>IFERROR(VLOOKUP(C1084,$C$9:E1083,3,0),"")</f>
        <v/>
      </c>
      <c r="F1084" s="57" t="str">
        <f>IFERROR(VLOOKUP(C1084,$C$9:H1083,4,FALSE),"")</f>
        <v/>
      </c>
      <c r="G1084" s="61" t="str">
        <f>IFERROR(VLOOKUP(C1084,$C$9:G1083,5,FALSE),"")</f>
        <v/>
      </c>
      <c r="H1084" s="61" t="str">
        <f>IFERROR(VLOOKUP(C1084,$C$9:H1083,6,FALSE),"")</f>
        <v/>
      </c>
      <c r="N1084" s="46" t="e">
        <f t="shared" si="50"/>
        <v>#DIV/0!</v>
      </c>
      <c r="O1084" s="46" t="str">
        <f t="shared" si="51"/>
        <v/>
      </c>
      <c r="P1084" s="46">
        <f t="shared" si="52"/>
        <v>1</v>
      </c>
    </row>
    <row r="1085" spans="1:16" ht="14.25">
      <c r="A1085" s="80"/>
      <c r="B1085" s="80"/>
      <c r="C1085" s="80"/>
      <c r="D1085" s="80"/>
      <c r="E1085" s="76" t="str">
        <f>IFERROR(VLOOKUP(C1085,$C$9:E1084,3,0),"")</f>
        <v/>
      </c>
      <c r="F1085" s="57" t="str">
        <f>IFERROR(VLOOKUP(C1085,$C$9:H1084,4,FALSE),"")</f>
        <v/>
      </c>
      <c r="G1085" s="61" t="str">
        <f>IFERROR(VLOOKUP(C1085,$C$9:G1084,5,FALSE),"")</f>
        <v/>
      </c>
      <c r="H1085" s="61" t="str">
        <f>IFERROR(VLOOKUP(C1085,$C$9:H1084,6,FALSE),"")</f>
        <v/>
      </c>
      <c r="N1085" s="46" t="e">
        <f t="shared" si="50"/>
        <v>#DIV/0!</v>
      </c>
      <c r="O1085" s="46" t="str">
        <f t="shared" si="51"/>
        <v/>
      </c>
      <c r="P1085" s="46">
        <f t="shared" si="52"/>
        <v>1</v>
      </c>
    </row>
    <row r="1086" spans="1:16" ht="14.25">
      <c r="A1086" s="80"/>
      <c r="B1086" s="80"/>
      <c r="C1086" s="80"/>
      <c r="D1086" s="80"/>
      <c r="E1086" s="76" t="str">
        <f>IFERROR(VLOOKUP(C1086,$C$9:E1085,3,0),"")</f>
        <v/>
      </c>
      <c r="F1086" s="57" t="str">
        <f>IFERROR(VLOOKUP(C1086,$C$9:H1085,4,FALSE),"")</f>
        <v/>
      </c>
      <c r="G1086" s="61" t="str">
        <f>IFERROR(VLOOKUP(C1086,$C$9:G1085,5,FALSE),"")</f>
        <v/>
      </c>
      <c r="H1086" s="61" t="str">
        <f>IFERROR(VLOOKUP(C1086,$C$9:H1085,6,FALSE),"")</f>
        <v/>
      </c>
      <c r="N1086" s="46" t="e">
        <f t="shared" si="50"/>
        <v>#DIV/0!</v>
      </c>
      <c r="O1086" s="46" t="str">
        <f t="shared" si="51"/>
        <v/>
      </c>
      <c r="P1086" s="46">
        <f t="shared" si="52"/>
        <v>1</v>
      </c>
    </row>
    <row r="1087" spans="1:16" ht="14.25">
      <c r="A1087" s="80"/>
      <c r="B1087" s="80"/>
      <c r="C1087" s="80"/>
      <c r="D1087" s="80"/>
      <c r="E1087" s="76" t="str">
        <f>IFERROR(VLOOKUP(C1087,$C$9:E1086,3,0),"")</f>
        <v/>
      </c>
      <c r="F1087" s="57" t="str">
        <f>IFERROR(VLOOKUP(C1087,$C$9:H1086,4,FALSE),"")</f>
        <v/>
      </c>
      <c r="G1087" s="61" t="str">
        <f>IFERROR(VLOOKUP(C1087,$C$9:G1086,5,FALSE),"")</f>
        <v/>
      </c>
      <c r="H1087" s="61" t="str">
        <f>IFERROR(VLOOKUP(C1087,$C$9:H1086,6,FALSE),"")</f>
        <v/>
      </c>
      <c r="N1087" s="46" t="e">
        <f t="shared" si="50"/>
        <v>#DIV/0!</v>
      </c>
      <c r="O1087" s="46" t="str">
        <f t="shared" si="51"/>
        <v/>
      </c>
      <c r="P1087" s="46">
        <f t="shared" si="52"/>
        <v>1</v>
      </c>
    </row>
    <row r="1088" spans="1:16" ht="14.25">
      <c r="A1088" s="80"/>
      <c r="B1088" s="80"/>
      <c r="C1088" s="80"/>
      <c r="D1088" s="80"/>
      <c r="E1088" s="76" t="str">
        <f>IFERROR(VLOOKUP(C1088,$C$9:E1087,3,0),"")</f>
        <v/>
      </c>
      <c r="F1088" s="57" t="str">
        <f>IFERROR(VLOOKUP(C1088,$C$9:H1087,4,FALSE),"")</f>
        <v/>
      </c>
      <c r="G1088" s="61" t="str">
        <f>IFERROR(VLOOKUP(C1088,$C$9:G1087,5,FALSE),"")</f>
        <v/>
      </c>
      <c r="H1088" s="61" t="str">
        <f>IFERROR(VLOOKUP(C1088,$C$9:H1087,6,FALSE),"")</f>
        <v/>
      </c>
      <c r="N1088" s="46" t="e">
        <f t="shared" si="50"/>
        <v>#DIV/0!</v>
      </c>
      <c r="O1088" s="46" t="str">
        <f t="shared" si="51"/>
        <v/>
      </c>
      <c r="P1088" s="46">
        <f t="shared" si="52"/>
        <v>1</v>
      </c>
    </row>
    <row r="1089" spans="1:16" ht="14.25">
      <c r="A1089" s="80"/>
      <c r="B1089" s="80"/>
      <c r="C1089" s="80"/>
      <c r="D1089" s="80"/>
      <c r="E1089" s="76" t="str">
        <f>IFERROR(VLOOKUP(C1089,$C$9:E1088,3,0),"")</f>
        <v/>
      </c>
      <c r="F1089" s="57" t="str">
        <f>IFERROR(VLOOKUP(C1089,$C$9:H1088,4,FALSE),"")</f>
        <v/>
      </c>
      <c r="G1089" s="61" t="str">
        <f>IFERROR(VLOOKUP(C1089,$C$9:G1088,5,FALSE),"")</f>
        <v/>
      </c>
      <c r="H1089" s="61" t="str">
        <f>IFERROR(VLOOKUP(C1089,$C$9:H1088,6,FALSE),"")</f>
        <v/>
      </c>
      <c r="N1089" s="46" t="e">
        <f t="shared" si="50"/>
        <v>#DIV/0!</v>
      </c>
      <c r="O1089" s="46" t="str">
        <f t="shared" si="51"/>
        <v/>
      </c>
      <c r="P1089" s="46">
        <f t="shared" si="52"/>
        <v>1</v>
      </c>
    </row>
    <row r="1090" spans="1:16" ht="14.25">
      <c r="A1090" s="80"/>
      <c r="B1090" s="80"/>
      <c r="C1090" s="80"/>
      <c r="D1090" s="80"/>
      <c r="E1090" s="76" t="str">
        <f>IFERROR(VLOOKUP(C1090,$C$9:E1089,3,0),"")</f>
        <v/>
      </c>
      <c r="F1090" s="57" t="str">
        <f>IFERROR(VLOOKUP(C1090,$C$9:H1089,4,FALSE),"")</f>
        <v/>
      </c>
      <c r="G1090" s="61" t="str">
        <f>IFERROR(VLOOKUP(C1090,$C$9:G1089,5,FALSE),"")</f>
        <v/>
      </c>
      <c r="H1090" s="61" t="str">
        <f>IFERROR(VLOOKUP(C1090,$C$9:H1089,6,FALSE),"")</f>
        <v/>
      </c>
      <c r="N1090" s="46" t="e">
        <f t="shared" si="50"/>
        <v>#DIV/0!</v>
      </c>
      <c r="O1090" s="46" t="str">
        <f t="shared" si="51"/>
        <v/>
      </c>
      <c r="P1090" s="46">
        <f t="shared" si="52"/>
        <v>1</v>
      </c>
    </row>
    <row r="1091" spans="1:16" ht="14.25">
      <c r="A1091" s="80"/>
      <c r="B1091" s="80"/>
      <c r="C1091" s="80"/>
      <c r="D1091" s="80"/>
      <c r="E1091" s="76" t="str">
        <f>IFERROR(VLOOKUP(C1091,$C$9:E1090,3,0),"")</f>
        <v/>
      </c>
      <c r="F1091" s="57" t="str">
        <f>IFERROR(VLOOKUP(C1091,$C$9:H1090,4,FALSE),"")</f>
        <v/>
      </c>
      <c r="G1091" s="61" t="str">
        <f>IFERROR(VLOOKUP(C1091,$C$9:G1090,5,FALSE),"")</f>
        <v/>
      </c>
      <c r="H1091" s="61" t="str">
        <f>IFERROR(VLOOKUP(C1091,$C$9:H1090,6,FALSE),"")</f>
        <v/>
      </c>
      <c r="N1091" s="46" t="e">
        <f t="shared" si="50"/>
        <v>#DIV/0!</v>
      </c>
      <c r="O1091" s="46" t="str">
        <f t="shared" si="51"/>
        <v/>
      </c>
      <c r="P1091" s="46">
        <f t="shared" si="52"/>
        <v>1</v>
      </c>
    </row>
    <row r="1092" spans="1:16" ht="14.25">
      <c r="A1092" s="80"/>
      <c r="B1092" s="80"/>
      <c r="C1092" s="80"/>
      <c r="D1092" s="80"/>
      <c r="E1092" s="76" t="str">
        <f>IFERROR(VLOOKUP(C1092,$C$9:E1091,3,0),"")</f>
        <v/>
      </c>
      <c r="F1092" s="57" t="str">
        <f>IFERROR(VLOOKUP(C1092,$C$9:H1091,4,FALSE),"")</f>
        <v/>
      </c>
      <c r="G1092" s="61" t="str">
        <f>IFERROR(VLOOKUP(C1092,$C$9:G1091,5,FALSE),"")</f>
        <v/>
      </c>
      <c r="H1092" s="61" t="str">
        <f>IFERROR(VLOOKUP(C1092,$C$9:H1091,6,FALSE),"")</f>
        <v/>
      </c>
      <c r="N1092" s="46" t="e">
        <f t="shared" si="50"/>
        <v>#DIV/0!</v>
      </c>
      <c r="O1092" s="46" t="str">
        <f t="shared" si="51"/>
        <v/>
      </c>
      <c r="P1092" s="46">
        <f t="shared" si="52"/>
        <v>1</v>
      </c>
    </row>
    <row r="1093" spans="1:16" ht="14.25">
      <c r="A1093" s="80"/>
      <c r="B1093" s="80"/>
      <c r="C1093" s="80"/>
      <c r="D1093" s="80"/>
      <c r="E1093" s="76" t="str">
        <f>IFERROR(VLOOKUP(C1093,$C$9:E1092,3,0),"")</f>
        <v/>
      </c>
      <c r="F1093" s="57" t="str">
        <f>IFERROR(VLOOKUP(C1093,$C$9:H1092,4,FALSE),"")</f>
        <v/>
      </c>
      <c r="G1093" s="61" t="str">
        <f>IFERROR(VLOOKUP(C1093,$C$9:G1092,5,FALSE),"")</f>
        <v/>
      </c>
      <c r="H1093" s="61" t="str">
        <f>IFERROR(VLOOKUP(C1093,$C$9:H1092,6,FALSE),"")</f>
        <v/>
      </c>
      <c r="N1093" s="46" t="e">
        <f t="shared" si="50"/>
        <v>#DIV/0!</v>
      </c>
      <c r="O1093" s="46" t="str">
        <f t="shared" si="51"/>
        <v/>
      </c>
      <c r="P1093" s="46">
        <f t="shared" si="52"/>
        <v>1</v>
      </c>
    </row>
    <row r="1094" spans="1:16" ht="14.25">
      <c r="A1094" s="80"/>
      <c r="B1094" s="80"/>
      <c r="C1094" s="80"/>
      <c r="D1094" s="80"/>
      <c r="E1094" s="76" t="str">
        <f>IFERROR(VLOOKUP(C1094,$C$9:E1093,3,0),"")</f>
        <v/>
      </c>
      <c r="F1094" s="57" t="str">
        <f>IFERROR(VLOOKUP(C1094,$C$9:H1093,4,FALSE),"")</f>
        <v/>
      </c>
      <c r="G1094" s="61" t="str">
        <f>IFERROR(VLOOKUP(C1094,$C$9:G1093,5,FALSE),"")</f>
        <v/>
      </c>
      <c r="H1094" s="61" t="str">
        <f>IFERROR(VLOOKUP(C1094,$C$9:H1093,6,FALSE),"")</f>
        <v/>
      </c>
      <c r="N1094" s="46" t="e">
        <f t="shared" si="50"/>
        <v>#DIV/0!</v>
      </c>
      <c r="O1094" s="46" t="str">
        <f t="shared" si="51"/>
        <v/>
      </c>
      <c r="P1094" s="46">
        <f t="shared" si="52"/>
        <v>1</v>
      </c>
    </row>
    <row r="1095" spans="1:16" ht="14.25">
      <c r="A1095" s="80"/>
      <c r="B1095" s="80"/>
      <c r="C1095" s="80"/>
      <c r="D1095" s="80"/>
      <c r="E1095" s="76" t="str">
        <f>IFERROR(VLOOKUP(C1095,$C$9:E1094,3,0),"")</f>
        <v/>
      </c>
      <c r="F1095" s="57" t="str">
        <f>IFERROR(VLOOKUP(C1095,$C$9:H1094,4,FALSE),"")</f>
        <v/>
      </c>
      <c r="G1095" s="61" t="str">
        <f>IFERROR(VLOOKUP(C1095,$C$9:G1094,5,FALSE),"")</f>
        <v/>
      </c>
      <c r="H1095" s="61" t="str">
        <f>IFERROR(VLOOKUP(C1095,$C$9:H1094,6,FALSE),"")</f>
        <v/>
      </c>
      <c r="N1095" s="46" t="e">
        <f t="shared" si="50"/>
        <v>#DIV/0!</v>
      </c>
      <c r="O1095" s="46" t="str">
        <f t="shared" si="51"/>
        <v/>
      </c>
      <c r="P1095" s="46">
        <f t="shared" si="52"/>
        <v>1</v>
      </c>
    </row>
    <row r="1096" spans="1:16" ht="14.25">
      <c r="A1096" s="80"/>
      <c r="B1096" s="80"/>
      <c r="C1096" s="80"/>
      <c r="D1096" s="80"/>
      <c r="E1096" s="76" t="str">
        <f>IFERROR(VLOOKUP(C1096,$C$9:E1095,3,0),"")</f>
        <v/>
      </c>
      <c r="F1096" s="57" t="str">
        <f>IFERROR(VLOOKUP(C1096,$C$9:H1095,4,FALSE),"")</f>
        <v/>
      </c>
      <c r="G1096" s="61" t="str">
        <f>IFERROR(VLOOKUP(C1096,$C$9:G1095,5,FALSE),"")</f>
        <v/>
      </c>
      <c r="H1096" s="61" t="str">
        <f>IFERROR(VLOOKUP(C1096,$C$9:H1095,6,FALSE),"")</f>
        <v/>
      </c>
      <c r="N1096" s="46" t="e">
        <f t="shared" si="50"/>
        <v>#DIV/0!</v>
      </c>
      <c r="O1096" s="46" t="str">
        <f t="shared" si="51"/>
        <v/>
      </c>
      <c r="P1096" s="46">
        <f t="shared" si="52"/>
        <v>1</v>
      </c>
    </row>
    <row r="1097" spans="1:16" ht="14.25">
      <c r="A1097" s="80"/>
      <c r="B1097" s="80"/>
      <c r="C1097" s="80"/>
      <c r="D1097" s="80"/>
      <c r="E1097" s="76" t="str">
        <f>IFERROR(VLOOKUP(C1097,$C$9:E1096,3,0),"")</f>
        <v/>
      </c>
      <c r="F1097" s="57" t="str">
        <f>IFERROR(VLOOKUP(C1097,$C$9:H1096,4,FALSE),"")</f>
        <v/>
      </c>
      <c r="G1097" s="61" t="str">
        <f>IFERROR(VLOOKUP(C1097,$C$9:G1096,5,FALSE),"")</f>
        <v/>
      </c>
      <c r="H1097" s="61" t="str">
        <f>IFERROR(VLOOKUP(C1097,$C$9:H1096,6,FALSE),"")</f>
        <v/>
      </c>
      <c r="N1097" s="46" t="e">
        <f t="shared" si="50"/>
        <v>#DIV/0!</v>
      </c>
      <c r="O1097" s="46" t="str">
        <f t="shared" si="51"/>
        <v/>
      </c>
      <c r="P1097" s="46">
        <f t="shared" si="52"/>
        <v>1</v>
      </c>
    </row>
    <row r="1098" spans="1:16" ht="14.25">
      <c r="A1098" s="80"/>
      <c r="B1098" s="80"/>
      <c r="C1098" s="80"/>
      <c r="D1098" s="80"/>
      <c r="E1098" s="76" t="str">
        <f>IFERROR(VLOOKUP(C1098,$C$9:E1097,3,0),"")</f>
        <v/>
      </c>
      <c r="F1098" s="57" t="str">
        <f>IFERROR(VLOOKUP(C1098,$C$9:H1097,4,FALSE),"")</f>
        <v/>
      </c>
      <c r="G1098" s="61" t="str">
        <f>IFERROR(VLOOKUP(C1098,$C$9:G1097,5,FALSE),"")</f>
        <v/>
      </c>
      <c r="H1098" s="61" t="str">
        <f>IFERROR(VLOOKUP(C1098,$C$9:H1097,6,FALSE),"")</f>
        <v/>
      </c>
      <c r="N1098" s="46" t="e">
        <f t="shared" ref="N1098:N1161" si="53">IF(OR(F1098=$P$1,F1098="",F1098=0),D1098/$B$2,IF(OR(F1098=$P$2,F1098=$P$3,F1098=$P$4),D1098/(O1098*P1098),D1098/O1098))</f>
        <v>#DIV/0!</v>
      </c>
      <c r="O1098" s="46" t="str">
        <f t="shared" ref="O1098:O1161" si="54">IFERROR(VLOOKUP(F1098,$P$1:$Q$4,2,0),F1098)</f>
        <v/>
      </c>
      <c r="P1098" s="46">
        <f t="shared" si="52"/>
        <v>1</v>
      </c>
    </row>
    <row r="1099" spans="1:16" ht="14.25">
      <c r="A1099" s="80"/>
      <c r="B1099" s="80"/>
      <c r="C1099" s="80"/>
      <c r="D1099" s="80"/>
      <c r="E1099" s="76" t="str">
        <f>IFERROR(VLOOKUP(C1099,$C$9:E1098,3,0),"")</f>
        <v/>
      </c>
      <c r="F1099" s="57" t="str">
        <f>IFERROR(VLOOKUP(C1099,$C$9:H1098,4,FALSE),"")</f>
        <v/>
      </c>
      <c r="G1099" s="61" t="str">
        <f>IFERROR(VLOOKUP(C1099,$C$9:G1098,5,FALSE),"")</f>
        <v/>
      </c>
      <c r="H1099" s="61" t="str">
        <f>IFERROR(VLOOKUP(C1099,$C$9:H1098,6,FALSE),"")</f>
        <v/>
      </c>
      <c r="N1099" s="46" t="e">
        <f t="shared" si="53"/>
        <v>#DIV/0!</v>
      </c>
      <c r="O1099" s="46" t="str">
        <f t="shared" si="54"/>
        <v/>
      </c>
      <c r="P1099" s="46">
        <f t="shared" ref="P1099:P1162" si="55">IF(C1099="",1,COUNTIFS($C$9:$C$1499,C1099,$H$9:$H$1499,H1099))</f>
        <v>1</v>
      </c>
    </row>
    <row r="1100" spans="1:16" ht="14.25">
      <c r="A1100" s="80"/>
      <c r="B1100" s="80"/>
      <c r="C1100" s="80"/>
      <c r="D1100" s="80"/>
      <c r="E1100" s="76" t="str">
        <f>IFERROR(VLOOKUP(C1100,$C$9:E1099,3,0),"")</f>
        <v/>
      </c>
      <c r="F1100" s="57" t="str">
        <f>IFERROR(VLOOKUP(C1100,$C$9:H1099,4,FALSE),"")</f>
        <v/>
      </c>
      <c r="G1100" s="61" t="str">
        <f>IFERROR(VLOOKUP(C1100,$C$9:G1099,5,FALSE),"")</f>
        <v/>
      </c>
      <c r="H1100" s="61" t="str">
        <f>IFERROR(VLOOKUP(C1100,$C$9:H1099,6,FALSE),"")</f>
        <v/>
      </c>
      <c r="N1100" s="46" t="e">
        <f t="shared" si="53"/>
        <v>#DIV/0!</v>
      </c>
      <c r="O1100" s="46" t="str">
        <f t="shared" si="54"/>
        <v/>
      </c>
      <c r="P1100" s="46">
        <f t="shared" si="55"/>
        <v>1</v>
      </c>
    </row>
    <row r="1101" spans="1:16" ht="14.25">
      <c r="A1101" s="80"/>
      <c r="B1101" s="80"/>
      <c r="C1101" s="80"/>
      <c r="D1101" s="80"/>
      <c r="E1101" s="76" t="str">
        <f>IFERROR(VLOOKUP(C1101,$C$9:E1100,3,0),"")</f>
        <v/>
      </c>
      <c r="F1101" s="57" t="str">
        <f>IFERROR(VLOOKUP(C1101,$C$9:H1100,4,FALSE),"")</f>
        <v/>
      </c>
      <c r="G1101" s="61" t="str">
        <f>IFERROR(VLOOKUP(C1101,$C$9:G1100,5,FALSE),"")</f>
        <v/>
      </c>
      <c r="H1101" s="61" t="str">
        <f>IFERROR(VLOOKUP(C1101,$C$9:H1100,6,FALSE),"")</f>
        <v/>
      </c>
      <c r="N1101" s="46" t="e">
        <f t="shared" si="53"/>
        <v>#DIV/0!</v>
      </c>
      <c r="O1101" s="46" t="str">
        <f t="shared" si="54"/>
        <v/>
      </c>
      <c r="P1101" s="46">
        <f t="shared" si="55"/>
        <v>1</v>
      </c>
    </row>
    <row r="1102" spans="1:16" ht="14.25">
      <c r="A1102" s="80"/>
      <c r="B1102" s="80"/>
      <c r="C1102" s="80"/>
      <c r="D1102" s="80"/>
      <c r="E1102" s="76" t="str">
        <f>IFERROR(VLOOKUP(C1102,$C$9:E1101,3,0),"")</f>
        <v/>
      </c>
      <c r="F1102" s="57" t="str">
        <f>IFERROR(VLOOKUP(C1102,$C$9:H1101,4,FALSE),"")</f>
        <v/>
      </c>
      <c r="G1102" s="61" t="str">
        <f>IFERROR(VLOOKUP(C1102,$C$9:G1101,5,FALSE),"")</f>
        <v/>
      </c>
      <c r="H1102" s="61" t="str">
        <f>IFERROR(VLOOKUP(C1102,$C$9:H1101,6,FALSE),"")</f>
        <v/>
      </c>
      <c r="N1102" s="46" t="e">
        <f t="shared" si="53"/>
        <v>#DIV/0!</v>
      </c>
      <c r="O1102" s="46" t="str">
        <f t="shared" si="54"/>
        <v/>
      </c>
      <c r="P1102" s="46">
        <f t="shared" si="55"/>
        <v>1</v>
      </c>
    </row>
    <row r="1103" spans="1:16" ht="14.25">
      <c r="A1103" s="80"/>
      <c r="B1103" s="80"/>
      <c r="C1103" s="80"/>
      <c r="D1103" s="80"/>
      <c r="E1103" s="76" t="str">
        <f>IFERROR(VLOOKUP(C1103,$C$9:E1102,3,0),"")</f>
        <v/>
      </c>
      <c r="F1103" s="57" t="str">
        <f>IFERROR(VLOOKUP(C1103,$C$9:H1102,4,FALSE),"")</f>
        <v/>
      </c>
      <c r="G1103" s="61" t="str">
        <f>IFERROR(VLOOKUP(C1103,$C$9:G1102,5,FALSE),"")</f>
        <v/>
      </c>
      <c r="H1103" s="61" t="str">
        <f>IFERROR(VLOOKUP(C1103,$C$9:H1102,6,FALSE),"")</f>
        <v/>
      </c>
      <c r="N1103" s="46" t="e">
        <f t="shared" si="53"/>
        <v>#DIV/0!</v>
      </c>
      <c r="O1103" s="46" t="str">
        <f t="shared" si="54"/>
        <v/>
      </c>
      <c r="P1103" s="46">
        <f t="shared" si="55"/>
        <v>1</v>
      </c>
    </row>
    <row r="1104" spans="1:16" ht="14.25">
      <c r="A1104" s="80"/>
      <c r="B1104" s="80"/>
      <c r="C1104" s="80"/>
      <c r="D1104" s="80"/>
      <c r="E1104" s="76" t="str">
        <f>IFERROR(VLOOKUP(C1104,$C$9:E1103,3,0),"")</f>
        <v/>
      </c>
      <c r="F1104" s="57" t="str">
        <f>IFERROR(VLOOKUP(C1104,$C$9:H1103,4,FALSE),"")</f>
        <v/>
      </c>
      <c r="G1104" s="61" t="str">
        <f>IFERROR(VLOOKUP(C1104,$C$9:G1103,5,FALSE),"")</f>
        <v/>
      </c>
      <c r="H1104" s="61" t="str">
        <f>IFERROR(VLOOKUP(C1104,$C$9:H1103,6,FALSE),"")</f>
        <v/>
      </c>
      <c r="N1104" s="46" t="e">
        <f t="shared" si="53"/>
        <v>#DIV/0!</v>
      </c>
      <c r="O1104" s="46" t="str">
        <f t="shared" si="54"/>
        <v/>
      </c>
      <c r="P1104" s="46">
        <f t="shared" si="55"/>
        <v>1</v>
      </c>
    </row>
    <row r="1105" spans="1:16" ht="14.25">
      <c r="A1105" s="80"/>
      <c r="B1105" s="80"/>
      <c r="C1105" s="80"/>
      <c r="D1105" s="80"/>
      <c r="E1105" s="76" t="str">
        <f>IFERROR(VLOOKUP(C1105,$C$9:E1104,3,0),"")</f>
        <v/>
      </c>
      <c r="F1105" s="57" t="str">
        <f>IFERROR(VLOOKUP(C1105,$C$9:H1104,4,FALSE),"")</f>
        <v/>
      </c>
      <c r="G1105" s="61" t="str">
        <f>IFERROR(VLOOKUP(C1105,$C$9:G1104,5,FALSE),"")</f>
        <v/>
      </c>
      <c r="H1105" s="61" t="str">
        <f>IFERROR(VLOOKUP(C1105,$C$9:H1104,6,FALSE),"")</f>
        <v/>
      </c>
      <c r="N1105" s="46" t="e">
        <f t="shared" si="53"/>
        <v>#DIV/0!</v>
      </c>
      <c r="O1105" s="46" t="str">
        <f t="shared" si="54"/>
        <v/>
      </c>
      <c r="P1105" s="46">
        <f t="shared" si="55"/>
        <v>1</v>
      </c>
    </row>
    <row r="1106" spans="1:16" ht="14.25">
      <c r="A1106" s="80"/>
      <c r="B1106" s="80"/>
      <c r="C1106" s="80"/>
      <c r="D1106" s="80"/>
      <c r="E1106" s="76" t="str">
        <f>IFERROR(VLOOKUP(C1106,$C$9:E1105,3,0),"")</f>
        <v/>
      </c>
      <c r="F1106" s="57" t="str">
        <f>IFERROR(VLOOKUP(C1106,$C$9:H1105,4,FALSE),"")</f>
        <v/>
      </c>
      <c r="G1106" s="61" t="str">
        <f>IFERROR(VLOOKUP(C1106,$C$9:G1105,5,FALSE),"")</f>
        <v/>
      </c>
      <c r="H1106" s="61" t="str">
        <f>IFERROR(VLOOKUP(C1106,$C$9:H1105,6,FALSE),"")</f>
        <v/>
      </c>
      <c r="N1106" s="46" t="e">
        <f t="shared" si="53"/>
        <v>#DIV/0!</v>
      </c>
      <c r="O1106" s="46" t="str">
        <f t="shared" si="54"/>
        <v/>
      </c>
      <c r="P1106" s="46">
        <f t="shared" si="55"/>
        <v>1</v>
      </c>
    </row>
    <row r="1107" spans="1:16" ht="14.25">
      <c r="A1107" s="80"/>
      <c r="B1107" s="80"/>
      <c r="C1107" s="80"/>
      <c r="D1107" s="80"/>
      <c r="E1107" s="76" t="str">
        <f>IFERROR(VLOOKUP(C1107,$C$9:E1106,3,0),"")</f>
        <v/>
      </c>
      <c r="F1107" s="57" t="str">
        <f>IFERROR(VLOOKUP(C1107,$C$9:H1106,4,FALSE),"")</f>
        <v/>
      </c>
      <c r="G1107" s="61" t="str">
        <f>IFERROR(VLOOKUP(C1107,$C$9:G1106,5,FALSE),"")</f>
        <v/>
      </c>
      <c r="H1107" s="61" t="str">
        <f>IFERROR(VLOOKUP(C1107,$C$9:H1106,6,FALSE),"")</f>
        <v/>
      </c>
      <c r="N1107" s="46" t="e">
        <f t="shared" si="53"/>
        <v>#DIV/0!</v>
      </c>
      <c r="O1107" s="46" t="str">
        <f t="shared" si="54"/>
        <v/>
      </c>
      <c r="P1107" s="46">
        <f t="shared" si="55"/>
        <v>1</v>
      </c>
    </row>
    <row r="1108" spans="1:16" ht="14.25">
      <c r="A1108" s="80"/>
      <c r="B1108" s="80"/>
      <c r="C1108" s="80"/>
      <c r="D1108" s="80"/>
      <c r="E1108" s="76" t="str">
        <f>IFERROR(VLOOKUP(C1108,$C$9:E1107,3,0),"")</f>
        <v/>
      </c>
      <c r="F1108" s="57" t="str">
        <f>IFERROR(VLOOKUP(C1108,$C$9:H1107,4,FALSE),"")</f>
        <v/>
      </c>
      <c r="G1108" s="61" t="str">
        <f>IFERROR(VLOOKUP(C1108,$C$9:G1107,5,FALSE),"")</f>
        <v/>
      </c>
      <c r="H1108" s="61" t="str">
        <f>IFERROR(VLOOKUP(C1108,$C$9:H1107,6,FALSE),"")</f>
        <v/>
      </c>
      <c r="N1108" s="46" t="e">
        <f t="shared" si="53"/>
        <v>#DIV/0!</v>
      </c>
      <c r="O1108" s="46" t="str">
        <f t="shared" si="54"/>
        <v/>
      </c>
      <c r="P1108" s="46">
        <f t="shared" si="55"/>
        <v>1</v>
      </c>
    </row>
    <row r="1109" spans="1:16" ht="14.25">
      <c r="A1109" s="80"/>
      <c r="B1109" s="80"/>
      <c r="C1109" s="80"/>
      <c r="D1109" s="80"/>
      <c r="E1109" s="76" t="str">
        <f>IFERROR(VLOOKUP(C1109,$C$9:E1108,3,0),"")</f>
        <v/>
      </c>
      <c r="F1109" s="57" t="str">
        <f>IFERROR(VLOOKUP(C1109,$C$9:H1108,4,FALSE),"")</f>
        <v/>
      </c>
      <c r="G1109" s="61" t="str">
        <f>IFERROR(VLOOKUP(C1109,$C$9:G1108,5,FALSE),"")</f>
        <v/>
      </c>
      <c r="H1109" s="61" t="str">
        <f>IFERROR(VLOOKUP(C1109,$C$9:H1108,6,FALSE),"")</f>
        <v/>
      </c>
      <c r="N1109" s="46" t="e">
        <f t="shared" si="53"/>
        <v>#DIV/0!</v>
      </c>
      <c r="O1109" s="46" t="str">
        <f t="shared" si="54"/>
        <v/>
      </c>
      <c r="P1109" s="46">
        <f t="shared" si="55"/>
        <v>1</v>
      </c>
    </row>
    <row r="1110" spans="1:16" ht="14.25">
      <c r="A1110" s="80"/>
      <c r="B1110" s="80"/>
      <c r="C1110" s="80"/>
      <c r="D1110" s="80"/>
      <c r="E1110" s="76" t="str">
        <f>IFERROR(VLOOKUP(C1110,$C$9:E1109,3,0),"")</f>
        <v/>
      </c>
      <c r="F1110" s="57" t="str">
        <f>IFERROR(VLOOKUP(C1110,$C$9:H1109,4,FALSE),"")</f>
        <v/>
      </c>
      <c r="G1110" s="61" t="str">
        <f>IFERROR(VLOOKUP(C1110,$C$9:G1109,5,FALSE),"")</f>
        <v/>
      </c>
      <c r="H1110" s="61" t="str">
        <f>IFERROR(VLOOKUP(C1110,$C$9:H1109,6,FALSE),"")</f>
        <v/>
      </c>
      <c r="N1110" s="46" t="e">
        <f t="shared" si="53"/>
        <v>#DIV/0!</v>
      </c>
      <c r="O1110" s="46" t="str">
        <f t="shared" si="54"/>
        <v/>
      </c>
      <c r="P1110" s="46">
        <f t="shared" si="55"/>
        <v>1</v>
      </c>
    </row>
    <row r="1111" spans="1:16" ht="14.25">
      <c r="A1111" s="80"/>
      <c r="B1111" s="80"/>
      <c r="C1111" s="80"/>
      <c r="D1111" s="80"/>
      <c r="E1111" s="76" t="str">
        <f>IFERROR(VLOOKUP(C1111,$C$9:E1110,3,0),"")</f>
        <v/>
      </c>
      <c r="F1111" s="57" t="str">
        <f>IFERROR(VLOOKUP(C1111,$C$9:H1110,4,FALSE),"")</f>
        <v/>
      </c>
      <c r="G1111" s="61" t="str">
        <f>IFERROR(VLOOKUP(C1111,$C$9:G1110,5,FALSE),"")</f>
        <v/>
      </c>
      <c r="H1111" s="61" t="str">
        <f>IFERROR(VLOOKUP(C1111,$C$9:H1110,6,FALSE),"")</f>
        <v/>
      </c>
      <c r="N1111" s="46" t="e">
        <f t="shared" si="53"/>
        <v>#DIV/0!</v>
      </c>
      <c r="O1111" s="46" t="str">
        <f t="shared" si="54"/>
        <v/>
      </c>
      <c r="P1111" s="46">
        <f t="shared" si="55"/>
        <v>1</v>
      </c>
    </row>
    <row r="1112" spans="1:16" ht="14.25">
      <c r="A1112" s="80"/>
      <c r="B1112" s="80"/>
      <c r="C1112" s="80"/>
      <c r="D1112" s="80"/>
      <c r="E1112" s="76" t="str">
        <f>IFERROR(VLOOKUP(C1112,$C$9:E1111,3,0),"")</f>
        <v/>
      </c>
      <c r="F1112" s="57" t="str">
        <f>IFERROR(VLOOKUP(C1112,$C$9:H1111,4,FALSE),"")</f>
        <v/>
      </c>
      <c r="G1112" s="61" t="str">
        <f>IFERROR(VLOOKUP(C1112,$C$9:G1111,5,FALSE),"")</f>
        <v/>
      </c>
      <c r="H1112" s="61" t="str">
        <f>IFERROR(VLOOKUP(C1112,$C$9:H1111,6,FALSE),"")</f>
        <v/>
      </c>
      <c r="N1112" s="46" t="e">
        <f t="shared" si="53"/>
        <v>#DIV/0!</v>
      </c>
      <c r="O1112" s="46" t="str">
        <f t="shared" si="54"/>
        <v/>
      </c>
      <c r="P1112" s="46">
        <f t="shared" si="55"/>
        <v>1</v>
      </c>
    </row>
    <row r="1113" spans="1:16" ht="14.25">
      <c r="A1113" s="80"/>
      <c r="B1113" s="80"/>
      <c r="C1113" s="80"/>
      <c r="D1113" s="80"/>
      <c r="E1113" s="76" t="str">
        <f>IFERROR(VLOOKUP(C1113,$C$9:E1112,3,0),"")</f>
        <v/>
      </c>
      <c r="F1113" s="57" t="str">
        <f>IFERROR(VLOOKUP(C1113,$C$9:H1112,4,FALSE),"")</f>
        <v/>
      </c>
      <c r="G1113" s="61" t="str">
        <f>IFERROR(VLOOKUP(C1113,$C$9:G1112,5,FALSE),"")</f>
        <v/>
      </c>
      <c r="H1113" s="61" t="str">
        <f>IFERROR(VLOOKUP(C1113,$C$9:H1112,6,FALSE),"")</f>
        <v/>
      </c>
      <c r="N1113" s="46" t="e">
        <f t="shared" si="53"/>
        <v>#DIV/0!</v>
      </c>
      <c r="O1113" s="46" t="str">
        <f t="shared" si="54"/>
        <v/>
      </c>
      <c r="P1113" s="46">
        <f t="shared" si="55"/>
        <v>1</v>
      </c>
    </row>
    <row r="1114" spans="1:16" ht="14.25">
      <c r="A1114" s="80"/>
      <c r="B1114" s="80"/>
      <c r="C1114" s="80"/>
      <c r="D1114" s="80"/>
      <c r="E1114" s="76" t="str">
        <f>IFERROR(VLOOKUP(C1114,$C$9:E1113,3,0),"")</f>
        <v/>
      </c>
      <c r="F1114" s="57" t="str">
        <f>IFERROR(VLOOKUP(C1114,$C$9:H1113,4,FALSE),"")</f>
        <v/>
      </c>
      <c r="G1114" s="61" t="str">
        <f>IFERROR(VLOOKUP(C1114,$C$9:G1113,5,FALSE),"")</f>
        <v/>
      </c>
      <c r="H1114" s="61" t="str">
        <f>IFERROR(VLOOKUP(C1114,$C$9:H1113,6,FALSE),"")</f>
        <v/>
      </c>
      <c r="N1114" s="46" t="e">
        <f t="shared" si="53"/>
        <v>#DIV/0!</v>
      </c>
      <c r="O1114" s="46" t="str">
        <f t="shared" si="54"/>
        <v/>
      </c>
      <c r="P1114" s="46">
        <f t="shared" si="55"/>
        <v>1</v>
      </c>
    </row>
    <row r="1115" spans="1:16" ht="14.25">
      <c r="A1115" s="80"/>
      <c r="B1115" s="80"/>
      <c r="C1115" s="80"/>
      <c r="D1115" s="80"/>
      <c r="E1115" s="76" t="str">
        <f>IFERROR(VLOOKUP(C1115,$C$9:E1114,3,0),"")</f>
        <v/>
      </c>
      <c r="F1115" s="57" t="str">
        <f>IFERROR(VLOOKUP(C1115,$C$9:H1114,4,FALSE),"")</f>
        <v/>
      </c>
      <c r="G1115" s="61" t="str">
        <f>IFERROR(VLOOKUP(C1115,$C$9:G1114,5,FALSE),"")</f>
        <v/>
      </c>
      <c r="H1115" s="61" t="str">
        <f>IFERROR(VLOOKUP(C1115,$C$9:H1114,6,FALSE),"")</f>
        <v/>
      </c>
      <c r="N1115" s="46" t="e">
        <f t="shared" si="53"/>
        <v>#DIV/0!</v>
      </c>
      <c r="O1115" s="46" t="str">
        <f t="shared" si="54"/>
        <v/>
      </c>
      <c r="P1115" s="46">
        <f t="shared" si="55"/>
        <v>1</v>
      </c>
    </row>
    <row r="1116" spans="1:16" ht="14.25">
      <c r="A1116" s="80"/>
      <c r="B1116" s="80"/>
      <c r="C1116" s="80"/>
      <c r="D1116" s="80"/>
      <c r="E1116" s="76" t="str">
        <f>IFERROR(VLOOKUP(C1116,$C$9:E1115,3,0),"")</f>
        <v/>
      </c>
      <c r="F1116" s="57" t="str">
        <f>IFERROR(VLOOKUP(C1116,$C$9:H1115,4,FALSE),"")</f>
        <v/>
      </c>
      <c r="G1116" s="61" t="str">
        <f>IFERROR(VLOOKUP(C1116,$C$9:G1115,5,FALSE),"")</f>
        <v/>
      </c>
      <c r="H1116" s="61" t="str">
        <f>IFERROR(VLOOKUP(C1116,$C$9:H1115,6,FALSE),"")</f>
        <v/>
      </c>
      <c r="N1116" s="46" t="e">
        <f t="shared" si="53"/>
        <v>#DIV/0!</v>
      </c>
      <c r="O1116" s="46" t="str">
        <f t="shared" si="54"/>
        <v/>
      </c>
      <c r="P1116" s="46">
        <f t="shared" si="55"/>
        <v>1</v>
      </c>
    </row>
    <row r="1117" spans="1:16" ht="14.25">
      <c r="A1117" s="80"/>
      <c r="B1117" s="80"/>
      <c r="C1117" s="80"/>
      <c r="D1117" s="80"/>
      <c r="E1117" s="76" t="str">
        <f>IFERROR(VLOOKUP(C1117,$C$9:E1116,3,0),"")</f>
        <v/>
      </c>
      <c r="F1117" s="57" t="str">
        <f>IFERROR(VLOOKUP(C1117,$C$9:H1116,4,FALSE),"")</f>
        <v/>
      </c>
      <c r="G1117" s="61" t="str">
        <f>IFERROR(VLOOKUP(C1117,$C$9:G1116,5,FALSE),"")</f>
        <v/>
      </c>
      <c r="H1117" s="61" t="str">
        <f>IFERROR(VLOOKUP(C1117,$C$9:H1116,6,FALSE),"")</f>
        <v/>
      </c>
      <c r="N1117" s="46" t="e">
        <f t="shared" si="53"/>
        <v>#DIV/0!</v>
      </c>
      <c r="O1117" s="46" t="str">
        <f t="shared" si="54"/>
        <v/>
      </c>
      <c r="P1117" s="46">
        <f t="shared" si="55"/>
        <v>1</v>
      </c>
    </row>
    <row r="1118" spans="1:16" ht="14.25">
      <c r="A1118" s="80"/>
      <c r="B1118" s="80"/>
      <c r="C1118" s="80"/>
      <c r="D1118" s="80"/>
      <c r="E1118" s="76" t="str">
        <f>IFERROR(VLOOKUP(C1118,$C$9:E1117,3,0),"")</f>
        <v/>
      </c>
      <c r="F1118" s="57" t="str">
        <f>IFERROR(VLOOKUP(C1118,$C$9:H1117,4,FALSE),"")</f>
        <v/>
      </c>
      <c r="G1118" s="61" t="str">
        <f>IFERROR(VLOOKUP(C1118,$C$9:G1117,5,FALSE),"")</f>
        <v/>
      </c>
      <c r="H1118" s="61" t="str">
        <f>IFERROR(VLOOKUP(C1118,$C$9:H1117,6,FALSE),"")</f>
        <v/>
      </c>
      <c r="N1118" s="46" t="e">
        <f t="shared" si="53"/>
        <v>#DIV/0!</v>
      </c>
      <c r="O1118" s="46" t="str">
        <f t="shared" si="54"/>
        <v/>
      </c>
      <c r="P1118" s="46">
        <f t="shared" si="55"/>
        <v>1</v>
      </c>
    </row>
    <row r="1119" spans="1:16" ht="14.25">
      <c r="A1119" s="80"/>
      <c r="B1119" s="80"/>
      <c r="C1119" s="80"/>
      <c r="D1119" s="80"/>
      <c r="E1119" s="76" t="str">
        <f>IFERROR(VLOOKUP(C1119,$C$9:E1118,3,0),"")</f>
        <v/>
      </c>
      <c r="F1119" s="57" t="str">
        <f>IFERROR(VLOOKUP(C1119,$C$9:H1118,4,FALSE),"")</f>
        <v/>
      </c>
      <c r="G1119" s="61" t="str">
        <f>IFERROR(VLOOKUP(C1119,$C$9:G1118,5,FALSE),"")</f>
        <v/>
      </c>
      <c r="H1119" s="61" t="str">
        <f>IFERROR(VLOOKUP(C1119,$C$9:H1118,6,FALSE),"")</f>
        <v/>
      </c>
      <c r="N1119" s="46" t="e">
        <f t="shared" si="53"/>
        <v>#DIV/0!</v>
      </c>
      <c r="O1119" s="46" t="str">
        <f t="shared" si="54"/>
        <v/>
      </c>
      <c r="P1119" s="46">
        <f t="shared" si="55"/>
        <v>1</v>
      </c>
    </row>
    <row r="1120" spans="1:16" ht="14.25">
      <c r="A1120" s="80"/>
      <c r="B1120" s="80"/>
      <c r="C1120" s="80"/>
      <c r="D1120" s="80"/>
      <c r="E1120" s="76" t="str">
        <f>IFERROR(VLOOKUP(C1120,$C$9:E1119,3,0),"")</f>
        <v/>
      </c>
      <c r="F1120" s="57" t="str">
        <f>IFERROR(VLOOKUP(C1120,$C$9:H1119,4,FALSE),"")</f>
        <v/>
      </c>
      <c r="G1120" s="61" t="str">
        <f>IFERROR(VLOOKUP(C1120,$C$9:G1119,5,FALSE),"")</f>
        <v/>
      </c>
      <c r="H1120" s="61" t="str">
        <f>IFERROR(VLOOKUP(C1120,$C$9:H1119,6,FALSE),"")</f>
        <v/>
      </c>
      <c r="N1120" s="46" t="e">
        <f t="shared" si="53"/>
        <v>#DIV/0!</v>
      </c>
      <c r="O1120" s="46" t="str">
        <f t="shared" si="54"/>
        <v/>
      </c>
      <c r="P1120" s="46">
        <f t="shared" si="55"/>
        <v>1</v>
      </c>
    </row>
    <row r="1121" spans="1:16" ht="14.25">
      <c r="A1121" s="80"/>
      <c r="B1121" s="80"/>
      <c r="C1121" s="80"/>
      <c r="D1121" s="80"/>
      <c r="E1121" s="76" t="str">
        <f>IFERROR(VLOOKUP(C1121,$C$9:E1120,3,0),"")</f>
        <v/>
      </c>
      <c r="F1121" s="57" t="str">
        <f>IFERROR(VLOOKUP(C1121,$C$9:H1120,4,FALSE),"")</f>
        <v/>
      </c>
      <c r="G1121" s="61" t="str">
        <f>IFERROR(VLOOKUP(C1121,$C$9:G1120,5,FALSE),"")</f>
        <v/>
      </c>
      <c r="H1121" s="61" t="str">
        <f>IFERROR(VLOOKUP(C1121,$C$9:H1120,6,FALSE),"")</f>
        <v/>
      </c>
      <c r="N1121" s="46" t="e">
        <f t="shared" si="53"/>
        <v>#DIV/0!</v>
      </c>
      <c r="O1121" s="46" t="str">
        <f t="shared" si="54"/>
        <v/>
      </c>
      <c r="P1121" s="46">
        <f t="shared" si="55"/>
        <v>1</v>
      </c>
    </row>
    <row r="1122" spans="1:16" ht="14.25">
      <c r="A1122" s="80"/>
      <c r="B1122" s="80"/>
      <c r="C1122" s="80"/>
      <c r="D1122" s="80"/>
      <c r="E1122" s="76" t="str">
        <f>IFERROR(VLOOKUP(C1122,$C$9:E1121,3,0),"")</f>
        <v/>
      </c>
      <c r="F1122" s="57" t="str">
        <f>IFERROR(VLOOKUP(C1122,$C$9:H1121,4,FALSE),"")</f>
        <v/>
      </c>
      <c r="G1122" s="61" t="str">
        <f>IFERROR(VLOOKUP(C1122,$C$9:G1121,5,FALSE),"")</f>
        <v/>
      </c>
      <c r="H1122" s="61" t="str">
        <f>IFERROR(VLOOKUP(C1122,$C$9:H1121,6,FALSE),"")</f>
        <v/>
      </c>
      <c r="N1122" s="46" t="e">
        <f t="shared" si="53"/>
        <v>#DIV/0!</v>
      </c>
      <c r="O1122" s="46" t="str">
        <f t="shared" si="54"/>
        <v/>
      </c>
      <c r="P1122" s="46">
        <f t="shared" si="55"/>
        <v>1</v>
      </c>
    </row>
    <row r="1123" spans="1:16" ht="14.25">
      <c r="A1123" s="80"/>
      <c r="B1123" s="80"/>
      <c r="C1123" s="80"/>
      <c r="D1123" s="80"/>
      <c r="E1123" s="76" t="str">
        <f>IFERROR(VLOOKUP(C1123,$C$9:E1122,3,0),"")</f>
        <v/>
      </c>
      <c r="F1123" s="57" t="str">
        <f>IFERROR(VLOOKUP(C1123,$C$9:H1122,4,FALSE),"")</f>
        <v/>
      </c>
      <c r="G1123" s="61" t="str">
        <f>IFERROR(VLOOKUP(C1123,$C$9:G1122,5,FALSE),"")</f>
        <v/>
      </c>
      <c r="H1123" s="61" t="str">
        <f>IFERROR(VLOOKUP(C1123,$C$9:H1122,6,FALSE),"")</f>
        <v/>
      </c>
      <c r="N1123" s="46" t="e">
        <f t="shared" si="53"/>
        <v>#DIV/0!</v>
      </c>
      <c r="O1123" s="46" t="str">
        <f t="shared" si="54"/>
        <v/>
      </c>
      <c r="P1123" s="46">
        <f t="shared" si="55"/>
        <v>1</v>
      </c>
    </row>
    <row r="1124" spans="1:16" ht="14.25">
      <c r="A1124" s="80"/>
      <c r="B1124" s="80"/>
      <c r="C1124" s="80"/>
      <c r="D1124" s="80"/>
      <c r="E1124" s="76" t="str">
        <f>IFERROR(VLOOKUP(C1124,$C$9:E1123,3,0),"")</f>
        <v/>
      </c>
      <c r="F1124" s="57" t="str">
        <f>IFERROR(VLOOKUP(C1124,$C$9:H1123,4,FALSE),"")</f>
        <v/>
      </c>
      <c r="G1124" s="61" t="str">
        <f>IFERROR(VLOOKUP(C1124,$C$9:G1123,5,FALSE),"")</f>
        <v/>
      </c>
      <c r="H1124" s="61" t="str">
        <f>IFERROR(VLOOKUP(C1124,$C$9:H1123,6,FALSE),"")</f>
        <v/>
      </c>
      <c r="N1124" s="46" t="e">
        <f t="shared" si="53"/>
        <v>#DIV/0!</v>
      </c>
      <c r="O1124" s="46" t="str">
        <f t="shared" si="54"/>
        <v/>
      </c>
      <c r="P1124" s="46">
        <f t="shared" si="55"/>
        <v>1</v>
      </c>
    </row>
    <row r="1125" spans="1:16" ht="14.25">
      <c r="A1125" s="80"/>
      <c r="B1125" s="80"/>
      <c r="C1125" s="80"/>
      <c r="D1125" s="80"/>
      <c r="E1125" s="76" t="str">
        <f>IFERROR(VLOOKUP(C1125,$C$9:E1124,3,0),"")</f>
        <v/>
      </c>
      <c r="F1125" s="57" t="str">
        <f>IFERROR(VLOOKUP(C1125,$C$9:H1124,4,FALSE),"")</f>
        <v/>
      </c>
      <c r="G1125" s="61" t="str">
        <f>IFERROR(VLOOKUP(C1125,$C$9:G1124,5,FALSE),"")</f>
        <v/>
      </c>
      <c r="H1125" s="61" t="str">
        <f>IFERROR(VLOOKUP(C1125,$C$9:H1124,6,FALSE),"")</f>
        <v/>
      </c>
      <c r="N1125" s="46" t="e">
        <f t="shared" si="53"/>
        <v>#DIV/0!</v>
      </c>
      <c r="O1125" s="46" t="str">
        <f t="shared" si="54"/>
        <v/>
      </c>
      <c r="P1125" s="46">
        <f t="shared" si="55"/>
        <v>1</v>
      </c>
    </row>
    <row r="1126" spans="1:16" ht="14.25">
      <c r="A1126" s="80"/>
      <c r="B1126" s="80"/>
      <c r="C1126" s="80"/>
      <c r="D1126" s="80"/>
      <c r="E1126" s="76" t="str">
        <f>IFERROR(VLOOKUP(C1126,$C$9:E1125,3,0),"")</f>
        <v/>
      </c>
      <c r="F1126" s="57" t="str">
        <f>IFERROR(VLOOKUP(C1126,$C$9:H1125,4,FALSE),"")</f>
        <v/>
      </c>
      <c r="G1126" s="61" t="str">
        <f>IFERROR(VLOOKUP(C1126,$C$9:G1125,5,FALSE),"")</f>
        <v/>
      </c>
      <c r="H1126" s="61" t="str">
        <f>IFERROR(VLOOKUP(C1126,$C$9:H1125,6,FALSE),"")</f>
        <v/>
      </c>
      <c r="N1126" s="46" t="e">
        <f t="shared" si="53"/>
        <v>#DIV/0!</v>
      </c>
      <c r="O1126" s="46" t="str">
        <f t="shared" si="54"/>
        <v/>
      </c>
      <c r="P1126" s="46">
        <f t="shared" si="55"/>
        <v>1</v>
      </c>
    </row>
    <row r="1127" spans="1:16" ht="14.25">
      <c r="A1127" s="80"/>
      <c r="B1127" s="80"/>
      <c r="C1127" s="80"/>
      <c r="D1127" s="80"/>
      <c r="E1127" s="76" t="str">
        <f>IFERROR(VLOOKUP(C1127,$C$9:E1126,3,0),"")</f>
        <v/>
      </c>
      <c r="F1127" s="57" t="str">
        <f>IFERROR(VLOOKUP(C1127,$C$9:H1126,4,FALSE),"")</f>
        <v/>
      </c>
      <c r="G1127" s="61" t="str">
        <f>IFERROR(VLOOKUP(C1127,$C$9:G1126,5,FALSE),"")</f>
        <v/>
      </c>
      <c r="H1127" s="61" t="str">
        <f>IFERROR(VLOOKUP(C1127,$C$9:H1126,6,FALSE),"")</f>
        <v/>
      </c>
      <c r="N1127" s="46" t="e">
        <f t="shared" si="53"/>
        <v>#DIV/0!</v>
      </c>
      <c r="O1127" s="46" t="str">
        <f t="shared" si="54"/>
        <v/>
      </c>
      <c r="P1127" s="46">
        <f t="shared" si="55"/>
        <v>1</v>
      </c>
    </row>
    <row r="1128" spans="1:16" ht="14.25">
      <c r="A1128" s="80"/>
      <c r="B1128" s="80"/>
      <c r="C1128" s="80"/>
      <c r="D1128" s="80"/>
      <c r="E1128" s="76" t="str">
        <f>IFERROR(VLOOKUP(C1128,$C$9:E1127,3,0),"")</f>
        <v/>
      </c>
      <c r="F1128" s="57" t="str">
        <f>IFERROR(VLOOKUP(C1128,$C$9:H1127,4,FALSE),"")</f>
        <v/>
      </c>
      <c r="G1128" s="61" t="str">
        <f>IFERROR(VLOOKUP(C1128,$C$9:G1127,5,FALSE),"")</f>
        <v/>
      </c>
      <c r="H1128" s="61" t="str">
        <f>IFERROR(VLOOKUP(C1128,$C$9:H1127,6,FALSE),"")</f>
        <v/>
      </c>
      <c r="N1128" s="46" t="e">
        <f t="shared" si="53"/>
        <v>#DIV/0!</v>
      </c>
      <c r="O1128" s="46" t="str">
        <f t="shared" si="54"/>
        <v/>
      </c>
      <c r="P1128" s="46">
        <f t="shared" si="55"/>
        <v>1</v>
      </c>
    </row>
    <row r="1129" spans="1:16" ht="14.25">
      <c r="A1129" s="80"/>
      <c r="B1129" s="80"/>
      <c r="C1129" s="80"/>
      <c r="D1129" s="80"/>
      <c r="E1129" s="76" t="str">
        <f>IFERROR(VLOOKUP(C1129,$C$9:E1128,3,0),"")</f>
        <v/>
      </c>
      <c r="F1129" s="57" t="str">
        <f>IFERROR(VLOOKUP(C1129,$C$9:H1128,4,FALSE),"")</f>
        <v/>
      </c>
      <c r="G1129" s="61" t="str">
        <f>IFERROR(VLOOKUP(C1129,$C$9:G1128,5,FALSE),"")</f>
        <v/>
      </c>
      <c r="H1129" s="61" t="str">
        <f>IFERROR(VLOOKUP(C1129,$C$9:H1128,6,FALSE),"")</f>
        <v/>
      </c>
      <c r="N1129" s="46" t="e">
        <f t="shared" si="53"/>
        <v>#DIV/0!</v>
      </c>
      <c r="O1129" s="46" t="str">
        <f t="shared" si="54"/>
        <v/>
      </c>
      <c r="P1129" s="46">
        <f t="shared" si="55"/>
        <v>1</v>
      </c>
    </row>
    <row r="1130" spans="1:16" ht="14.25">
      <c r="A1130" s="80"/>
      <c r="B1130" s="80"/>
      <c r="C1130" s="80"/>
      <c r="D1130" s="80"/>
      <c r="E1130" s="76" t="str">
        <f>IFERROR(VLOOKUP(C1130,$C$9:E1129,3,0),"")</f>
        <v/>
      </c>
      <c r="F1130" s="57" t="str">
        <f>IFERROR(VLOOKUP(C1130,$C$9:H1129,4,FALSE),"")</f>
        <v/>
      </c>
      <c r="G1130" s="61" t="str">
        <f>IFERROR(VLOOKUP(C1130,$C$9:G1129,5,FALSE),"")</f>
        <v/>
      </c>
      <c r="H1130" s="61" t="str">
        <f>IFERROR(VLOOKUP(C1130,$C$9:H1129,6,FALSE),"")</f>
        <v/>
      </c>
      <c r="N1130" s="46" t="e">
        <f t="shared" si="53"/>
        <v>#DIV/0!</v>
      </c>
      <c r="O1130" s="46" t="str">
        <f t="shared" si="54"/>
        <v/>
      </c>
      <c r="P1130" s="46">
        <f t="shared" si="55"/>
        <v>1</v>
      </c>
    </row>
    <row r="1131" spans="1:16" ht="14.25">
      <c r="A1131" s="80"/>
      <c r="B1131" s="80"/>
      <c r="C1131" s="80"/>
      <c r="D1131" s="80"/>
      <c r="E1131" s="76" t="str">
        <f>IFERROR(VLOOKUP(C1131,$C$9:E1130,3,0),"")</f>
        <v/>
      </c>
      <c r="F1131" s="57" t="str">
        <f>IFERROR(VLOOKUP(C1131,$C$9:H1130,4,FALSE),"")</f>
        <v/>
      </c>
      <c r="G1131" s="61" t="str">
        <f>IFERROR(VLOOKUP(C1131,$C$9:G1130,5,FALSE),"")</f>
        <v/>
      </c>
      <c r="H1131" s="61" t="str">
        <f>IFERROR(VLOOKUP(C1131,$C$9:H1130,6,FALSE),"")</f>
        <v/>
      </c>
      <c r="N1131" s="46" t="e">
        <f t="shared" si="53"/>
        <v>#DIV/0!</v>
      </c>
      <c r="O1131" s="46" t="str">
        <f t="shared" si="54"/>
        <v/>
      </c>
      <c r="P1131" s="46">
        <f t="shared" si="55"/>
        <v>1</v>
      </c>
    </row>
    <row r="1132" spans="1:16" ht="14.25">
      <c r="A1132" s="80"/>
      <c r="B1132" s="80"/>
      <c r="C1132" s="80"/>
      <c r="D1132" s="80"/>
      <c r="E1132" s="76" t="str">
        <f>IFERROR(VLOOKUP(C1132,$C$9:E1131,3,0),"")</f>
        <v/>
      </c>
      <c r="F1132" s="57" t="str">
        <f>IFERROR(VLOOKUP(C1132,$C$9:H1131,4,FALSE),"")</f>
        <v/>
      </c>
      <c r="G1132" s="61" t="str">
        <f>IFERROR(VLOOKUP(C1132,$C$9:G1131,5,FALSE),"")</f>
        <v/>
      </c>
      <c r="H1132" s="61" t="str">
        <f>IFERROR(VLOOKUP(C1132,$C$9:H1131,6,FALSE),"")</f>
        <v/>
      </c>
      <c r="N1132" s="46" t="e">
        <f t="shared" si="53"/>
        <v>#DIV/0!</v>
      </c>
      <c r="O1132" s="46" t="str">
        <f t="shared" si="54"/>
        <v/>
      </c>
      <c r="P1132" s="46">
        <f t="shared" si="55"/>
        <v>1</v>
      </c>
    </row>
    <row r="1133" spans="1:16" ht="14.25">
      <c r="A1133" s="80"/>
      <c r="B1133" s="80"/>
      <c r="C1133" s="80"/>
      <c r="D1133" s="80"/>
      <c r="E1133" s="76" t="str">
        <f>IFERROR(VLOOKUP(C1133,$C$9:E1132,3,0),"")</f>
        <v/>
      </c>
      <c r="F1133" s="57" t="str">
        <f>IFERROR(VLOOKUP(C1133,$C$9:H1132,4,FALSE),"")</f>
        <v/>
      </c>
      <c r="G1133" s="61" t="str">
        <f>IFERROR(VLOOKUP(C1133,$C$9:G1132,5,FALSE),"")</f>
        <v/>
      </c>
      <c r="H1133" s="61" t="str">
        <f>IFERROR(VLOOKUP(C1133,$C$9:H1132,6,FALSE),"")</f>
        <v/>
      </c>
      <c r="N1133" s="46" t="e">
        <f t="shared" si="53"/>
        <v>#DIV/0!</v>
      </c>
      <c r="O1133" s="46" t="str">
        <f t="shared" si="54"/>
        <v/>
      </c>
      <c r="P1133" s="46">
        <f t="shared" si="55"/>
        <v>1</v>
      </c>
    </row>
    <row r="1134" spans="1:16" ht="14.25">
      <c r="A1134" s="80"/>
      <c r="B1134" s="80"/>
      <c r="C1134" s="80"/>
      <c r="D1134" s="80"/>
      <c r="E1134" s="76" t="str">
        <f>IFERROR(VLOOKUP(C1134,$C$9:E1133,3,0),"")</f>
        <v/>
      </c>
      <c r="F1134" s="57" t="str">
        <f>IFERROR(VLOOKUP(C1134,$C$9:H1133,4,FALSE),"")</f>
        <v/>
      </c>
      <c r="G1134" s="61" t="str">
        <f>IFERROR(VLOOKUP(C1134,$C$9:G1133,5,FALSE),"")</f>
        <v/>
      </c>
      <c r="H1134" s="61" t="str">
        <f>IFERROR(VLOOKUP(C1134,$C$9:H1133,6,FALSE),"")</f>
        <v/>
      </c>
      <c r="N1134" s="46" t="e">
        <f t="shared" si="53"/>
        <v>#DIV/0!</v>
      </c>
      <c r="O1134" s="46" t="str">
        <f t="shared" si="54"/>
        <v/>
      </c>
      <c r="P1134" s="46">
        <f t="shared" si="55"/>
        <v>1</v>
      </c>
    </row>
    <row r="1135" spans="1:16" ht="14.25">
      <c r="A1135" s="80"/>
      <c r="B1135" s="80"/>
      <c r="C1135" s="80"/>
      <c r="D1135" s="80"/>
      <c r="E1135" s="76" t="str">
        <f>IFERROR(VLOOKUP(C1135,$C$9:E1134,3,0),"")</f>
        <v/>
      </c>
      <c r="F1135" s="57" t="str">
        <f>IFERROR(VLOOKUP(C1135,$C$9:H1134,4,FALSE),"")</f>
        <v/>
      </c>
      <c r="G1135" s="61" t="str">
        <f>IFERROR(VLOOKUP(C1135,$C$9:G1134,5,FALSE),"")</f>
        <v/>
      </c>
      <c r="H1135" s="61" t="str">
        <f>IFERROR(VLOOKUP(C1135,$C$9:H1134,6,FALSE),"")</f>
        <v/>
      </c>
      <c r="N1135" s="46" t="e">
        <f t="shared" si="53"/>
        <v>#DIV/0!</v>
      </c>
      <c r="O1135" s="46" t="str">
        <f t="shared" si="54"/>
        <v/>
      </c>
      <c r="P1135" s="46">
        <f t="shared" si="55"/>
        <v>1</v>
      </c>
    </row>
    <row r="1136" spans="1:16" ht="14.25">
      <c r="A1136" s="80"/>
      <c r="B1136" s="80"/>
      <c r="C1136" s="80"/>
      <c r="D1136" s="80"/>
      <c r="E1136" s="76" t="str">
        <f>IFERROR(VLOOKUP(C1136,$C$9:E1135,3,0),"")</f>
        <v/>
      </c>
      <c r="F1136" s="57" t="str">
        <f>IFERROR(VLOOKUP(C1136,$C$9:H1135,4,FALSE),"")</f>
        <v/>
      </c>
      <c r="G1136" s="61" t="str">
        <f>IFERROR(VLOOKUP(C1136,$C$9:G1135,5,FALSE),"")</f>
        <v/>
      </c>
      <c r="H1136" s="61" t="str">
        <f>IFERROR(VLOOKUP(C1136,$C$9:H1135,6,FALSE),"")</f>
        <v/>
      </c>
      <c r="N1136" s="46" t="e">
        <f t="shared" si="53"/>
        <v>#DIV/0!</v>
      </c>
      <c r="O1136" s="46" t="str">
        <f t="shared" si="54"/>
        <v/>
      </c>
      <c r="P1136" s="46">
        <f t="shared" si="55"/>
        <v>1</v>
      </c>
    </row>
    <row r="1137" spans="1:16" ht="14.25">
      <c r="A1137" s="80"/>
      <c r="B1137" s="80"/>
      <c r="C1137" s="80"/>
      <c r="D1137" s="80"/>
      <c r="E1137" s="76" t="str">
        <f>IFERROR(VLOOKUP(C1137,$C$9:E1136,3,0),"")</f>
        <v/>
      </c>
      <c r="F1137" s="57" t="str">
        <f>IFERROR(VLOOKUP(C1137,$C$9:H1136,4,FALSE),"")</f>
        <v/>
      </c>
      <c r="G1137" s="61" t="str">
        <f>IFERROR(VLOOKUP(C1137,$C$9:G1136,5,FALSE),"")</f>
        <v/>
      </c>
      <c r="H1137" s="61" t="str">
        <f>IFERROR(VLOOKUP(C1137,$C$9:H1136,6,FALSE),"")</f>
        <v/>
      </c>
      <c r="N1137" s="46" t="e">
        <f t="shared" si="53"/>
        <v>#DIV/0!</v>
      </c>
      <c r="O1137" s="46" t="str">
        <f t="shared" si="54"/>
        <v/>
      </c>
      <c r="P1137" s="46">
        <f t="shared" si="55"/>
        <v>1</v>
      </c>
    </row>
    <row r="1138" spans="1:16" ht="14.25">
      <c r="A1138" s="80"/>
      <c r="B1138" s="80"/>
      <c r="C1138" s="80"/>
      <c r="D1138" s="80"/>
      <c r="E1138" s="76" t="str">
        <f>IFERROR(VLOOKUP(C1138,$C$9:E1137,3,0),"")</f>
        <v/>
      </c>
      <c r="F1138" s="57" t="str">
        <f>IFERROR(VLOOKUP(C1138,$C$9:H1137,4,FALSE),"")</f>
        <v/>
      </c>
      <c r="G1138" s="61" t="str">
        <f>IFERROR(VLOOKUP(C1138,$C$9:G1137,5,FALSE),"")</f>
        <v/>
      </c>
      <c r="H1138" s="61" t="str">
        <f>IFERROR(VLOOKUP(C1138,$C$9:H1137,6,FALSE),"")</f>
        <v/>
      </c>
      <c r="N1138" s="46" t="e">
        <f t="shared" si="53"/>
        <v>#DIV/0!</v>
      </c>
      <c r="O1138" s="46" t="str">
        <f t="shared" si="54"/>
        <v/>
      </c>
      <c r="P1138" s="46">
        <f t="shared" si="55"/>
        <v>1</v>
      </c>
    </row>
    <row r="1139" spans="1:16" ht="14.25">
      <c r="A1139" s="80"/>
      <c r="B1139" s="80"/>
      <c r="C1139" s="80"/>
      <c r="D1139" s="80"/>
      <c r="E1139" s="76" t="str">
        <f>IFERROR(VLOOKUP(C1139,$C$9:E1138,3,0),"")</f>
        <v/>
      </c>
      <c r="F1139" s="57" t="str">
        <f>IFERROR(VLOOKUP(C1139,$C$9:H1138,4,FALSE),"")</f>
        <v/>
      </c>
      <c r="G1139" s="61" t="str">
        <f>IFERROR(VLOOKUP(C1139,$C$9:G1138,5,FALSE),"")</f>
        <v/>
      </c>
      <c r="H1139" s="61" t="str">
        <f>IFERROR(VLOOKUP(C1139,$C$9:H1138,6,FALSE),"")</f>
        <v/>
      </c>
      <c r="N1139" s="46" t="e">
        <f t="shared" si="53"/>
        <v>#DIV/0!</v>
      </c>
      <c r="O1139" s="46" t="str">
        <f t="shared" si="54"/>
        <v/>
      </c>
      <c r="P1139" s="46">
        <f t="shared" si="55"/>
        <v>1</v>
      </c>
    </row>
    <row r="1140" spans="1:16" ht="14.25">
      <c r="A1140" s="80"/>
      <c r="B1140" s="80"/>
      <c r="C1140" s="80"/>
      <c r="D1140" s="80"/>
      <c r="E1140" s="76" t="str">
        <f>IFERROR(VLOOKUP(C1140,$C$9:E1139,3,0),"")</f>
        <v/>
      </c>
      <c r="F1140" s="57" t="str">
        <f>IFERROR(VLOOKUP(C1140,$C$9:H1139,4,FALSE),"")</f>
        <v/>
      </c>
      <c r="G1140" s="61" t="str">
        <f>IFERROR(VLOOKUP(C1140,$C$9:G1139,5,FALSE),"")</f>
        <v/>
      </c>
      <c r="H1140" s="61" t="str">
        <f>IFERROR(VLOOKUP(C1140,$C$9:H1139,6,FALSE),"")</f>
        <v/>
      </c>
      <c r="N1140" s="46" t="e">
        <f t="shared" si="53"/>
        <v>#DIV/0!</v>
      </c>
      <c r="O1140" s="46" t="str">
        <f t="shared" si="54"/>
        <v/>
      </c>
      <c r="P1140" s="46">
        <f t="shared" si="55"/>
        <v>1</v>
      </c>
    </row>
    <row r="1141" spans="1:16" ht="14.25">
      <c r="A1141" s="80"/>
      <c r="B1141" s="80"/>
      <c r="C1141" s="80"/>
      <c r="D1141" s="80"/>
      <c r="E1141" s="76" t="str">
        <f>IFERROR(VLOOKUP(C1141,$C$9:E1140,3,0),"")</f>
        <v/>
      </c>
      <c r="F1141" s="57" t="str">
        <f>IFERROR(VLOOKUP(C1141,$C$9:H1140,4,FALSE),"")</f>
        <v/>
      </c>
      <c r="G1141" s="61" t="str">
        <f>IFERROR(VLOOKUP(C1141,$C$9:G1140,5,FALSE),"")</f>
        <v/>
      </c>
      <c r="H1141" s="61" t="str">
        <f>IFERROR(VLOOKUP(C1141,$C$9:H1140,6,FALSE),"")</f>
        <v/>
      </c>
      <c r="N1141" s="46" t="e">
        <f t="shared" si="53"/>
        <v>#DIV/0!</v>
      </c>
      <c r="O1141" s="46" t="str">
        <f t="shared" si="54"/>
        <v/>
      </c>
      <c r="P1141" s="46">
        <f t="shared" si="55"/>
        <v>1</v>
      </c>
    </row>
    <row r="1142" spans="1:16" ht="14.25">
      <c r="A1142" s="80"/>
      <c r="B1142" s="80"/>
      <c r="C1142" s="80"/>
      <c r="D1142" s="80"/>
      <c r="E1142" s="76" t="str">
        <f>IFERROR(VLOOKUP(C1142,$C$9:E1141,3,0),"")</f>
        <v/>
      </c>
      <c r="F1142" s="57" t="str">
        <f>IFERROR(VLOOKUP(C1142,$C$9:H1141,4,FALSE),"")</f>
        <v/>
      </c>
      <c r="G1142" s="61" t="str">
        <f>IFERROR(VLOOKUP(C1142,$C$9:G1141,5,FALSE),"")</f>
        <v/>
      </c>
      <c r="H1142" s="61" t="str">
        <f>IFERROR(VLOOKUP(C1142,$C$9:H1141,6,FALSE),"")</f>
        <v/>
      </c>
      <c r="N1142" s="46" t="e">
        <f t="shared" si="53"/>
        <v>#DIV/0!</v>
      </c>
      <c r="O1142" s="46" t="str">
        <f t="shared" si="54"/>
        <v/>
      </c>
      <c r="P1142" s="46">
        <f t="shared" si="55"/>
        <v>1</v>
      </c>
    </row>
    <row r="1143" spans="1:16" ht="14.25">
      <c r="A1143" s="80"/>
      <c r="B1143" s="80"/>
      <c r="C1143" s="80"/>
      <c r="D1143" s="80"/>
      <c r="E1143" s="76" t="str">
        <f>IFERROR(VLOOKUP(C1143,$C$9:E1142,3,0),"")</f>
        <v/>
      </c>
      <c r="F1143" s="57" t="str">
        <f>IFERROR(VLOOKUP(C1143,$C$9:H1142,4,FALSE),"")</f>
        <v/>
      </c>
      <c r="G1143" s="61" t="str">
        <f>IFERROR(VLOOKUP(C1143,$C$9:G1142,5,FALSE),"")</f>
        <v/>
      </c>
      <c r="H1143" s="61" t="str">
        <f>IFERROR(VLOOKUP(C1143,$C$9:H1142,6,FALSE),"")</f>
        <v/>
      </c>
      <c r="N1143" s="46" t="e">
        <f t="shared" si="53"/>
        <v>#DIV/0!</v>
      </c>
      <c r="O1143" s="46" t="str">
        <f t="shared" si="54"/>
        <v/>
      </c>
      <c r="P1143" s="46">
        <f t="shared" si="55"/>
        <v>1</v>
      </c>
    </row>
    <row r="1144" spans="1:16" ht="14.25">
      <c r="A1144" s="80"/>
      <c r="B1144" s="80"/>
      <c r="C1144" s="80"/>
      <c r="D1144" s="80"/>
      <c r="E1144" s="76" t="str">
        <f>IFERROR(VLOOKUP(C1144,$C$9:E1143,3,0),"")</f>
        <v/>
      </c>
      <c r="F1144" s="57" t="str">
        <f>IFERROR(VLOOKUP(C1144,$C$9:H1143,4,FALSE),"")</f>
        <v/>
      </c>
      <c r="G1144" s="61" t="str">
        <f>IFERROR(VLOOKUP(C1144,$C$9:G1143,5,FALSE),"")</f>
        <v/>
      </c>
      <c r="H1144" s="61" t="str">
        <f>IFERROR(VLOOKUP(C1144,$C$9:H1143,6,FALSE),"")</f>
        <v/>
      </c>
      <c r="N1144" s="46" t="e">
        <f t="shared" si="53"/>
        <v>#DIV/0!</v>
      </c>
      <c r="O1144" s="46" t="str">
        <f t="shared" si="54"/>
        <v/>
      </c>
      <c r="P1144" s="46">
        <f t="shared" si="55"/>
        <v>1</v>
      </c>
    </row>
    <row r="1145" spans="1:16" ht="14.25">
      <c r="A1145" s="80"/>
      <c r="B1145" s="80"/>
      <c r="C1145" s="80"/>
      <c r="D1145" s="80"/>
      <c r="E1145" s="76" t="str">
        <f>IFERROR(VLOOKUP(C1145,$C$9:E1144,3,0),"")</f>
        <v/>
      </c>
      <c r="F1145" s="57" t="str">
        <f>IFERROR(VLOOKUP(C1145,$C$9:H1144,4,FALSE),"")</f>
        <v/>
      </c>
      <c r="G1145" s="61" t="str">
        <f>IFERROR(VLOOKUP(C1145,$C$9:G1144,5,FALSE),"")</f>
        <v/>
      </c>
      <c r="H1145" s="61" t="str">
        <f>IFERROR(VLOOKUP(C1145,$C$9:H1144,6,FALSE),"")</f>
        <v/>
      </c>
      <c r="N1145" s="46" t="e">
        <f t="shared" si="53"/>
        <v>#DIV/0!</v>
      </c>
      <c r="O1145" s="46" t="str">
        <f t="shared" si="54"/>
        <v/>
      </c>
      <c r="P1145" s="46">
        <f t="shared" si="55"/>
        <v>1</v>
      </c>
    </row>
    <row r="1146" spans="1:16" ht="14.25">
      <c r="A1146" s="80"/>
      <c r="B1146" s="80"/>
      <c r="C1146" s="80"/>
      <c r="D1146" s="80"/>
      <c r="E1146" s="76" t="str">
        <f>IFERROR(VLOOKUP(C1146,$C$9:E1145,3,0),"")</f>
        <v/>
      </c>
      <c r="F1146" s="57" t="str">
        <f>IFERROR(VLOOKUP(C1146,$C$9:H1145,4,FALSE),"")</f>
        <v/>
      </c>
      <c r="G1146" s="61" t="str">
        <f>IFERROR(VLOOKUP(C1146,$C$9:G1145,5,FALSE),"")</f>
        <v/>
      </c>
      <c r="H1146" s="61" t="str">
        <f>IFERROR(VLOOKUP(C1146,$C$9:H1145,6,FALSE),"")</f>
        <v/>
      </c>
      <c r="N1146" s="46" t="e">
        <f t="shared" si="53"/>
        <v>#DIV/0!</v>
      </c>
      <c r="O1146" s="46" t="str">
        <f t="shared" si="54"/>
        <v/>
      </c>
      <c r="P1146" s="46">
        <f t="shared" si="55"/>
        <v>1</v>
      </c>
    </row>
    <row r="1147" spans="1:16" ht="14.25">
      <c r="A1147" s="80"/>
      <c r="B1147" s="80"/>
      <c r="C1147" s="80"/>
      <c r="D1147" s="80"/>
      <c r="E1147" s="76" t="str">
        <f>IFERROR(VLOOKUP(C1147,$C$9:E1146,3,0),"")</f>
        <v/>
      </c>
      <c r="F1147" s="57" t="str">
        <f>IFERROR(VLOOKUP(C1147,$C$9:H1146,4,FALSE),"")</f>
        <v/>
      </c>
      <c r="G1147" s="61" t="str">
        <f>IFERROR(VLOOKUP(C1147,$C$9:G1146,5,FALSE),"")</f>
        <v/>
      </c>
      <c r="H1147" s="61" t="str">
        <f>IFERROR(VLOOKUP(C1147,$C$9:H1146,6,FALSE),"")</f>
        <v/>
      </c>
      <c r="N1147" s="46" t="e">
        <f t="shared" si="53"/>
        <v>#DIV/0!</v>
      </c>
      <c r="O1147" s="46" t="str">
        <f t="shared" si="54"/>
        <v/>
      </c>
      <c r="P1147" s="46">
        <f t="shared" si="55"/>
        <v>1</v>
      </c>
    </row>
    <row r="1148" spans="1:16" ht="14.25">
      <c r="A1148" s="80"/>
      <c r="B1148" s="80"/>
      <c r="C1148" s="80"/>
      <c r="D1148" s="80"/>
      <c r="E1148" s="76" t="str">
        <f>IFERROR(VLOOKUP(C1148,$C$9:E1147,3,0),"")</f>
        <v/>
      </c>
      <c r="F1148" s="57" t="str">
        <f>IFERROR(VLOOKUP(C1148,$C$9:H1147,4,FALSE),"")</f>
        <v/>
      </c>
      <c r="G1148" s="61" t="str">
        <f>IFERROR(VLOOKUP(C1148,$C$9:G1147,5,FALSE),"")</f>
        <v/>
      </c>
      <c r="H1148" s="61" t="str">
        <f>IFERROR(VLOOKUP(C1148,$C$9:H1147,6,FALSE),"")</f>
        <v/>
      </c>
      <c r="N1148" s="46" t="e">
        <f t="shared" si="53"/>
        <v>#DIV/0!</v>
      </c>
      <c r="O1148" s="46" t="str">
        <f t="shared" si="54"/>
        <v/>
      </c>
      <c r="P1148" s="46">
        <f t="shared" si="55"/>
        <v>1</v>
      </c>
    </row>
    <row r="1149" spans="1:16" ht="14.25">
      <c r="A1149" s="80"/>
      <c r="B1149" s="80"/>
      <c r="C1149" s="80"/>
      <c r="D1149" s="80"/>
      <c r="E1149" s="76" t="str">
        <f>IFERROR(VLOOKUP(C1149,$C$9:E1148,3,0),"")</f>
        <v/>
      </c>
      <c r="F1149" s="57" t="str">
        <f>IFERROR(VLOOKUP(C1149,$C$9:H1148,4,FALSE),"")</f>
        <v/>
      </c>
      <c r="G1149" s="61" t="str">
        <f>IFERROR(VLOOKUP(C1149,$C$9:G1148,5,FALSE),"")</f>
        <v/>
      </c>
      <c r="H1149" s="61" t="str">
        <f>IFERROR(VLOOKUP(C1149,$C$9:H1148,6,FALSE),"")</f>
        <v/>
      </c>
      <c r="N1149" s="46" t="e">
        <f t="shared" si="53"/>
        <v>#DIV/0!</v>
      </c>
      <c r="O1149" s="46" t="str">
        <f t="shared" si="54"/>
        <v/>
      </c>
      <c r="P1149" s="46">
        <f t="shared" si="55"/>
        <v>1</v>
      </c>
    </row>
    <row r="1150" spans="1:16" ht="14.25">
      <c r="A1150" s="80"/>
      <c r="B1150" s="80"/>
      <c r="C1150" s="80"/>
      <c r="D1150" s="80"/>
      <c r="E1150" s="76" t="str">
        <f>IFERROR(VLOOKUP(C1150,$C$9:E1149,3,0),"")</f>
        <v/>
      </c>
      <c r="F1150" s="57" t="str">
        <f>IFERROR(VLOOKUP(C1150,$C$9:H1149,4,FALSE),"")</f>
        <v/>
      </c>
      <c r="G1150" s="61" t="str">
        <f>IFERROR(VLOOKUP(C1150,$C$9:G1149,5,FALSE),"")</f>
        <v/>
      </c>
      <c r="H1150" s="61" t="str">
        <f>IFERROR(VLOOKUP(C1150,$C$9:H1149,6,FALSE),"")</f>
        <v/>
      </c>
      <c r="N1150" s="46" t="e">
        <f t="shared" si="53"/>
        <v>#DIV/0!</v>
      </c>
      <c r="O1150" s="46" t="str">
        <f t="shared" si="54"/>
        <v/>
      </c>
      <c r="P1150" s="46">
        <f t="shared" si="55"/>
        <v>1</v>
      </c>
    </row>
    <row r="1151" spans="1:16" ht="14.25">
      <c r="A1151" s="80"/>
      <c r="B1151" s="80"/>
      <c r="C1151" s="80"/>
      <c r="D1151" s="80"/>
      <c r="E1151" s="76" t="str">
        <f>IFERROR(VLOOKUP(C1151,$C$9:E1150,3,0),"")</f>
        <v/>
      </c>
      <c r="F1151" s="57" t="str">
        <f>IFERROR(VLOOKUP(C1151,$C$9:H1150,4,FALSE),"")</f>
        <v/>
      </c>
      <c r="G1151" s="61" t="str">
        <f>IFERROR(VLOOKUP(C1151,$C$9:G1150,5,FALSE),"")</f>
        <v/>
      </c>
      <c r="H1151" s="61" t="str">
        <f>IFERROR(VLOOKUP(C1151,$C$9:H1150,6,FALSE),"")</f>
        <v/>
      </c>
      <c r="N1151" s="46" t="e">
        <f t="shared" si="53"/>
        <v>#DIV/0!</v>
      </c>
      <c r="O1151" s="46" t="str">
        <f t="shared" si="54"/>
        <v/>
      </c>
      <c r="P1151" s="46">
        <f t="shared" si="55"/>
        <v>1</v>
      </c>
    </row>
    <row r="1152" spans="1:16" ht="14.25">
      <c r="A1152" s="80"/>
      <c r="B1152" s="80"/>
      <c r="C1152" s="80"/>
      <c r="D1152" s="80"/>
      <c r="E1152" s="76" t="str">
        <f>IFERROR(VLOOKUP(C1152,$C$9:E1151,3,0),"")</f>
        <v/>
      </c>
      <c r="F1152" s="57" t="str">
        <f>IFERROR(VLOOKUP(C1152,$C$9:H1151,4,FALSE),"")</f>
        <v/>
      </c>
      <c r="G1152" s="61" t="str">
        <f>IFERROR(VLOOKUP(C1152,$C$9:G1151,5,FALSE),"")</f>
        <v/>
      </c>
      <c r="H1152" s="61" t="str">
        <f>IFERROR(VLOOKUP(C1152,$C$9:H1151,6,FALSE),"")</f>
        <v/>
      </c>
      <c r="N1152" s="46" t="e">
        <f t="shared" si="53"/>
        <v>#DIV/0!</v>
      </c>
      <c r="O1152" s="46" t="str">
        <f t="shared" si="54"/>
        <v/>
      </c>
      <c r="P1152" s="46">
        <f t="shared" si="55"/>
        <v>1</v>
      </c>
    </row>
    <row r="1153" spans="1:16" ht="14.25">
      <c r="A1153" s="80"/>
      <c r="B1153" s="80"/>
      <c r="C1153" s="80"/>
      <c r="D1153" s="80"/>
      <c r="E1153" s="76" t="str">
        <f>IFERROR(VLOOKUP(C1153,$C$9:E1152,3,0),"")</f>
        <v/>
      </c>
      <c r="F1153" s="57" t="str">
        <f>IFERROR(VLOOKUP(C1153,$C$9:H1152,4,FALSE),"")</f>
        <v/>
      </c>
      <c r="G1153" s="61" t="str">
        <f>IFERROR(VLOOKUP(C1153,$C$9:G1152,5,FALSE),"")</f>
        <v/>
      </c>
      <c r="H1153" s="61" t="str">
        <f>IFERROR(VLOOKUP(C1153,$C$9:H1152,6,FALSE),"")</f>
        <v/>
      </c>
      <c r="N1153" s="46" t="e">
        <f t="shared" si="53"/>
        <v>#DIV/0!</v>
      </c>
      <c r="O1153" s="46" t="str">
        <f t="shared" si="54"/>
        <v/>
      </c>
      <c r="P1153" s="46">
        <f t="shared" si="55"/>
        <v>1</v>
      </c>
    </row>
    <row r="1154" spans="1:16" ht="14.25">
      <c r="A1154" s="80"/>
      <c r="B1154" s="80"/>
      <c r="C1154" s="80"/>
      <c r="D1154" s="80"/>
      <c r="E1154" s="76" t="str">
        <f>IFERROR(VLOOKUP(C1154,$C$9:E1153,3,0),"")</f>
        <v/>
      </c>
      <c r="F1154" s="57" t="str">
        <f>IFERROR(VLOOKUP(C1154,$C$9:H1153,4,FALSE),"")</f>
        <v/>
      </c>
      <c r="G1154" s="61" t="str">
        <f>IFERROR(VLOOKUP(C1154,$C$9:G1153,5,FALSE),"")</f>
        <v/>
      </c>
      <c r="H1154" s="61" t="str">
        <f>IFERROR(VLOOKUP(C1154,$C$9:H1153,6,FALSE),"")</f>
        <v/>
      </c>
      <c r="N1154" s="46" t="e">
        <f t="shared" si="53"/>
        <v>#DIV/0!</v>
      </c>
      <c r="O1154" s="46" t="str">
        <f t="shared" si="54"/>
        <v/>
      </c>
      <c r="P1154" s="46">
        <f t="shared" si="55"/>
        <v>1</v>
      </c>
    </row>
    <row r="1155" spans="1:16" ht="14.25">
      <c r="A1155" s="80"/>
      <c r="B1155" s="80"/>
      <c r="C1155" s="80"/>
      <c r="D1155" s="80"/>
      <c r="E1155" s="76" t="str">
        <f>IFERROR(VLOOKUP(C1155,$C$9:E1154,3,0),"")</f>
        <v/>
      </c>
      <c r="F1155" s="57" t="str">
        <f>IFERROR(VLOOKUP(C1155,$C$9:H1154,4,FALSE),"")</f>
        <v/>
      </c>
      <c r="G1155" s="61" t="str">
        <f>IFERROR(VLOOKUP(C1155,$C$9:G1154,5,FALSE),"")</f>
        <v/>
      </c>
      <c r="H1155" s="61" t="str">
        <f>IFERROR(VLOOKUP(C1155,$C$9:H1154,6,FALSE),"")</f>
        <v/>
      </c>
      <c r="N1155" s="46" t="e">
        <f t="shared" si="53"/>
        <v>#DIV/0!</v>
      </c>
      <c r="O1155" s="46" t="str">
        <f t="shared" si="54"/>
        <v/>
      </c>
      <c r="P1155" s="46">
        <f t="shared" si="55"/>
        <v>1</v>
      </c>
    </row>
    <row r="1156" spans="1:16" ht="14.25">
      <c r="A1156" s="80"/>
      <c r="B1156" s="80"/>
      <c r="C1156" s="80"/>
      <c r="D1156" s="80"/>
      <c r="E1156" s="76" t="str">
        <f>IFERROR(VLOOKUP(C1156,$C$9:E1155,3,0),"")</f>
        <v/>
      </c>
      <c r="F1156" s="57" t="str">
        <f>IFERROR(VLOOKUP(C1156,$C$9:H1155,4,FALSE),"")</f>
        <v/>
      </c>
      <c r="G1156" s="61" t="str">
        <f>IFERROR(VLOOKUP(C1156,$C$9:G1155,5,FALSE),"")</f>
        <v/>
      </c>
      <c r="H1156" s="61" t="str">
        <f>IFERROR(VLOOKUP(C1156,$C$9:H1155,6,FALSE),"")</f>
        <v/>
      </c>
      <c r="N1156" s="46" t="e">
        <f t="shared" si="53"/>
        <v>#DIV/0!</v>
      </c>
      <c r="O1156" s="46" t="str">
        <f t="shared" si="54"/>
        <v/>
      </c>
      <c r="P1156" s="46">
        <f t="shared" si="55"/>
        <v>1</v>
      </c>
    </row>
    <row r="1157" spans="1:16" ht="14.25">
      <c r="A1157" s="80"/>
      <c r="B1157" s="80"/>
      <c r="C1157" s="80"/>
      <c r="D1157" s="80"/>
      <c r="E1157" s="76" t="str">
        <f>IFERROR(VLOOKUP(C1157,$C$9:E1156,3,0),"")</f>
        <v/>
      </c>
      <c r="F1157" s="57" t="str">
        <f>IFERROR(VLOOKUP(C1157,$C$9:H1156,4,FALSE),"")</f>
        <v/>
      </c>
      <c r="G1157" s="61" t="str">
        <f>IFERROR(VLOOKUP(C1157,$C$9:G1156,5,FALSE),"")</f>
        <v/>
      </c>
      <c r="H1157" s="61" t="str">
        <f>IFERROR(VLOOKUP(C1157,$C$9:H1156,6,FALSE),"")</f>
        <v/>
      </c>
      <c r="N1157" s="46" t="e">
        <f t="shared" si="53"/>
        <v>#DIV/0!</v>
      </c>
      <c r="O1157" s="46" t="str">
        <f t="shared" si="54"/>
        <v/>
      </c>
      <c r="P1157" s="46">
        <f t="shared" si="55"/>
        <v>1</v>
      </c>
    </row>
    <row r="1158" spans="1:16" ht="14.25">
      <c r="A1158" s="80"/>
      <c r="B1158" s="80"/>
      <c r="C1158" s="80"/>
      <c r="D1158" s="80"/>
      <c r="E1158" s="76" t="str">
        <f>IFERROR(VLOOKUP(C1158,$C$9:E1157,3,0),"")</f>
        <v/>
      </c>
      <c r="F1158" s="57" t="str">
        <f>IFERROR(VLOOKUP(C1158,$C$9:H1157,4,FALSE),"")</f>
        <v/>
      </c>
      <c r="G1158" s="61" t="str">
        <f>IFERROR(VLOOKUP(C1158,$C$9:G1157,5,FALSE),"")</f>
        <v/>
      </c>
      <c r="H1158" s="61" t="str">
        <f>IFERROR(VLOOKUP(C1158,$C$9:H1157,6,FALSE),"")</f>
        <v/>
      </c>
      <c r="N1158" s="46" t="e">
        <f t="shared" si="53"/>
        <v>#DIV/0!</v>
      </c>
      <c r="O1158" s="46" t="str">
        <f t="shared" si="54"/>
        <v/>
      </c>
      <c r="P1158" s="46">
        <f t="shared" si="55"/>
        <v>1</v>
      </c>
    </row>
    <row r="1159" spans="1:16" ht="14.25">
      <c r="A1159" s="80"/>
      <c r="B1159" s="80"/>
      <c r="C1159" s="80"/>
      <c r="D1159" s="80"/>
      <c r="E1159" s="76" t="str">
        <f>IFERROR(VLOOKUP(C1159,$C$9:E1158,3,0),"")</f>
        <v/>
      </c>
      <c r="F1159" s="57" t="str">
        <f>IFERROR(VLOOKUP(C1159,$C$9:H1158,4,FALSE),"")</f>
        <v/>
      </c>
      <c r="G1159" s="61" t="str">
        <f>IFERROR(VLOOKUP(C1159,$C$9:G1158,5,FALSE),"")</f>
        <v/>
      </c>
      <c r="H1159" s="61" t="str">
        <f>IFERROR(VLOOKUP(C1159,$C$9:H1158,6,FALSE),"")</f>
        <v/>
      </c>
      <c r="N1159" s="46" t="e">
        <f t="shared" si="53"/>
        <v>#DIV/0!</v>
      </c>
      <c r="O1159" s="46" t="str">
        <f t="shared" si="54"/>
        <v/>
      </c>
      <c r="P1159" s="46">
        <f t="shared" si="55"/>
        <v>1</v>
      </c>
    </row>
    <row r="1160" spans="1:16" ht="14.25">
      <c r="A1160" s="80"/>
      <c r="B1160" s="80"/>
      <c r="C1160" s="80"/>
      <c r="D1160" s="80"/>
      <c r="E1160" s="76" t="str">
        <f>IFERROR(VLOOKUP(C1160,$C$9:E1159,3,0),"")</f>
        <v/>
      </c>
      <c r="F1160" s="57" t="str">
        <f>IFERROR(VLOOKUP(C1160,$C$9:H1159,4,FALSE),"")</f>
        <v/>
      </c>
      <c r="G1160" s="61" t="str">
        <f>IFERROR(VLOOKUP(C1160,$C$9:G1159,5,FALSE),"")</f>
        <v/>
      </c>
      <c r="H1160" s="61" t="str">
        <f>IFERROR(VLOOKUP(C1160,$C$9:H1159,6,FALSE),"")</f>
        <v/>
      </c>
      <c r="N1160" s="46" t="e">
        <f t="shared" si="53"/>
        <v>#DIV/0!</v>
      </c>
      <c r="O1160" s="46" t="str">
        <f t="shared" si="54"/>
        <v/>
      </c>
      <c r="P1160" s="46">
        <f t="shared" si="55"/>
        <v>1</v>
      </c>
    </row>
    <row r="1161" spans="1:16" ht="14.25">
      <c r="A1161" s="80"/>
      <c r="B1161" s="80"/>
      <c r="C1161" s="80"/>
      <c r="D1161" s="80"/>
      <c r="E1161" s="76" t="str">
        <f>IFERROR(VLOOKUP(C1161,$C$9:E1160,3,0),"")</f>
        <v/>
      </c>
      <c r="F1161" s="57" t="str">
        <f>IFERROR(VLOOKUP(C1161,$C$9:H1160,4,FALSE),"")</f>
        <v/>
      </c>
      <c r="G1161" s="61" t="str">
        <f>IFERROR(VLOOKUP(C1161,$C$9:G1160,5,FALSE),"")</f>
        <v/>
      </c>
      <c r="H1161" s="61" t="str">
        <f>IFERROR(VLOOKUP(C1161,$C$9:H1160,6,FALSE),"")</f>
        <v/>
      </c>
      <c r="N1161" s="46" t="e">
        <f t="shared" si="53"/>
        <v>#DIV/0!</v>
      </c>
      <c r="O1161" s="46" t="str">
        <f t="shared" si="54"/>
        <v/>
      </c>
      <c r="P1161" s="46">
        <f t="shared" si="55"/>
        <v>1</v>
      </c>
    </row>
    <row r="1162" spans="1:16" ht="14.25">
      <c r="A1162" s="80"/>
      <c r="B1162" s="80"/>
      <c r="C1162" s="80"/>
      <c r="D1162" s="80"/>
      <c r="E1162" s="76" t="str">
        <f>IFERROR(VLOOKUP(C1162,$C$9:E1161,3,0),"")</f>
        <v/>
      </c>
      <c r="F1162" s="57" t="str">
        <f>IFERROR(VLOOKUP(C1162,$C$9:H1161,4,FALSE),"")</f>
        <v/>
      </c>
      <c r="G1162" s="61" t="str">
        <f>IFERROR(VLOOKUP(C1162,$C$9:G1161,5,FALSE),"")</f>
        <v/>
      </c>
      <c r="H1162" s="61" t="str">
        <f>IFERROR(VLOOKUP(C1162,$C$9:H1161,6,FALSE),"")</f>
        <v/>
      </c>
      <c r="N1162" s="46" t="e">
        <f t="shared" ref="N1162:N1225" si="56">IF(OR(F1162=$P$1,F1162="",F1162=0),D1162/$B$2,IF(OR(F1162=$P$2,F1162=$P$3,F1162=$P$4),D1162/(O1162*P1162),D1162/O1162))</f>
        <v>#DIV/0!</v>
      </c>
      <c r="O1162" s="46" t="str">
        <f t="shared" ref="O1162:O1225" si="57">IFERROR(VLOOKUP(F1162,$P$1:$Q$4,2,0),F1162)</f>
        <v/>
      </c>
      <c r="P1162" s="46">
        <f t="shared" si="55"/>
        <v>1</v>
      </c>
    </row>
    <row r="1163" spans="1:16" ht="14.25">
      <c r="A1163" s="80"/>
      <c r="B1163" s="80"/>
      <c r="C1163" s="80"/>
      <c r="D1163" s="80"/>
      <c r="E1163" s="76" t="str">
        <f>IFERROR(VLOOKUP(C1163,$C$9:E1162,3,0),"")</f>
        <v/>
      </c>
      <c r="F1163" s="57" t="str">
        <f>IFERROR(VLOOKUP(C1163,$C$9:H1162,4,FALSE),"")</f>
        <v/>
      </c>
      <c r="G1163" s="61" t="str">
        <f>IFERROR(VLOOKUP(C1163,$C$9:G1162,5,FALSE),"")</f>
        <v/>
      </c>
      <c r="H1163" s="61" t="str">
        <f>IFERROR(VLOOKUP(C1163,$C$9:H1162,6,FALSE),"")</f>
        <v/>
      </c>
      <c r="N1163" s="46" t="e">
        <f t="shared" si="56"/>
        <v>#DIV/0!</v>
      </c>
      <c r="O1163" s="46" t="str">
        <f t="shared" si="57"/>
        <v/>
      </c>
      <c r="P1163" s="46">
        <f t="shared" ref="P1163:P1226" si="58">IF(C1163="",1,COUNTIFS($C$9:$C$1499,C1163,$H$9:$H$1499,H1163))</f>
        <v>1</v>
      </c>
    </row>
    <row r="1164" spans="1:16" ht="14.25">
      <c r="A1164" s="80"/>
      <c r="B1164" s="80"/>
      <c r="C1164" s="80"/>
      <c r="D1164" s="80"/>
      <c r="E1164" s="76" t="str">
        <f>IFERROR(VLOOKUP(C1164,$C$9:E1163,3,0),"")</f>
        <v/>
      </c>
      <c r="F1164" s="57" t="str">
        <f>IFERROR(VLOOKUP(C1164,$C$9:H1163,4,FALSE),"")</f>
        <v/>
      </c>
      <c r="G1164" s="61" t="str">
        <f>IFERROR(VLOOKUP(C1164,$C$9:G1163,5,FALSE),"")</f>
        <v/>
      </c>
      <c r="H1164" s="61" t="str">
        <f>IFERROR(VLOOKUP(C1164,$C$9:H1163,6,FALSE),"")</f>
        <v/>
      </c>
      <c r="N1164" s="46" t="e">
        <f t="shared" si="56"/>
        <v>#DIV/0!</v>
      </c>
      <c r="O1164" s="46" t="str">
        <f t="shared" si="57"/>
        <v/>
      </c>
      <c r="P1164" s="46">
        <f t="shared" si="58"/>
        <v>1</v>
      </c>
    </row>
    <row r="1165" spans="1:16" ht="14.25">
      <c r="A1165" s="80"/>
      <c r="B1165" s="80"/>
      <c r="C1165" s="80"/>
      <c r="D1165" s="80"/>
      <c r="E1165" s="76" t="str">
        <f>IFERROR(VLOOKUP(C1165,$C$9:E1164,3,0),"")</f>
        <v/>
      </c>
      <c r="F1165" s="57" t="str">
        <f>IFERROR(VLOOKUP(C1165,$C$9:H1164,4,FALSE),"")</f>
        <v/>
      </c>
      <c r="G1165" s="61" t="str">
        <f>IFERROR(VLOOKUP(C1165,$C$9:G1164,5,FALSE),"")</f>
        <v/>
      </c>
      <c r="H1165" s="61" t="str">
        <f>IFERROR(VLOOKUP(C1165,$C$9:H1164,6,FALSE),"")</f>
        <v/>
      </c>
      <c r="N1165" s="46" t="e">
        <f t="shared" si="56"/>
        <v>#DIV/0!</v>
      </c>
      <c r="O1165" s="46" t="str">
        <f t="shared" si="57"/>
        <v/>
      </c>
      <c r="P1165" s="46">
        <f t="shared" si="58"/>
        <v>1</v>
      </c>
    </row>
    <row r="1166" spans="1:16" ht="14.25">
      <c r="A1166" s="80"/>
      <c r="B1166" s="80"/>
      <c r="C1166" s="80"/>
      <c r="D1166" s="80"/>
      <c r="E1166" s="76" t="str">
        <f>IFERROR(VLOOKUP(C1166,$C$9:E1165,3,0),"")</f>
        <v/>
      </c>
      <c r="F1166" s="57" t="str">
        <f>IFERROR(VLOOKUP(C1166,$C$9:H1165,4,FALSE),"")</f>
        <v/>
      </c>
      <c r="G1166" s="61" t="str">
        <f>IFERROR(VLOOKUP(C1166,$C$9:G1165,5,FALSE),"")</f>
        <v/>
      </c>
      <c r="H1166" s="61" t="str">
        <f>IFERROR(VLOOKUP(C1166,$C$9:H1165,6,FALSE),"")</f>
        <v/>
      </c>
      <c r="N1166" s="46" t="e">
        <f t="shared" si="56"/>
        <v>#DIV/0!</v>
      </c>
      <c r="O1166" s="46" t="str">
        <f t="shared" si="57"/>
        <v/>
      </c>
      <c r="P1166" s="46">
        <f t="shared" si="58"/>
        <v>1</v>
      </c>
    </row>
    <row r="1167" spans="1:16" ht="14.25">
      <c r="A1167" s="80"/>
      <c r="B1167" s="80"/>
      <c r="C1167" s="80"/>
      <c r="D1167" s="80"/>
      <c r="E1167" s="76" t="str">
        <f>IFERROR(VLOOKUP(C1167,$C$9:E1166,3,0),"")</f>
        <v/>
      </c>
      <c r="F1167" s="57" t="str">
        <f>IFERROR(VLOOKUP(C1167,$C$9:H1166,4,FALSE),"")</f>
        <v/>
      </c>
      <c r="G1167" s="61" t="str">
        <f>IFERROR(VLOOKUP(C1167,$C$9:G1166,5,FALSE),"")</f>
        <v/>
      </c>
      <c r="H1167" s="61" t="str">
        <f>IFERROR(VLOOKUP(C1167,$C$9:H1166,6,FALSE),"")</f>
        <v/>
      </c>
      <c r="N1167" s="46" t="e">
        <f t="shared" si="56"/>
        <v>#DIV/0!</v>
      </c>
      <c r="O1167" s="46" t="str">
        <f t="shared" si="57"/>
        <v/>
      </c>
      <c r="P1167" s="46">
        <f t="shared" si="58"/>
        <v>1</v>
      </c>
    </row>
    <row r="1168" spans="1:16" ht="14.25">
      <c r="A1168" s="80"/>
      <c r="B1168" s="80"/>
      <c r="C1168" s="80"/>
      <c r="D1168" s="80"/>
      <c r="E1168" s="76" t="str">
        <f>IFERROR(VLOOKUP(C1168,$C$9:E1167,3,0),"")</f>
        <v/>
      </c>
      <c r="F1168" s="57" t="str">
        <f>IFERROR(VLOOKUP(C1168,$C$9:H1167,4,FALSE),"")</f>
        <v/>
      </c>
      <c r="G1168" s="61" t="str">
        <f>IFERROR(VLOOKUP(C1168,$C$9:G1167,5,FALSE),"")</f>
        <v/>
      </c>
      <c r="H1168" s="61" t="str">
        <f>IFERROR(VLOOKUP(C1168,$C$9:H1167,6,FALSE),"")</f>
        <v/>
      </c>
      <c r="N1168" s="46" t="e">
        <f t="shared" si="56"/>
        <v>#DIV/0!</v>
      </c>
      <c r="O1168" s="46" t="str">
        <f t="shared" si="57"/>
        <v/>
      </c>
      <c r="P1168" s="46">
        <f t="shared" si="58"/>
        <v>1</v>
      </c>
    </row>
    <row r="1169" spans="1:16" ht="14.25">
      <c r="A1169" s="80"/>
      <c r="B1169" s="80"/>
      <c r="C1169" s="80"/>
      <c r="D1169" s="80"/>
      <c r="E1169" s="76" t="str">
        <f>IFERROR(VLOOKUP(C1169,$C$9:E1168,3,0),"")</f>
        <v/>
      </c>
      <c r="F1169" s="57" t="str">
        <f>IFERROR(VLOOKUP(C1169,$C$9:H1168,4,FALSE),"")</f>
        <v/>
      </c>
      <c r="G1169" s="61" t="str">
        <f>IFERROR(VLOOKUP(C1169,$C$9:G1168,5,FALSE),"")</f>
        <v/>
      </c>
      <c r="H1169" s="61" t="str">
        <f>IFERROR(VLOOKUP(C1169,$C$9:H1168,6,FALSE),"")</f>
        <v/>
      </c>
      <c r="N1169" s="46" t="e">
        <f t="shared" si="56"/>
        <v>#DIV/0!</v>
      </c>
      <c r="O1169" s="46" t="str">
        <f t="shared" si="57"/>
        <v/>
      </c>
      <c r="P1169" s="46">
        <f t="shared" si="58"/>
        <v>1</v>
      </c>
    </row>
    <row r="1170" spans="1:16" ht="14.25">
      <c r="A1170" s="80"/>
      <c r="B1170" s="80"/>
      <c r="C1170" s="80"/>
      <c r="D1170" s="80"/>
      <c r="E1170" s="76" t="str">
        <f>IFERROR(VLOOKUP(C1170,$C$9:E1169,3,0),"")</f>
        <v/>
      </c>
      <c r="F1170" s="57" t="str">
        <f>IFERROR(VLOOKUP(C1170,$C$9:H1169,4,FALSE),"")</f>
        <v/>
      </c>
      <c r="G1170" s="61" t="str">
        <f>IFERROR(VLOOKUP(C1170,$C$9:G1169,5,FALSE),"")</f>
        <v/>
      </c>
      <c r="H1170" s="61" t="str">
        <f>IFERROR(VLOOKUP(C1170,$C$9:H1169,6,FALSE),"")</f>
        <v/>
      </c>
      <c r="N1170" s="46" t="e">
        <f t="shared" si="56"/>
        <v>#DIV/0!</v>
      </c>
      <c r="O1170" s="46" t="str">
        <f t="shared" si="57"/>
        <v/>
      </c>
      <c r="P1170" s="46">
        <f t="shared" si="58"/>
        <v>1</v>
      </c>
    </row>
    <row r="1171" spans="1:16" ht="14.25">
      <c r="A1171" s="80"/>
      <c r="B1171" s="80"/>
      <c r="C1171" s="80"/>
      <c r="D1171" s="80"/>
      <c r="E1171" s="76" t="str">
        <f>IFERROR(VLOOKUP(C1171,$C$9:E1170,3,0),"")</f>
        <v/>
      </c>
      <c r="F1171" s="57" t="str">
        <f>IFERROR(VLOOKUP(C1171,$C$9:H1170,4,FALSE),"")</f>
        <v/>
      </c>
      <c r="G1171" s="61" t="str">
        <f>IFERROR(VLOOKUP(C1171,$C$9:G1170,5,FALSE),"")</f>
        <v/>
      </c>
      <c r="H1171" s="61" t="str">
        <f>IFERROR(VLOOKUP(C1171,$C$9:H1170,6,FALSE),"")</f>
        <v/>
      </c>
      <c r="N1171" s="46" t="e">
        <f t="shared" si="56"/>
        <v>#DIV/0!</v>
      </c>
      <c r="O1171" s="46" t="str">
        <f t="shared" si="57"/>
        <v/>
      </c>
      <c r="P1171" s="46">
        <f t="shared" si="58"/>
        <v>1</v>
      </c>
    </row>
    <row r="1172" spans="1:16" ht="14.25">
      <c r="A1172" s="80"/>
      <c r="B1172" s="80"/>
      <c r="C1172" s="80"/>
      <c r="D1172" s="80"/>
      <c r="E1172" s="76" t="str">
        <f>IFERROR(VLOOKUP(C1172,$C$9:E1171,3,0),"")</f>
        <v/>
      </c>
      <c r="F1172" s="57" t="str">
        <f>IFERROR(VLOOKUP(C1172,$C$9:H1171,4,FALSE),"")</f>
        <v/>
      </c>
      <c r="G1172" s="61" t="str">
        <f>IFERROR(VLOOKUP(C1172,$C$9:G1171,5,FALSE),"")</f>
        <v/>
      </c>
      <c r="H1172" s="61" t="str">
        <f>IFERROR(VLOOKUP(C1172,$C$9:H1171,6,FALSE),"")</f>
        <v/>
      </c>
      <c r="N1172" s="46" t="e">
        <f t="shared" si="56"/>
        <v>#DIV/0!</v>
      </c>
      <c r="O1172" s="46" t="str">
        <f t="shared" si="57"/>
        <v/>
      </c>
      <c r="P1172" s="46">
        <f t="shared" si="58"/>
        <v>1</v>
      </c>
    </row>
    <row r="1173" spans="1:16" ht="14.25">
      <c r="A1173" s="80"/>
      <c r="B1173" s="80"/>
      <c r="C1173" s="80"/>
      <c r="D1173" s="80"/>
      <c r="E1173" s="76" t="str">
        <f>IFERROR(VLOOKUP(C1173,$C$9:E1172,3,0),"")</f>
        <v/>
      </c>
      <c r="F1173" s="57" t="str">
        <f>IFERROR(VLOOKUP(C1173,$C$9:H1172,4,FALSE),"")</f>
        <v/>
      </c>
      <c r="G1173" s="61" t="str">
        <f>IFERROR(VLOOKUP(C1173,$C$9:G1172,5,FALSE),"")</f>
        <v/>
      </c>
      <c r="H1173" s="61" t="str">
        <f>IFERROR(VLOOKUP(C1173,$C$9:H1172,6,FALSE),"")</f>
        <v/>
      </c>
      <c r="N1173" s="46" t="e">
        <f t="shared" si="56"/>
        <v>#DIV/0!</v>
      </c>
      <c r="O1173" s="46" t="str">
        <f t="shared" si="57"/>
        <v/>
      </c>
      <c r="P1173" s="46">
        <f t="shared" si="58"/>
        <v>1</v>
      </c>
    </row>
    <row r="1174" spans="1:16" ht="14.25">
      <c r="A1174" s="80"/>
      <c r="B1174" s="80"/>
      <c r="C1174" s="80"/>
      <c r="D1174" s="80"/>
      <c r="E1174" s="76" t="str">
        <f>IFERROR(VLOOKUP(C1174,$C$9:E1173,3,0),"")</f>
        <v/>
      </c>
      <c r="F1174" s="57" t="str">
        <f>IFERROR(VLOOKUP(C1174,$C$9:H1173,4,FALSE),"")</f>
        <v/>
      </c>
      <c r="G1174" s="61" t="str">
        <f>IFERROR(VLOOKUP(C1174,$C$9:G1173,5,FALSE),"")</f>
        <v/>
      </c>
      <c r="H1174" s="61" t="str">
        <f>IFERROR(VLOOKUP(C1174,$C$9:H1173,6,FALSE),"")</f>
        <v/>
      </c>
      <c r="N1174" s="46" t="e">
        <f t="shared" si="56"/>
        <v>#DIV/0!</v>
      </c>
      <c r="O1174" s="46" t="str">
        <f t="shared" si="57"/>
        <v/>
      </c>
      <c r="P1174" s="46">
        <f t="shared" si="58"/>
        <v>1</v>
      </c>
    </row>
    <row r="1175" spans="1:16" ht="14.25">
      <c r="A1175" s="80"/>
      <c r="B1175" s="80"/>
      <c r="C1175" s="80"/>
      <c r="D1175" s="80"/>
      <c r="E1175" s="76" t="str">
        <f>IFERROR(VLOOKUP(C1175,$C$9:E1174,3,0),"")</f>
        <v/>
      </c>
      <c r="F1175" s="57" t="str">
        <f>IFERROR(VLOOKUP(C1175,$C$9:H1174,4,FALSE),"")</f>
        <v/>
      </c>
      <c r="G1175" s="61" t="str">
        <f>IFERROR(VLOOKUP(C1175,$C$9:G1174,5,FALSE),"")</f>
        <v/>
      </c>
      <c r="H1175" s="61" t="str">
        <f>IFERROR(VLOOKUP(C1175,$C$9:H1174,6,FALSE),"")</f>
        <v/>
      </c>
      <c r="N1175" s="46" t="e">
        <f t="shared" si="56"/>
        <v>#DIV/0!</v>
      </c>
      <c r="O1175" s="46" t="str">
        <f t="shared" si="57"/>
        <v/>
      </c>
      <c r="P1175" s="46">
        <f t="shared" si="58"/>
        <v>1</v>
      </c>
    </row>
    <row r="1176" spans="1:16" ht="14.25">
      <c r="A1176" s="80"/>
      <c r="B1176" s="80"/>
      <c r="C1176" s="80"/>
      <c r="D1176" s="80"/>
      <c r="E1176" s="76" t="str">
        <f>IFERROR(VLOOKUP(C1176,$C$9:E1175,3,0),"")</f>
        <v/>
      </c>
      <c r="F1176" s="57" t="str">
        <f>IFERROR(VLOOKUP(C1176,$C$9:H1175,4,FALSE),"")</f>
        <v/>
      </c>
      <c r="G1176" s="61" t="str">
        <f>IFERROR(VLOOKUP(C1176,$C$9:G1175,5,FALSE),"")</f>
        <v/>
      </c>
      <c r="H1176" s="61" t="str">
        <f>IFERROR(VLOOKUP(C1176,$C$9:H1175,6,FALSE),"")</f>
        <v/>
      </c>
      <c r="N1176" s="46" t="e">
        <f t="shared" si="56"/>
        <v>#DIV/0!</v>
      </c>
      <c r="O1176" s="46" t="str">
        <f t="shared" si="57"/>
        <v/>
      </c>
      <c r="P1176" s="46">
        <f t="shared" si="58"/>
        <v>1</v>
      </c>
    </row>
    <row r="1177" spans="1:16" ht="14.25">
      <c r="A1177" s="80"/>
      <c r="B1177" s="80"/>
      <c r="C1177" s="80"/>
      <c r="D1177" s="80"/>
      <c r="E1177" s="76" t="str">
        <f>IFERROR(VLOOKUP(C1177,$C$9:E1176,3,0),"")</f>
        <v/>
      </c>
      <c r="F1177" s="57" t="str">
        <f>IFERROR(VLOOKUP(C1177,$C$9:H1176,4,FALSE),"")</f>
        <v/>
      </c>
      <c r="G1177" s="61" t="str">
        <f>IFERROR(VLOOKUP(C1177,$C$9:G1176,5,FALSE),"")</f>
        <v/>
      </c>
      <c r="H1177" s="61" t="str">
        <f>IFERROR(VLOOKUP(C1177,$C$9:H1176,6,FALSE),"")</f>
        <v/>
      </c>
      <c r="N1177" s="46" t="e">
        <f t="shared" si="56"/>
        <v>#DIV/0!</v>
      </c>
      <c r="O1177" s="46" t="str">
        <f t="shared" si="57"/>
        <v/>
      </c>
      <c r="P1177" s="46">
        <f t="shared" si="58"/>
        <v>1</v>
      </c>
    </row>
    <row r="1178" spans="1:16" ht="14.25">
      <c r="A1178" s="80"/>
      <c r="B1178" s="80"/>
      <c r="C1178" s="80"/>
      <c r="D1178" s="80"/>
      <c r="E1178" s="76" t="str">
        <f>IFERROR(VLOOKUP(C1178,$C$9:E1177,3,0),"")</f>
        <v/>
      </c>
      <c r="F1178" s="57" t="str">
        <f>IFERROR(VLOOKUP(C1178,$C$9:H1177,4,FALSE),"")</f>
        <v/>
      </c>
      <c r="G1178" s="61" t="str">
        <f>IFERROR(VLOOKUP(C1178,$C$9:G1177,5,FALSE),"")</f>
        <v/>
      </c>
      <c r="H1178" s="61" t="str">
        <f>IFERROR(VLOOKUP(C1178,$C$9:H1177,6,FALSE),"")</f>
        <v/>
      </c>
      <c r="N1178" s="46" t="e">
        <f t="shared" si="56"/>
        <v>#DIV/0!</v>
      </c>
      <c r="O1178" s="46" t="str">
        <f t="shared" si="57"/>
        <v/>
      </c>
      <c r="P1178" s="46">
        <f t="shared" si="58"/>
        <v>1</v>
      </c>
    </row>
    <row r="1179" spans="1:16" ht="14.25">
      <c r="A1179" s="80"/>
      <c r="B1179" s="80"/>
      <c r="C1179" s="80"/>
      <c r="D1179" s="80"/>
      <c r="E1179" s="76" t="str">
        <f>IFERROR(VLOOKUP(C1179,$C$9:E1178,3,0),"")</f>
        <v/>
      </c>
      <c r="F1179" s="57" t="str">
        <f>IFERROR(VLOOKUP(C1179,$C$9:H1178,4,FALSE),"")</f>
        <v/>
      </c>
      <c r="G1179" s="61" t="str">
        <f>IFERROR(VLOOKUP(C1179,$C$9:G1178,5,FALSE),"")</f>
        <v/>
      </c>
      <c r="H1179" s="61" t="str">
        <f>IFERROR(VLOOKUP(C1179,$C$9:H1178,6,FALSE),"")</f>
        <v/>
      </c>
      <c r="N1179" s="46" t="e">
        <f t="shared" si="56"/>
        <v>#DIV/0!</v>
      </c>
      <c r="O1179" s="46" t="str">
        <f t="shared" si="57"/>
        <v/>
      </c>
      <c r="P1179" s="46">
        <f t="shared" si="58"/>
        <v>1</v>
      </c>
    </row>
    <row r="1180" spans="1:16" ht="14.25">
      <c r="A1180" s="80"/>
      <c r="B1180" s="80"/>
      <c r="C1180" s="80"/>
      <c r="D1180" s="80"/>
      <c r="E1180" s="76" t="str">
        <f>IFERROR(VLOOKUP(C1180,$C$9:E1179,3,0),"")</f>
        <v/>
      </c>
      <c r="F1180" s="57" t="str">
        <f>IFERROR(VLOOKUP(C1180,$C$9:H1179,4,FALSE),"")</f>
        <v/>
      </c>
      <c r="G1180" s="61" t="str">
        <f>IFERROR(VLOOKUP(C1180,$C$9:G1179,5,FALSE),"")</f>
        <v/>
      </c>
      <c r="H1180" s="61" t="str">
        <f>IFERROR(VLOOKUP(C1180,$C$9:H1179,6,FALSE),"")</f>
        <v/>
      </c>
      <c r="N1180" s="46" t="e">
        <f t="shared" si="56"/>
        <v>#DIV/0!</v>
      </c>
      <c r="O1180" s="46" t="str">
        <f t="shared" si="57"/>
        <v/>
      </c>
      <c r="P1180" s="46">
        <f t="shared" si="58"/>
        <v>1</v>
      </c>
    </row>
    <row r="1181" spans="1:16" ht="14.25">
      <c r="A1181" s="80"/>
      <c r="B1181" s="80"/>
      <c r="C1181" s="80"/>
      <c r="D1181" s="80"/>
      <c r="E1181" s="76" t="str">
        <f>IFERROR(VLOOKUP(C1181,$C$9:E1180,3,0),"")</f>
        <v/>
      </c>
      <c r="F1181" s="57" t="str">
        <f>IFERROR(VLOOKUP(C1181,$C$9:H1180,4,FALSE),"")</f>
        <v/>
      </c>
      <c r="G1181" s="61" t="str">
        <f>IFERROR(VLOOKUP(C1181,$C$9:G1180,5,FALSE),"")</f>
        <v/>
      </c>
      <c r="H1181" s="61" t="str">
        <f>IFERROR(VLOOKUP(C1181,$C$9:H1180,6,FALSE),"")</f>
        <v/>
      </c>
      <c r="N1181" s="46" t="e">
        <f t="shared" si="56"/>
        <v>#DIV/0!</v>
      </c>
      <c r="O1181" s="46" t="str">
        <f t="shared" si="57"/>
        <v/>
      </c>
      <c r="P1181" s="46">
        <f t="shared" si="58"/>
        <v>1</v>
      </c>
    </row>
    <row r="1182" spans="1:16" ht="14.25">
      <c r="A1182" s="80"/>
      <c r="B1182" s="80"/>
      <c r="C1182" s="80"/>
      <c r="D1182" s="80"/>
      <c r="E1182" s="76" t="str">
        <f>IFERROR(VLOOKUP(C1182,$C$9:E1181,3,0),"")</f>
        <v/>
      </c>
      <c r="F1182" s="57" t="str">
        <f>IFERROR(VLOOKUP(C1182,$C$9:H1181,4,FALSE),"")</f>
        <v/>
      </c>
      <c r="G1182" s="61" t="str">
        <f>IFERROR(VLOOKUP(C1182,$C$9:G1181,5,FALSE),"")</f>
        <v/>
      </c>
      <c r="H1182" s="61" t="str">
        <f>IFERROR(VLOOKUP(C1182,$C$9:H1181,6,FALSE),"")</f>
        <v/>
      </c>
      <c r="N1182" s="46" t="e">
        <f t="shared" si="56"/>
        <v>#DIV/0!</v>
      </c>
      <c r="O1182" s="46" t="str">
        <f t="shared" si="57"/>
        <v/>
      </c>
      <c r="P1182" s="46">
        <f t="shared" si="58"/>
        <v>1</v>
      </c>
    </row>
    <row r="1183" spans="1:16" ht="14.25">
      <c r="A1183" s="80"/>
      <c r="B1183" s="80"/>
      <c r="C1183" s="80"/>
      <c r="D1183" s="80"/>
      <c r="E1183" s="76" t="str">
        <f>IFERROR(VLOOKUP(C1183,$C$9:E1182,3,0),"")</f>
        <v/>
      </c>
      <c r="F1183" s="57" t="str">
        <f>IFERROR(VLOOKUP(C1183,$C$9:H1182,4,FALSE),"")</f>
        <v/>
      </c>
      <c r="G1183" s="61" t="str">
        <f>IFERROR(VLOOKUP(C1183,$C$9:G1182,5,FALSE),"")</f>
        <v/>
      </c>
      <c r="H1183" s="61" t="str">
        <f>IFERROR(VLOOKUP(C1183,$C$9:H1182,6,FALSE),"")</f>
        <v/>
      </c>
      <c r="N1183" s="46" t="e">
        <f t="shared" si="56"/>
        <v>#DIV/0!</v>
      </c>
      <c r="O1183" s="46" t="str">
        <f t="shared" si="57"/>
        <v/>
      </c>
      <c r="P1183" s="46">
        <f t="shared" si="58"/>
        <v>1</v>
      </c>
    </row>
    <row r="1184" spans="1:16" ht="14.25">
      <c r="A1184" s="80"/>
      <c r="B1184" s="80"/>
      <c r="C1184" s="80"/>
      <c r="D1184" s="80"/>
      <c r="E1184" s="76" t="str">
        <f>IFERROR(VLOOKUP(C1184,$C$9:E1183,3,0),"")</f>
        <v/>
      </c>
      <c r="F1184" s="57" t="str">
        <f>IFERROR(VLOOKUP(C1184,$C$9:H1183,4,FALSE),"")</f>
        <v/>
      </c>
      <c r="G1184" s="61" t="str">
        <f>IFERROR(VLOOKUP(C1184,$C$9:G1183,5,FALSE),"")</f>
        <v/>
      </c>
      <c r="H1184" s="61" t="str">
        <f>IFERROR(VLOOKUP(C1184,$C$9:H1183,6,FALSE),"")</f>
        <v/>
      </c>
      <c r="N1184" s="46" t="e">
        <f t="shared" si="56"/>
        <v>#DIV/0!</v>
      </c>
      <c r="O1184" s="46" t="str">
        <f t="shared" si="57"/>
        <v/>
      </c>
      <c r="P1184" s="46">
        <f t="shared" si="58"/>
        <v>1</v>
      </c>
    </row>
    <row r="1185" spans="1:16" ht="14.25">
      <c r="A1185" s="80"/>
      <c r="B1185" s="80"/>
      <c r="C1185" s="80"/>
      <c r="D1185" s="80"/>
      <c r="E1185" s="76" t="str">
        <f>IFERROR(VLOOKUP(C1185,$C$9:E1184,3,0),"")</f>
        <v/>
      </c>
      <c r="F1185" s="57" t="str">
        <f>IFERROR(VLOOKUP(C1185,$C$9:H1184,4,FALSE),"")</f>
        <v/>
      </c>
      <c r="G1185" s="61" t="str">
        <f>IFERROR(VLOOKUP(C1185,$C$9:G1184,5,FALSE),"")</f>
        <v/>
      </c>
      <c r="H1185" s="61" t="str">
        <f>IFERROR(VLOOKUP(C1185,$C$9:H1184,6,FALSE),"")</f>
        <v/>
      </c>
      <c r="N1185" s="46" t="e">
        <f t="shared" si="56"/>
        <v>#DIV/0!</v>
      </c>
      <c r="O1185" s="46" t="str">
        <f t="shared" si="57"/>
        <v/>
      </c>
      <c r="P1185" s="46">
        <f t="shared" si="58"/>
        <v>1</v>
      </c>
    </row>
    <row r="1186" spans="1:16" ht="14.25">
      <c r="A1186" s="80"/>
      <c r="B1186" s="80"/>
      <c r="C1186" s="80"/>
      <c r="D1186" s="80"/>
      <c r="E1186" s="76" t="str">
        <f>IFERROR(VLOOKUP(C1186,$C$9:E1185,3,0),"")</f>
        <v/>
      </c>
      <c r="F1186" s="57" t="str">
        <f>IFERROR(VLOOKUP(C1186,$C$9:H1185,4,FALSE),"")</f>
        <v/>
      </c>
      <c r="G1186" s="61" t="str">
        <f>IFERROR(VLOOKUP(C1186,$C$9:G1185,5,FALSE),"")</f>
        <v/>
      </c>
      <c r="H1186" s="61" t="str">
        <f>IFERROR(VLOOKUP(C1186,$C$9:H1185,6,FALSE),"")</f>
        <v/>
      </c>
      <c r="N1186" s="46" t="e">
        <f t="shared" si="56"/>
        <v>#DIV/0!</v>
      </c>
      <c r="O1186" s="46" t="str">
        <f t="shared" si="57"/>
        <v/>
      </c>
      <c r="P1186" s="46">
        <f t="shared" si="58"/>
        <v>1</v>
      </c>
    </row>
    <row r="1187" spans="1:16" ht="14.25">
      <c r="A1187" s="80"/>
      <c r="B1187" s="80"/>
      <c r="C1187" s="80"/>
      <c r="D1187" s="80"/>
      <c r="E1187" s="76" t="str">
        <f>IFERROR(VLOOKUP(C1187,$C$9:E1186,3,0),"")</f>
        <v/>
      </c>
      <c r="F1187" s="57" t="str">
        <f>IFERROR(VLOOKUP(C1187,$C$9:H1186,4,FALSE),"")</f>
        <v/>
      </c>
      <c r="G1187" s="61" t="str">
        <f>IFERROR(VLOOKUP(C1187,$C$9:G1186,5,FALSE),"")</f>
        <v/>
      </c>
      <c r="H1187" s="61" t="str">
        <f>IFERROR(VLOOKUP(C1187,$C$9:H1186,6,FALSE),"")</f>
        <v/>
      </c>
      <c r="N1187" s="46" t="e">
        <f t="shared" si="56"/>
        <v>#DIV/0!</v>
      </c>
      <c r="O1187" s="46" t="str">
        <f t="shared" si="57"/>
        <v/>
      </c>
      <c r="P1187" s="46">
        <f t="shared" si="58"/>
        <v>1</v>
      </c>
    </row>
    <row r="1188" spans="1:16" ht="14.25">
      <c r="A1188" s="80"/>
      <c r="B1188" s="80"/>
      <c r="C1188" s="80"/>
      <c r="D1188" s="80"/>
      <c r="E1188" s="76" t="str">
        <f>IFERROR(VLOOKUP(C1188,$C$9:E1187,3,0),"")</f>
        <v/>
      </c>
      <c r="F1188" s="57" t="str">
        <f>IFERROR(VLOOKUP(C1188,$C$9:H1187,4,FALSE),"")</f>
        <v/>
      </c>
      <c r="G1188" s="61" t="str">
        <f>IFERROR(VLOOKUP(C1188,$C$9:G1187,5,FALSE),"")</f>
        <v/>
      </c>
      <c r="H1188" s="61" t="str">
        <f>IFERROR(VLOOKUP(C1188,$C$9:H1187,6,FALSE),"")</f>
        <v/>
      </c>
      <c r="N1188" s="46" t="e">
        <f t="shared" si="56"/>
        <v>#DIV/0!</v>
      </c>
      <c r="O1188" s="46" t="str">
        <f t="shared" si="57"/>
        <v/>
      </c>
      <c r="P1188" s="46">
        <f t="shared" si="58"/>
        <v>1</v>
      </c>
    </row>
    <row r="1189" spans="1:16" ht="14.25">
      <c r="A1189" s="80"/>
      <c r="B1189" s="80"/>
      <c r="C1189" s="80"/>
      <c r="D1189" s="80"/>
      <c r="E1189" s="76" t="str">
        <f>IFERROR(VLOOKUP(C1189,$C$9:E1188,3,0),"")</f>
        <v/>
      </c>
      <c r="F1189" s="57" t="str">
        <f>IFERROR(VLOOKUP(C1189,$C$9:H1188,4,FALSE),"")</f>
        <v/>
      </c>
      <c r="G1189" s="61" t="str">
        <f>IFERROR(VLOOKUP(C1189,$C$9:G1188,5,FALSE),"")</f>
        <v/>
      </c>
      <c r="H1189" s="61" t="str">
        <f>IFERROR(VLOOKUP(C1189,$C$9:H1188,6,FALSE),"")</f>
        <v/>
      </c>
      <c r="N1189" s="46" t="e">
        <f t="shared" si="56"/>
        <v>#DIV/0!</v>
      </c>
      <c r="O1189" s="46" t="str">
        <f t="shared" si="57"/>
        <v/>
      </c>
      <c r="P1189" s="46">
        <f t="shared" si="58"/>
        <v>1</v>
      </c>
    </row>
    <row r="1190" spans="1:16" ht="14.25">
      <c r="A1190" s="80"/>
      <c r="B1190" s="80"/>
      <c r="C1190" s="80"/>
      <c r="D1190" s="80"/>
      <c r="E1190" s="76" t="str">
        <f>IFERROR(VLOOKUP(C1190,$C$9:E1189,3,0),"")</f>
        <v/>
      </c>
      <c r="F1190" s="57" t="str">
        <f>IFERROR(VLOOKUP(C1190,$C$9:H1189,4,FALSE),"")</f>
        <v/>
      </c>
      <c r="G1190" s="61" t="str">
        <f>IFERROR(VLOOKUP(C1190,$C$9:G1189,5,FALSE),"")</f>
        <v/>
      </c>
      <c r="H1190" s="61" t="str">
        <f>IFERROR(VLOOKUP(C1190,$C$9:H1189,6,FALSE),"")</f>
        <v/>
      </c>
      <c r="N1190" s="46" t="e">
        <f t="shared" si="56"/>
        <v>#DIV/0!</v>
      </c>
      <c r="O1190" s="46" t="str">
        <f t="shared" si="57"/>
        <v/>
      </c>
      <c r="P1190" s="46">
        <f t="shared" si="58"/>
        <v>1</v>
      </c>
    </row>
    <row r="1191" spans="1:16" ht="14.25">
      <c r="A1191" s="80"/>
      <c r="B1191" s="80"/>
      <c r="C1191" s="80"/>
      <c r="D1191" s="80"/>
      <c r="E1191" s="76" t="str">
        <f>IFERROR(VLOOKUP(C1191,$C$9:E1190,3,0),"")</f>
        <v/>
      </c>
      <c r="F1191" s="57" t="str">
        <f>IFERROR(VLOOKUP(C1191,$C$9:H1190,4,FALSE),"")</f>
        <v/>
      </c>
      <c r="G1191" s="61" t="str">
        <f>IFERROR(VLOOKUP(C1191,$C$9:G1190,5,FALSE),"")</f>
        <v/>
      </c>
      <c r="H1191" s="61" t="str">
        <f>IFERROR(VLOOKUP(C1191,$C$9:H1190,6,FALSE),"")</f>
        <v/>
      </c>
      <c r="N1191" s="46" t="e">
        <f t="shared" si="56"/>
        <v>#DIV/0!</v>
      </c>
      <c r="O1191" s="46" t="str">
        <f t="shared" si="57"/>
        <v/>
      </c>
      <c r="P1191" s="46">
        <f t="shared" si="58"/>
        <v>1</v>
      </c>
    </row>
    <row r="1192" spans="1:16" ht="14.25">
      <c r="A1192" s="80"/>
      <c r="B1192" s="80"/>
      <c r="C1192" s="80"/>
      <c r="D1192" s="80"/>
      <c r="E1192" s="76" t="str">
        <f>IFERROR(VLOOKUP(C1192,$C$9:E1191,3,0),"")</f>
        <v/>
      </c>
      <c r="F1192" s="57" t="str">
        <f>IFERROR(VLOOKUP(C1192,$C$9:H1191,4,FALSE),"")</f>
        <v/>
      </c>
      <c r="G1192" s="61" t="str">
        <f>IFERROR(VLOOKUP(C1192,$C$9:G1191,5,FALSE),"")</f>
        <v/>
      </c>
      <c r="H1192" s="61" t="str">
        <f>IFERROR(VLOOKUP(C1192,$C$9:H1191,6,FALSE),"")</f>
        <v/>
      </c>
      <c r="N1192" s="46" t="e">
        <f t="shared" si="56"/>
        <v>#DIV/0!</v>
      </c>
      <c r="O1192" s="46" t="str">
        <f t="shared" si="57"/>
        <v/>
      </c>
      <c r="P1192" s="46">
        <f t="shared" si="58"/>
        <v>1</v>
      </c>
    </row>
    <row r="1193" spans="1:16" ht="14.25">
      <c r="A1193" s="80"/>
      <c r="B1193" s="80"/>
      <c r="C1193" s="80"/>
      <c r="D1193" s="80"/>
      <c r="E1193" s="76" t="str">
        <f>IFERROR(VLOOKUP(C1193,$C$9:E1192,3,0),"")</f>
        <v/>
      </c>
      <c r="F1193" s="57" t="str">
        <f>IFERROR(VLOOKUP(C1193,$C$9:H1192,4,FALSE),"")</f>
        <v/>
      </c>
      <c r="G1193" s="61" t="str">
        <f>IFERROR(VLOOKUP(C1193,$C$9:G1192,5,FALSE),"")</f>
        <v/>
      </c>
      <c r="H1193" s="61" t="str">
        <f>IFERROR(VLOOKUP(C1193,$C$9:H1192,6,FALSE),"")</f>
        <v/>
      </c>
      <c r="N1193" s="46" t="e">
        <f t="shared" si="56"/>
        <v>#DIV/0!</v>
      </c>
      <c r="O1193" s="46" t="str">
        <f t="shared" si="57"/>
        <v/>
      </c>
      <c r="P1193" s="46">
        <f t="shared" si="58"/>
        <v>1</v>
      </c>
    </row>
    <row r="1194" spans="1:16" ht="14.25">
      <c r="A1194" s="80"/>
      <c r="B1194" s="80"/>
      <c r="C1194" s="80"/>
      <c r="D1194" s="80"/>
      <c r="E1194" s="76" t="str">
        <f>IFERROR(VLOOKUP(C1194,$C$9:E1193,3,0),"")</f>
        <v/>
      </c>
      <c r="F1194" s="57" t="str">
        <f>IFERROR(VLOOKUP(C1194,$C$9:H1193,4,FALSE),"")</f>
        <v/>
      </c>
      <c r="G1194" s="61" t="str">
        <f>IFERROR(VLOOKUP(C1194,$C$9:G1193,5,FALSE),"")</f>
        <v/>
      </c>
      <c r="H1194" s="61" t="str">
        <f>IFERROR(VLOOKUP(C1194,$C$9:H1193,6,FALSE),"")</f>
        <v/>
      </c>
      <c r="N1194" s="46" t="e">
        <f t="shared" si="56"/>
        <v>#DIV/0!</v>
      </c>
      <c r="O1194" s="46" t="str">
        <f t="shared" si="57"/>
        <v/>
      </c>
      <c r="P1194" s="46">
        <f t="shared" si="58"/>
        <v>1</v>
      </c>
    </row>
    <row r="1195" spans="1:16" ht="14.25">
      <c r="A1195" s="80"/>
      <c r="B1195" s="80"/>
      <c r="C1195" s="80"/>
      <c r="D1195" s="80"/>
      <c r="E1195" s="76" t="str">
        <f>IFERROR(VLOOKUP(C1195,$C$9:E1194,3,0),"")</f>
        <v/>
      </c>
      <c r="F1195" s="57" t="str">
        <f>IFERROR(VLOOKUP(C1195,$C$9:H1194,4,FALSE),"")</f>
        <v/>
      </c>
      <c r="G1195" s="61" t="str">
        <f>IFERROR(VLOOKUP(C1195,$C$9:G1194,5,FALSE),"")</f>
        <v/>
      </c>
      <c r="H1195" s="61" t="str">
        <f>IFERROR(VLOOKUP(C1195,$C$9:H1194,6,FALSE),"")</f>
        <v/>
      </c>
      <c r="N1195" s="46" t="e">
        <f t="shared" si="56"/>
        <v>#DIV/0!</v>
      </c>
      <c r="O1195" s="46" t="str">
        <f t="shared" si="57"/>
        <v/>
      </c>
      <c r="P1195" s="46">
        <f t="shared" si="58"/>
        <v>1</v>
      </c>
    </row>
    <row r="1196" spans="1:16" ht="14.25">
      <c r="A1196" s="80"/>
      <c r="B1196" s="80"/>
      <c r="C1196" s="80"/>
      <c r="D1196" s="80"/>
      <c r="E1196" s="76" t="str">
        <f>IFERROR(VLOOKUP(C1196,$C$9:E1195,3,0),"")</f>
        <v/>
      </c>
      <c r="F1196" s="57" t="str">
        <f>IFERROR(VLOOKUP(C1196,$C$9:H1195,4,FALSE),"")</f>
        <v/>
      </c>
      <c r="G1196" s="61" t="str">
        <f>IFERROR(VLOOKUP(C1196,$C$9:G1195,5,FALSE),"")</f>
        <v/>
      </c>
      <c r="H1196" s="61" t="str">
        <f>IFERROR(VLOOKUP(C1196,$C$9:H1195,6,FALSE),"")</f>
        <v/>
      </c>
      <c r="N1196" s="46" t="e">
        <f t="shared" si="56"/>
        <v>#DIV/0!</v>
      </c>
      <c r="O1196" s="46" t="str">
        <f t="shared" si="57"/>
        <v/>
      </c>
      <c r="P1196" s="46">
        <f t="shared" si="58"/>
        <v>1</v>
      </c>
    </row>
    <row r="1197" spans="1:16" ht="14.25">
      <c r="A1197" s="80"/>
      <c r="B1197" s="80"/>
      <c r="C1197" s="80"/>
      <c r="D1197" s="80"/>
      <c r="E1197" s="76" t="str">
        <f>IFERROR(VLOOKUP(C1197,$C$9:E1196,3,0),"")</f>
        <v/>
      </c>
      <c r="F1197" s="57" t="str">
        <f>IFERROR(VLOOKUP(C1197,$C$9:H1196,4,FALSE),"")</f>
        <v/>
      </c>
      <c r="G1197" s="61" t="str">
        <f>IFERROR(VLOOKUP(C1197,$C$9:G1196,5,FALSE),"")</f>
        <v/>
      </c>
      <c r="H1197" s="61" t="str">
        <f>IFERROR(VLOOKUP(C1197,$C$9:H1196,6,FALSE),"")</f>
        <v/>
      </c>
      <c r="N1197" s="46" t="e">
        <f t="shared" si="56"/>
        <v>#DIV/0!</v>
      </c>
      <c r="O1197" s="46" t="str">
        <f t="shared" si="57"/>
        <v/>
      </c>
      <c r="P1197" s="46">
        <f t="shared" si="58"/>
        <v>1</v>
      </c>
    </row>
    <row r="1198" spans="1:16" ht="14.25">
      <c r="A1198" s="80"/>
      <c r="B1198" s="80"/>
      <c r="C1198" s="80"/>
      <c r="D1198" s="80"/>
      <c r="E1198" s="76" t="str">
        <f>IFERROR(VLOOKUP(C1198,$C$9:E1197,3,0),"")</f>
        <v/>
      </c>
      <c r="F1198" s="57" t="str">
        <f>IFERROR(VLOOKUP(C1198,$C$9:H1197,4,FALSE),"")</f>
        <v/>
      </c>
      <c r="G1198" s="61" t="str">
        <f>IFERROR(VLOOKUP(C1198,$C$9:G1197,5,FALSE),"")</f>
        <v/>
      </c>
      <c r="H1198" s="61" t="str">
        <f>IFERROR(VLOOKUP(C1198,$C$9:H1197,6,FALSE),"")</f>
        <v/>
      </c>
      <c r="N1198" s="46" t="e">
        <f t="shared" si="56"/>
        <v>#DIV/0!</v>
      </c>
      <c r="O1198" s="46" t="str">
        <f t="shared" si="57"/>
        <v/>
      </c>
      <c r="P1198" s="46">
        <f t="shared" si="58"/>
        <v>1</v>
      </c>
    </row>
    <row r="1199" spans="1:16" ht="14.25">
      <c r="A1199" s="80"/>
      <c r="B1199" s="80"/>
      <c r="C1199" s="80"/>
      <c r="D1199" s="80"/>
      <c r="E1199" s="76" t="str">
        <f>IFERROR(VLOOKUP(C1199,$C$9:E1198,3,0),"")</f>
        <v/>
      </c>
      <c r="F1199" s="57" t="str">
        <f>IFERROR(VLOOKUP(C1199,$C$9:H1198,4,FALSE),"")</f>
        <v/>
      </c>
      <c r="G1199" s="61" t="str">
        <f>IFERROR(VLOOKUP(C1199,$C$9:G1198,5,FALSE),"")</f>
        <v/>
      </c>
      <c r="H1199" s="61" t="str">
        <f>IFERROR(VLOOKUP(C1199,$C$9:H1198,6,FALSE),"")</f>
        <v/>
      </c>
      <c r="N1199" s="46" t="e">
        <f t="shared" si="56"/>
        <v>#DIV/0!</v>
      </c>
      <c r="O1199" s="46" t="str">
        <f t="shared" si="57"/>
        <v/>
      </c>
      <c r="P1199" s="46">
        <f t="shared" si="58"/>
        <v>1</v>
      </c>
    </row>
    <row r="1200" spans="1:16" ht="14.25">
      <c r="A1200" s="80"/>
      <c r="B1200" s="80"/>
      <c r="C1200" s="80"/>
      <c r="D1200" s="80"/>
      <c r="E1200" s="76" t="str">
        <f>IFERROR(VLOOKUP(C1200,$C$9:E1199,3,0),"")</f>
        <v/>
      </c>
      <c r="F1200" s="57" t="str">
        <f>IFERROR(VLOOKUP(C1200,$C$9:H1199,4,FALSE),"")</f>
        <v/>
      </c>
      <c r="G1200" s="61" t="str">
        <f>IFERROR(VLOOKUP(C1200,$C$9:G1199,5,FALSE),"")</f>
        <v/>
      </c>
      <c r="H1200" s="61" t="str">
        <f>IFERROR(VLOOKUP(C1200,$C$9:H1199,6,FALSE),"")</f>
        <v/>
      </c>
      <c r="N1200" s="46" t="e">
        <f t="shared" si="56"/>
        <v>#DIV/0!</v>
      </c>
      <c r="O1200" s="46" t="str">
        <f t="shared" si="57"/>
        <v/>
      </c>
      <c r="P1200" s="46">
        <f t="shared" si="58"/>
        <v>1</v>
      </c>
    </row>
    <row r="1201" spans="1:16" ht="14.25">
      <c r="A1201" s="80"/>
      <c r="B1201" s="80"/>
      <c r="C1201" s="80"/>
      <c r="D1201" s="80"/>
      <c r="E1201" s="76" t="str">
        <f>IFERROR(VLOOKUP(C1201,$C$9:E1200,3,0),"")</f>
        <v/>
      </c>
      <c r="F1201" s="57" t="str">
        <f>IFERROR(VLOOKUP(C1201,$C$9:H1200,4,FALSE),"")</f>
        <v/>
      </c>
      <c r="G1201" s="61" t="str">
        <f>IFERROR(VLOOKUP(C1201,$C$9:G1200,5,FALSE),"")</f>
        <v/>
      </c>
      <c r="H1201" s="61" t="str">
        <f>IFERROR(VLOOKUP(C1201,$C$9:H1200,6,FALSE),"")</f>
        <v/>
      </c>
      <c r="N1201" s="46" t="e">
        <f t="shared" si="56"/>
        <v>#DIV/0!</v>
      </c>
      <c r="O1201" s="46" t="str">
        <f t="shared" si="57"/>
        <v/>
      </c>
      <c r="P1201" s="46">
        <f t="shared" si="58"/>
        <v>1</v>
      </c>
    </row>
    <row r="1202" spans="1:16" ht="14.25">
      <c r="A1202" s="80"/>
      <c r="B1202" s="80"/>
      <c r="C1202" s="80"/>
      <c r="D1202" s="80"/>
      <c r="E1202" s="76" t="str">
        <f>IFERROR(VLOOKUP(C1202,$C$9:E1201,3,0),"")</f>
        <v/>
      </c>
      <c r="F1202" s="57" t="str">
        <f>IFERROR(VLOOKUP(C1202,$C$9:H1201,4,FALSE),"")</f>
        <v/>
      </c>
      <c r="G1202" s="61" t="str">
        <f>IFERROR(VLOOKUP(C1202,$C$9:G1201,5,FALSE),"")</f>
        <v/>
      </c>
      <c r="H1202" s="61" t="str">
        <f>IFERROR(VLOOKUP(C1202,$C$9:H1201,6,FALSE),"")</f>
        <v/>
      </c>
      <c r="N1202" s="46" t="e">
        <f t="shared" si="56"/>
        <v>#DIV/0!</v>
      </c>
      <c r="O1202" s="46" t="str">
        <f t="shared" si="57"/>
        <v/>
      </c>
      <c r="P1202" s="46">
        <f t="shared" si="58"/>
        <v>1</v>
      </c>
    </row>
    <row r="1203" spans="1:16" ht="14.25">
      <c r="A1203" s="80"/>
      <c r="B1203" s="80"/>
      <c r="C1203" s="80"/>
      <c r="D1203" s="80"/>
      <c r="E1203" s="76" t="str">
        <f>IFERROR(VLOOKUP(C1203,$C$9:E1202,3,0),"")</f>
        <v/>
      </c>
      <c r="F1203" s="57" t="str">
        <f>IFERROR(VLOOKUP(C1203,$C$9:H1202,4,FALSE),"")</f>
        <v/>
      </c>
      <c r="G1203" s="61" t="str">
        <f>IFERROR(VLOOKUP(C1203,$C$9:G1202,5,FALSE),"")</f>
        <v/>
      </c>
      <c r="H1203" s="61" t="str">
        <f>IFERROR(VLOOKUP(C1203,$C$9:H1202,6,FALSE),"")</f>
        <v/>
      </c>
      <c r="N1203" s="46" t="e">
        <f t="shared" si="56"/>
        <v>#DIV/0!</v>
      </c>
      <c r="O1203" s="46" t="str">
        <f t="shared" si="57"/>
        <v/>
      </c>
      <c r="P1203" s="46">
        <f t="shared" si="58"/>
        <v>1</v>
      </c>
    </row>
    <row r="1204" spans="1:16" ht="14.25">
      <c r="A1204" s="80"/>
      <c r="B1204" s="80"/>
      <c r="C1204" s="80"/>
      <c r="D1204" s="80"/>
      <c r="E1204" s="76" t="str">
        <f>IFERROR(VLOOKUP(C1204,$C$9:E1203,3,0),"")</f>
        <v/>
      </c>
      <c r="F1204" s="57" t="str">
        <f>IFERROR(VLOOKUP(C1204,$C$9:H1203,4,FALSE),"")</f>
        <v/>
      </c>
      <c r="G1204" s="61" t="str">
        <f>IFERROR(VLOOKUP(C1204,$C$9:G1203,5,FALSE),"")</f>
        <v/>
      </c>
      <c r="H1204" s="61" t="str">
        <f>IFERROR(VLOOKUP(C1204,$C$9:H1203,6,FALSE),"")</f>
        <v/>
      </c>
      <c r="N1204" s="46" t="e">
        <f t="shared" si="56"/>
        <v>#DIV/0!</v>
      </c>
      <c r="O1204" s="46" t="str">
        <f t="shared" si="57"/>
        <v/>
      </c>
      <c r="P1204" s="46">
        <f t="shared" si="58"/>
        <v>1</v>
      </c>
    </row>
    <row r="1205" spans="1:16" ht="14.25">
      <c r="A1205" s="80"/>
      <c r="B1205" s="80"/>
      <c r="C1205" s="80"/>
      <c r="D1205" s="80"/>
      <c r="E1205" s="76" t="str">
        <f>IFERROR(VLOOKUP(C1205,$C$9:E1204,3,0),"")</f>
        <v/>
      </c>
      <c r="F1205" s="57" t="str">
        <f>IFERROR(VLOOKUP(C1205,$C$9:H1204,4,FALSE),"")</f>
        <v/>
      </c>
      <c r="G1205" s="61" t="str">
        <f>IFERROR(VLOOKUP(C1205,$C$9:G1204,5,FALSE),"")</f>
        <v/>
      </c>
      <c r="H1205" s="61" t="str">
        <f>IFERROR(VLOOKUP(C1205,$C$9:H1204,6,FALSE),"")</f>
        <v/>
      </c>
      <c r="N1205" s="46" t="e">
        <f t="shared" si="56"/>
        <v>#DIV/0!</v>
      </c>
      <c r="O1205" s="46" t="str">
        <f t="shared" si="57"/>
        <v/>
      </c>
      <c r="P1205" s="46">
        <f t="shared" si="58"/>
        <v>1</v>
      </c>
    </row>
    <row r="1206" spans="1:16" ht="14.25">
      <c r="A1206" s="80"/>
      <c r="B1206" s="80"/>
      <c r="C1206" s="80"/>
      <c r="D1206" s="80"/>
      <c r="E1206" s="76" t="str">
        <f>IFERROR(VLOOKUP(C1206,$C$9:E1205,3,0),"")</f>
        <v/>
      </c>
      <c r="F1206" s="57" t="str">
        <f>IFERROR(VLOOKUP(C1206,$C$9:H1205,4,FALSE),"")</f>
        <v/>
      </c>
      <c r="G1206" s="61" t="str">
        <f>IFERROR(VLOOKUP(C1206,$C$9:G1205,5,FALSE),"")</f>
        <v/>
      </c>
      <c r="H1206" s="61" t="str">
        <f>IFERROR(VLOOKUP(C1206,$C$9:H1205,6,FALSE),"")</f>
        <v/>
      </c>
      <c r="N1206" s="46" t="e">
        <f t="shared" si="56"/>
        <v>#DIV/0!</v>
      </c>
      <c r="O1206" s="46" t="str">
        <f t="shared" si="57"/>
        <v/>
      </c>
      <c r="P1206" s="46">
        <f t="shared" si="58"/>
        <v>1</v>
      </c>
    </row>
    <row r="1207" spans="1:16" ht="14.25">
      <c r="A1207" s="80"/>
      <c r="B1207" s="80"/>
      <c r="C1207" s="80"/>
      <c r="D1207" s="80"/>
      <c r="E1207" s="76" t="str">
        <f>IFERROR(VLOOKUP(C1207,$C$9:E1206,3,0),"")</f>
        <v/>
      </c>
      <c r="F1207" s="57" t="str">
        <f>IFERROR(VLOOKUP(C1207,$C$9:H1206,4,FALSE),"")</f>
        <v/>
      </c>
      <c r="G1207" s="61" t="str">
        <f>IFERROR(VLOOKUP(C1207,$C$9:G1206,5,FALSE),"")</f>
        <v/>
      </c>
      <c r="H1207" s="61" t="str">
        <f>IFERROR(VLOOKUP(C1207,$C$9:H1206,6,FALSE),"")</f>
        <v/>
      </c>
      <c r="N1207" s="46" t="e">
        <f t="shared" si="56"/>
        <v>#DIV/0!</v>
      </c>
      <c r="O1207" s="46" t="str">
        <f t="shared" si="57"/>
        <v/>
      </c>
      <c r="P1207" s="46">
        <f t="shared" si="58"/>
        <v>1</v>
      </c>
    </row>
    <row r="1208" spans="1:16" ht="14.25">
      <c r="A1208" s="80"/>
      <c r="B1208" s="80"/>
      <c r="C1208" s="80"/>
      <c r="D1208" s="80"/>
      <c r="E1208" s="76" t="str">
        <f>IFERROR(VLOOKUP(C1208,$C$9:E1207,3,0),"")</f>
        <v/>
      </c>
      <c r="F1208" s="57" t="str">
        <f>IFERROR(VLOOKUP(C1208,$C$9:H1207,4,FALSE),"")</f>
        <v/>
      </c>
      <c r="G1208" s="61" t="str">
        <f>IFERROR(VLOOKUP(C1208,$C$9:G1207,5,FALSE),"")</f>
        <v/>
      </c>
      <c r="H1208" s="61" t="str">
        <f>IFERROR(VLOOKUP(C1208,$C$9:H1207,6,FALSE),"")</f>
        <v/>
      </c>
      <c r="N1208" s="46" t="e">
        <f t="shared" si="56"/>
        <v>#DIV/0!</v>
      </c>
      <c r="O1208" s="46" t="str">
        <f t="shared" si="57"/>
        <v/>
      </c>
      <c r="P1208" s="46">
        <f t="shared" si="58"/>
        <v>1</v>
      </c>
    </row>
    <row r="1209" spans="1:16" ht="14.25">
      <c r="A1209" s="80"/>
      <c r="B1209" s="80"/>
      <c r="C1209" s="80"/>
      <c r="D1209" s="80"/>
      <c r="E1209" s="76" t="str">
        <f>IFERROR(VLOOKUP(C1209,$C$9:E1208,3,0),"")</f>
        <v/>
      </c>
      <c r="F1209" s="57" t="str">
        <f>IFERROR(VLOOKUP(C1209,$C$9:H1208,4,FALSE),"")</f>
        <v/>
      </c>
      <c r="G1209" s="61" t="str">
        <f>IFERROR(VLOOKUP(C1209,$C$9:G1208,5,FALSE),"")</f>
        <v/>
      </c>
      <c r="H1209" s="61" t="str">
        <f>IFERROR(VLOOKUP(C1209,$C$9:H1208,6,FALSE),"")</f>
        <v/>
      </c>
      <c r="N1209" s="46" t="e">
        <f t="shared" si="56"/>
        <v>#DIV/0!</v>
      </c>
      <c r="O1209" s="46" t="str">
        <f t="shared" si="57"/>
        <v/>
      </c>
      <c r="P1209" s="46">
        <f t="shared" si="58"/>
        <v>1</v>
      </c>
    </row>
    <row r="1210" spans="1:16" ht="14.25">
      <c r="A1210" s="80"/>
      <c r="B1210" s="80"/>
      <c r="C1210" s="80"/>
      <c r="D1210" s="80"/>
      <c r="E1210" s="76" t="str">
        <f>IFERROR(VLOOKUP(C1210,$C$9:E1209,3,0),"")</f>
        <v/>
      </c>
      <c r="F1210" s="57" t="str">
        <f>IFERROR(VLOOKUP(C1210,$C$9:H1209,4,FALSE),"")</f>
        <v/>
      </c>
      <c r="G1210" s="61" t="str">
        <f>IFERROR(VLOOKUP(C1210,$C$9:G1209,5,FALSE),"")</f>
        <v/>
      </c>
      <c r="H1210" s="61" t="str">
        <f>IFERROR(VLOOKUP(C1210,$C$9:H1209,6,FALSE),"")</f>
        <v/>
      </c>
      <c r="N1210" s="46" t="e">
        <f t="shared" si="56"/>
        <v>#DIV/0!</v>
      </c>
      <c r="O1210" s="46" t="str">
        <f t="shared" si="57"/>
        <v/>
      </c>
      <c r="P1210" s="46">
        <f t="shared" si="58"/>
        <v>1</v>
      </c>
    </row>
    <row r="1211" spans="1:16" ht="14.25">
      <c r="A1211" s="80"/>
      <c r="B1211" s="80"/>
      <c r="C1211" s="80"/>
      <c r="D1211" s="80"/>
      <c r="E1211" s="76" t="str">
        <f>IFERROR(VLOOKUP(C1211,$C$9:E1210,3,0),"")</f>
        <v/>
      </c>
      <c r="F1211" s="57" t="str">
        <f>IFERROR(VLOOKUP(C1211,$C$9:H1210,4,FALSE),"")</f>
        <v/>
      </c>
      <c r="G1211" s="61" t="str">
        <f>IFERROR(VLOOKUP(C1211,$C$9:G1210,5,FALSE),"")</f>
        <v/>
      </c>
      <c r="H1211" s="61" t="str">
        <f>IFERROR(VLOOKUP(C1211,$C$9:H1210,6,FALSE),"")</f>
        <v/>
      </c>
      <c r="N1211" s="46" t="e">
        <f t="shared" si="56"/>
        <v>#DIV/0!</v>
      </c>
      <c r="O1211" s="46" t="str">
        <f t="shared" si="57"/>
        <v/>
      </c>
      <c r="P1211" s="46">
        <f t="shared" si="58"/>
        <v>1</v>
      </c>
    </row>
    <row r="1212" spans="1:16" ht="14.25">
      <c r="A1212" s="80"/>
      <c r="B1212" s="80"/>
      <c r="C1212" s="80"/>
      <c r="D1212" s="80"/>
      <c r="E1212" s="76" t="str">
        <f>IFERROR(VLOOKUP(C1212,$C$9:E1211,3,0),"")</f>
        <v/>
      </c>
      <c r="F1212" s="57" t="str">
        <f>IFERROR(VLOOKUP(C1212,$C$9:H1211,4,FALSE),"")</f>
        <v/>
      </c>
      <c r="G1212" s="61" t="str">
        <f>IFERROR(VLOOKUP(C1212,$C$9:G1211,5,FALSE),"")</f>
        <v/>
      </c>
      <c r="H1212" s="61" t="str">
        <f>IFERROR(VLOOKUP(C1212,$C$9:H1211,6,FALSE),"")</f>
        <v/>
      </c>
      <c r="N1212" s="46" t="e">
        <f t="shared" si="56"/>
        <v>#DIV/0!</v>
      </c>
      <c r="O1212" s="46" t="str">
        <f t="shared" si="57"/>
        <v/>
      </c>
      <c r="P1212" s="46">
        <f t="shared" si="58"/>
        <v>1</v>
      </c>
    </row>
    <row r="1213" spans="1:16" ht="14.25">
      <c r="A1213" s="80"/>
      <c r="B1213" s="80"/>
      <c r="C1213" s="80"/>
      <c r="D1213" s="80"/>
      <c r="E1213" s="76" t="str">
        <f>IFERROR(VLOOKUP(C1213,$C$9:E1212,3,0),"")</f>
        <v/>
      </c>
      <c r="F1213" s="57" t="str">
        <f>IFERROR(VLOOKUP(C1213,$C$9:H1212,4,FALSE),"")</f>
        <v/>
      </c>
      <c r="G1213" s="61" t="str">
        <f>IFERROR(VLOOKUP(C1213,$C$9:G1212,5,FALSE),"")</f>
        <v/>
      </c>
      <c r="H1213" s="61" t="str">
        <f>IFERROR(VLOOKUP(C1213,$C$9:H1212,6,FALSE),"")</f>
        <v/>
      </c>
      <c r="N1213" s="46" t="e">
        <f t="shared" si="56"/>
        <v>#DIV/0!</v>
      </c>
      <c r="O1213" s="46" t="str">
        <f t="shared" si="57"/>
        <v/>
      </c>
      <c r="P1213" s="46">
        <f t="shared" si="58"/>
        <v>1</v>
      </c>
    </row>
    <row r="1214" spans="1:16" ht="14.25">
      <c r="A1214" s="80"/>
      <c r="B1214" s="80"/>
      <c r="C1214" s="80"/>
      <c r="D1214" s="80"/>
      <c r="E1214" s="76" t="str">
        <f>IFERROR(VLOOKUP(C1214,$C$9:E1213,3,0),"")</f>
        <v/>
      </c>
      <c r="F1214" s="57" t="str">
        <f>IFERROR(VLOOKUP(C1214,$C$9:H1213,4,FALSE),"")</f>
        <v/>
      </c>
      <c r="G1214" s="61" t="str">
        <f>IFERROR(VLOOKUP(C1214,$C$9:G1213,5,FALSE),"")</f>
        <v/>
      </c>
      <c r="H1214" s="61" t="str">
        <f>IFERROR(VLOOKUP(C1214,$C$9:H1213,6,FALSE),"")</f>
        <v/>
      </c>
      <c r="N1214" s="46" t="e">
        <f t="shared" si="56"/>
        <v>#DIV/0!</v>
      </c>
      <c r="O1214" s="46" t="str">
        <f t="shared" si="57"/>
        <v/>
      </c>
      <c r="P1214" s="46">
        <f t="shared" si="58"/>
        <v>1</v>
      </c>
    </row>
    <row r="1215" spans="1:16" ht="14.25">
      <c r="A1215" s="80"/>
      <c r="B1215" s="80"/>
      <c r="C1215" s="80"/>
      <c r="D1215" s="80"/>
      <c r="E1215" s="76" t="str">
        <f>IFERROR(VLOOKUP(C1215,$C$9:E1214,3,0),"")</f>
        <v/>
      </c>
      <c r="F1215" s="57" t="str">
        <f>IFERROR(VLOOKUP(C1215,$C$9:H1214,4,FALSE),"")</f>
        <v/>
      </c>
      <c r="G1215" s="61" t="str">
        <f>IFERROR(VLOOKUP(C1215,$C$9:G1214,5,FALSE),"")</f>
        <v/>
      </c>
      <c r="H1215" s="61" t="str">
        <f>IFERROR(VLOOKUP(C1215,$C$9:H1214,6,FALSE),"")</f>
        <v/>
      </c>
      <c r="N1215" s="46" t="e">
        <f t="shared" si="56"/>
        <v>#DIV/0!</v>
      </c>
      <c r="O1215" s="46" t="str">
        <f t="shared" si="57"/>
        <v/>
      </c>
      <c r="P1215" s="46">
        <f t="shared" si="58"/>
        <v>1</v>
      </c>
    </row>
    <row r="1216" spans="1:16" ht="14.25">
      <c r="A1216" s="80"/>
      <c r="B1216" s="80"/>
      <c r="C1216" s="80"/>
      <c r="D1216" s="80"/>
      <c r="E1216" s="76" t="str">
        <f>IFERROR(VLOOKUP(C1216,$C$9:E1215,3,0),"")</f>
        <v/>
      </c>
      <c r="F1216" s="57" t="str">
        <f>IFERROR(VLOOKUP(C1216,$C$9:H1215,4,FALSE),"")</f>
        <v/>
      </c>
      <c r="G1216" s="61" t="str">
        <f>IFERROR(VLOOKUP(C1216,$C$9:G1215,5,FALSE),"")</f>
        <v/>
      </c>
      <c r="H1216" s="61" t="str">
        <f>IFERROR(VLOOKUP(C1216,$C$9:H1215,6,FALSE),"")</f>
        <v/>
      </c>
      <c r="N1216" s="46" t="e">
        <f t="shared" si="56"/>
        <v>#DIV/0!</v>
      </c>
      <c r="O1216" s="46" t="str">
        <f t="shared" si="57"/>
        <v/>
      </c>
      <c r="P1216" s="46">
        <f t="shared" si="58"/>
        <v>1</v>
      </c>
    </row>
    <row r="1217" spans="1:16" ht="14.25">
      <c r="A1217" s="80"/>
      <c r="B1217" s="80"/>
      <c r="C1217" s="80"/>
      <c r="D1217" s="80"/>
      <c r="E1217" s="76" t="str">
        <f>IFERROR(VLOOKUP(C1217,$C$9:E1216,3,0),"")</f>
        <v/>
      </c>
      <c r="F1217" s="57" t="str">
        <f>IFERROR(VLOOKUP(C1217,$C$9:H1216,4,FALSE),"")</f>
        <v/>
      </c>
      <c r="G1217" s="61" t="str">
        <f>IFERROR(VLOOKUP(C1217,$C$9:G1216,5,FALSE),"")</f>
        <v/>
      </c>
      <c r="H1217" s="61" t="str">
        <f>IFERROR(VLOOKUP(C1217,$C$9:H1216,6,FALSE),"")</f>
        <v/>
      </c>
      <c r="N1217" s="46" t="e">
        <f t="shared" si="56"/>
        <v>#DIV/0!</v>
      </c>
      <c r="O1217" s="46" t="str">
        <f t="shared" si="57"/>
        <v/>
      </c>
      <c r="P1217" s="46">
        <f t="shared" si="58"/>
        <v>1</v>
      </c>
    </row>
    <row r="1218" spans="1:16" ht="14.25">
      <c r="A1218" s="80"/>
      <c r="B1218" s="80"/>
      <c r="C1218" s="80"/>
      <c r="D1218" s="80"/>
      <c r="E1218" s="76" t="str">
        <f>IFERROR(VLOOKUP(C1218,$C$9:E1217,3,0),"")</f>
        <v/>
      </c>
      <c r="F1218" s="57" t="str">
        <f>IFERROR(VLOOKUP(C1218,$C$9:H1217,4,FALSE),"")</f>
        <v/>
      </c>
      <c r="G1218" s="61" t="str">
        <f>IFERROR(VLOOKUP(C1218,$C$9:G1217,5,FALSE),"")</f>
        <v/>
      </c>
      <c r="H1218" s="61" t="str">
        <f>IFERROR(VLOOKUP(C1218,$C$9:H1217,6,FALSE),"")</f>
        <v/>
      </c>
      <c r="N1218" s="46" t="e">
        <f t="shared" si="56"/>
        <v>#DIV/0!</v>
      </c>
      <c r="O1218" s="46" t="str">
        <f t="shared" si="57"/>
        <v/>
      </c>
      <c r="P1218" s="46">
        <f t="shared" si="58"/>
        <v>1</v>
      </c>
    </row>
    <row r="1219" spans="1:16" ht="14.25">
      <c r="A1219" s="80"/>
      <c r="B1219" s="80"/>
      <c r="C1219" s="80"/>
      <c r="D1219" s="80"/>
      <c r="E1219" s="76" t="str">
        <f>IFERROR(VLOOKUP(C1219,$C$9:E1218,3,0),"")</f>
        <v/>
      </c>
      <c r="F1219" s="57" t="str">
        <f>IFERROR(VLOOKUP(C1219,$C$9:H1218,4,FALSE),"")</f>
        <v/>
      </c>
      <c r="G1219" s="61" t="str">
        <f>IFERROR(VLOOKUP(C1219,$C$9:G1218,5,FALSE),"")</f>
        <v/>
      </c>
      <c r="H1219" s="61" t="str">
        <f>IFERROR(VLOOKUP(C1219,$C$9:H1218,6,FALSE),"")</f>
        <v/>
      </c>
      <c r="N1219" s="46" t="e">
        <f t="shared" si="56"/>
        <v>#DIV/0!</v>
      </c>
      <c r="O1219" s="46" t="str">
        <f t="shared" si="57"/>
        <v/>
      </c>
      <c r="P1219" s="46">
        <f t="shared" si="58"/>
        <v>1</v>
      </c>
    </row>
    <row r="1220" spans="1:16" ht="14.25">
      <c r="A1220" s="80"/>
      <c r="B1220" s="80"/>
      <c r="C1220" s="80"/>
      <c r="D1220" s="80"/>
      <c r="E1220" s="76" t="str">
        <f>IFERROR(VLOOKUP(C1220,$C$9:E1219,3,0),"")</f>
        <v/>
      </c>
      <c r="F1220" s="57" t="str">
        <f>IFERROR(VLOOKUP(C1220,$C$9:H1219,4,FALSE),"")</f>
        <v/>
      </c>
      <c r="G1220" s="61" t="str">
        <f>IFERROR(VLOOKUP(C1220,$C$9:G1219,5,FALSE),"")</f>
        <v/>
      </c>
      <c r="H1220" s="61" t="str">
        <f>IFERROR(VLOOKUP(C1220,$C$9:H1219,6,FALSE),"")</f>
        <v/>
      </c>
      <c r="N1220" s="46" t="e">
        <f t="shared" si="56"/>
        <v>#DIV/0!</v>
      </c>
      <c r="O1220" s="46" t="str">
        <f t="shared" si="57"/>
        <v/>
      </c>
      <c r="P1220" s="46">
        <f t="shared" si="58"/>
        <v>1</v>
      </c>
    </row>
    <row r="1221" spans="1:16" ht="14.25">
      <c r="A1221" s="80"/>
      <c r="B1221" s="80"/>
      <c r="C1221" s="80"/>
      <c r="D1221" s="80"/>
      <c r="E1221" s="76" t="str">
        <f>IFERROR(VLOOKUP(C1221,$C$9:E1220,3,0),"")</f>
        <v/>
      </c>
      <c r="F1221" s="57" t="str">
        <f>IFERROR(VLOOKUP(C1221,$C$9:H1220,4,FALSE),"")</f>
        <v/>
      </c>
      <c r="G1221" s="61" t="str">
        <f>IFERROR(VLOOKUP(C1221,$C$9:G1220,5,FALSE),"")</f>
        <v/>
      </c>
      <c r="H1221" s="61" t="str">
        <f>IFERROR(VLOOKUP(C1221,$C$9:H1220,6,FALSE),"")</f>
        <v/>
      </c>
      <c r="N1221" s="46" t="e">
        <f t="shared" si="56"/>
        <v>#DIV/0!</v>
      </c>
      <c r="O1221" s="46" t="str">
        <f t="shared" si="57"/>
        <v/>
      </c>
      <c r="P1221" s="46">
        <f t="shared" si="58"/>
        <v>1</v>
      </c>
    </row>
    <row r="1222" spans="1:16" ht="14.25">
      <c r="A1222" s="80"/>
      <c r="B1222" s="80"/>
      <c r="C1222" s="80"/>
      <c r="D1222" s="80"/>
      <c r="E1222" s="76" t="str">
        <f>IFERROR(VLOOKUP(C1222,$C$9:E1221,3,0),"")</f>
        <v/>
      </c>
      <c r="F1222" s="57" t="str">
        <f>IFERROR(VLOOKUP(C1222,$C$9:H1221,4,FALSE),"")</f>
        <v/>
      </c>
      <c r="G1222" s="61" t="str">
        <f>IFERROR(VLOOKUP(C1222,$C$9:G1221,5,FALSE),"")</f>
        <v/>
      </c>
      <c r="H1222" s="61" t="str">
        <f>IFERROR(VLOOKUP(C1222,$C$9:H1221,6,FALSE),"")</f>
        <v/>
      </c>
      <c r="N1222" s="46" t="e">
        <f t="shared" si="56"/>
        <v>#DIV/0!</v>
      </c>
      <c r="O1222" s="46" t="str">
        <f t="shared" si="57"/>
        <v/>
      </c>
      <c r="P1222" s="46">
        <f t="shared" si="58"/>
        <v>1</v>
      </c>
    </row>
    <row r="1223" spans="1:16" ht="14.25">
      <c r="A1223" s="80"/>
      <c r="B1223" s="80"/>
      <c r="C1223" s="80"/>
      <c r="D1223" s="80"/>
      <c r="E1223" s="76" t="str">
        <f>IFERROR(VLOOKUP(C1223,$C$9:E1222,3,0),"")</f>
        <v/>
      </c>
      <c r="F1223" s="57" t="str">
        <f>IFERROR(VLOOKUP(C1223,$C$9:H1222,4,FALSE),"")</f>
        <v/>
      </c>
      <c r="G1223" s="61" t="str">
        <f>IFERROR(VLOOKUP(C1223,$C$9:G1222,5,FALSE),"")</f>
        <v/>
      </c>
      <c r="H1223" s="61" t="str">
        <f>IFERROR(VLOOKUP(C1223,$C$9:H1222,6,FALSE),"")</f>
        <v/>
      </c>
      <c r="N1223" s="46" t="e">
        <f t="shared" si="56"/>
        <v>#DIV/0!</v>
      </c>
      <c r="O1223" s="46" t="str">
        <f t="shared" si="57"/>
        <v/>
      </c>
      <c r="P1223" s="46">
        <f t="shared" si="58"/>
        <v>1</v>
      </c>
    </row>
    <row r="1224" spans="1:16" ht="14.25">
      <c r="A1224" s="80"/>
      <c r="B1224" s="80"/>
      <c r="C1224" s="80"/>
      <c r="D1224" s="80"/>
      <c r="E1224" s="76" t="str">
        <f>IFERROR(VLOOKUP(C1224,$C$9:E1223,3,0),"")</f>
        <v/>
      </c>
      <c r="F1224" s="57" t="str">
        <f>IFERROR(VLOOKUP(C1224,$C$9:H1223,4,FALSE),"")</f>
        <v/>
      </c>
      <c r="G1224" s="61" t="str">
        <f>IFERROR(VLOOKUP(C1224,$C$9:G1223,5,FALSE),"")</f>
        <v/>
      </c>
      <c r="H1224" s="61" t="str">
        <f>IFERROR(VLOOKUP(C1224,$C$9:H1223,6,FALSE),"")</f>
        <v/>
      </c>
      <c r="N1224" s="46" t="e">
        <f t="shared" si="56"/>
        <v>#DIV/0!</v>
      </c>
      <c r="O1224" s="46" t="str">
        <f t="shared" si="57"/>
        <v/>
      </c>
      <c r="P1224" s="46">
        <f t="shared" si="58"/>
        <v>1</v>
      </c>
    </row>
    <row r="1225" spans="1:16" ht="14.25">
      <c r="A1225" s="80"/>
      <c r="B1225" s="80"/>
      <c r="C1225" s="80"/>
      <c r="D1225" s="80"/>
      <c r="E1225" s="76" t="str">
        <f>IFERROR(VLOOKUP(C1225,$C$9:E1224,3,0),"")</f>
        <v/>
      </c>
      <c r="F1225" s="57" t="str">
        <f>IFERROR(VLOOKUP(C1225,$C$9:H1224,4,FALSE),"")</f>
        <v/>
      </c>
      <c r="G1225" s="61" t="str">
        <f>IFERROR(VLOOKUP(C1225,$C$9:G1224,5,FALSE),"")</f>
        <v/>
      </c>
      <c r="H1225" s="61" t="str">
        <f>IFERROR(VLOOKUP(C1225,$C$9:H1224,6,FALSE),"")</f>
        <v/>
      </c>
      <c r="N1225" s="46" t="e">
        <f t="shared" si="56"/>
        <v>#DIV/0!</v>
      </c>
      <c r="O1225" s="46" t="str">
        <f t="shared" si="57"/>
        <v/>
      </c>
      <c r="P1225" s="46">
        <f t="shared" si="58"/>
        <v>1</v>
      </c>
    </row>
    <row r="1226" spans="1:16" ht="14.25">
      <c r="A1226" s="80"/>
      <c r="B1226" s="80"/>
      <c r="C1226" s="80"/>
      <c r="D1226" s="80"/>
      <c r="E1226" s="76" t="str">
        <f>IFERROR(VLOOKUP(C1226,$C$9:E1225,3,0),"")</f>
        <v/>
      </c>
      <c r="F1226" s="57" t="str">
        <f>IFERROR(VLOOKUP(C1226,$C$9:H1225,4,FALSE),"")</f>
        <v/>
      </c>
      <c r="G1226" s="61" t="str">
        <f>IFERROR(VLOOKUP(C1226,$C$9:G1225,5,FALSE),"")</f>
        <v/>
      </c>
      <c r="H1226" s="61" t="str">
        <f>IFERROR(VLOOKUP(C1226,$C$9:H1225,6,FALSE),"")</f>
        <v/>
      </c>
      <c r="N1226" s="46" t="e">
        <f t="shared" ref="N1226:N1289" si="59">IF(OR(F1226=$P$1,F1226="",F1226=0),D1226/$B$2,IF(OR(F1226=$P$2,F1226=$P$3,F1226=$P$4),D1226/(O1226*P1226),D1226/O1226))</f>
        <v>#DIV/0!</v>
      </c>
      <c r="O1226" s="46" t="str">
        <f t="shared" ref="O1226:O1289" si="60">IFERROR(VLOOKUP(F1226,$P$1:$Q$4,2,0),F1226)</f>
        <v/>
      </c>
      <c r="P1226" s="46">
        <f t="shared" si="58"/>
        <v>1</v>
      </c>
    </row>
    <row r="1227" spans="1:16" ht="14.25">
      <c r="A1227" s="80"/>
      <c r="B1227" s="80"/>
      <c r="C1227" s="80"/>
      <c r="D1227" s="80"/>
      <c r="E1227" s="76" t="str">
        <f>IFERROR(VLOOKUP(C1227,$C$9:E1226,3,0),"")</f>
        <v/>
      </c>
      <c r="F1227" s="57" t="str">
        <f>IFERROR(VLOOKUP(C1227,$C$9:H1226,4,FALSE),"")</f>
        <v/>
      </c>
      <c r="G1227" s="61" t="str">
        <f>IFERROR(VLOOKUP(C1227,$C$9:G1226,5,FALSE),"")</f>
        <v/>
      </c>
      <c r="H1227" s="61" t="str">
        <f>IFERROR(VLOOKUP(C1227,$C$9:H1226,6,FALSE),"")</f>
        <v/>
      </c>
      <c r="N1227" s="46" t="e">
        <f t="shared" si="59"/>
        <v>#DIV/0!</v>
      </c>
      <c r="O1227" s="46" t="str">
        <f t="shared" si="60"/>
        <v/>
      </c>
      <c r="P1227" s="46">
        <f t="shared" ref="P1227:P1290" si="61">IF(C1227="",1,COUNTIFS($C$9:$C$1499,C1227,$H$9:$H$1499,H1227))</f>
        <v>1</v>
      </c>
    </row>
    <row r="1228" spans="1:16" ht="14.25">
      <c r="A1228" s="80"/>
      <c r="B1228" s="80"/>
      <c r="C1228" s="80"/>
      <c r="D1228" s="80"/>
      <c r="E1228" s="76" t="str">
        <f>IFERROR(VLOOKUP(C1228,$C$9:E1227,3,0),"")</f>
        <v/>
      </c>
      <c r="F1228" s="57" t="str">
        <f>IFERROR(VLOOKUP(C1228,$C$9:H1227,4,FALSE),"")</f>
        <v/>
      </c>
      <c r="G1228" s="61" t="str">
        <f>IFERROR(VLOOKUP(C1228,$C$9:G1227,5,FALSE),"")</f>
        <v/>
      </c>
      <c r="H1228" s="61" t="str">
        <f>IFERROR(VLOOKUP(C1228,$C$9:H1227,6,FALSE),"")</f>
        <v/>
      </c>
      <c r="N1228" s="46" t="e">
        <f t="shared" si="59"/>
        <v>#DIV/0!</v>
      </c>
      <c r="O1228" s="46" t="str">
        <f t="shared" si="60"/>
        <v/>
      </c>
      <c r="P1228" s="46">
        <f t="shared" si="61"/>
        <v>1</v>
      </c>
    </row>
    <row r="1229" spans="1:16" ht="14.25">
      <c r="A1229" s="80"/>
      <c r="B1229" s="80"/>
      <c r="C1229" s="80"/>
      <c r="D1229" s="80"/>
      <c r="E1229" s="76" t="str">
        <f>IFERROR(VLOOKUP(C1229,$C$9:E1228,3,0),"")</f>
        <v/>
      </c>
      <c r="F1229" s="57" t="str">
        <f>IFERROR(VLOOKUP(C1229,$C$9:H1228,4,FALSE),"")</f>
        <v/>
      </c>
      <c r="G1229" s="61" t="str">
        <f>IFERROR(VLOOKUP(C1229,$C$9:G1228,5,FALSE),"")</f>
        <v/>
      </c>
      <c r="H1229" s="61" t="str">
        <f>IFERROR(VLOOKUP(C1229,$C$9:H1228,6,FALSE),"")</f>
        <v/>
      </c>
      <c r="N1229" s="46" t="e">
        <f t="shared" si="59"/>
        <v>#DIV/0!</v>
      </c>
      <c r="O1229" s="46" t="str">
        <f t="shared" si="60"/>
        <v/>
      </c>
      <c r="P1229" s="46">
        <f t="shared" si="61"/>
        <v>1</v>
      </c>
    </row>
    <row r="1230" spans="1:16" ht="14.25">
      <c r="A1230" s="80"/>
      <c r="B1230" s="80"/>
      <c r="C1230" s="80"/>
      <c r="D1230" s="80"/>
      <c r="E1230" s="76" t="str">
        <f>IFERROR(VLOOKUP(C1230,$C$9:E1229,3,0),"")</f>
        <v/>
      </c>
      <c r="F1230" s="57" t="str">
        <f>IFERROR(VLOOKUP(C1230,$C$9:H1229,4,FALSE),"")</f>
        <v/>
      </c>
      <c r="G1230" s="61" t="str">
        <f>IFERROR(VLOOKUP(C1230,$C$9:G1229,5,FALSE),"")</f>
        <v/>
      </c>
      <c r="H1230" s="61" t="str">
        <f>IFERROR(VLOOKUP(C1230,$C$9:H1229,6,FALSE),"")</f>
        <v/>
      </c>
      <c r="N1230" s="46" t="e">
        <f t="shared" si="59"/>
        <v>#DIV/0!</v>
      </c>
      <c r="O1230" s="46" t="str">
        <f t="shared" si="60"/>
        <v/>
      </c>
      <c r="P1230" s="46">
        <f t="shared" si="61"/>
        <v>1</v>
      </c>
    </row>
    <row r="1231" spans="1:16" ht="14.25">
      <c r="A1231" s="80"/>
      <c r="B1231" s="80"/>
      <c r="C1231" s="80"/>
      <c r="D1231" s="80"/>
      <c r="E1231" s="76" t="str">
        <f>IFERROR(VLOOKUP(C1231,$C$9:E1230,3,0),"")</f>
        <v/>
      </c>
      <c r="F1231" s="57" t="str">
        <f>IFERROR(VLOOKUP(C1231,$C$9:H1230,4,FALSE),"")</f>
        <v/>
      </c>
      <c r="G1231" s="61" t="str">
        <f>IFERROR(VLOOKUP(C1231,$C$9:G1230,5,FALSE),"")</f>
        <v/>
      </c>
      <c r="H1231" s="61" t="str">
        <f>IFERROR(VLOOKUP(C1231,$C$9:H1230,6,FALSE),"")</f>
        <v/>
      </c>
      <c r="N1231" s="46" t="e">
        <f t="shared" si="59"/>
        <v>#DIV/0!</v>
      </c>
      <c r="O1231" s="46" t="str">
        <f t="shared" si="60"/>
        <v/>
      </c>
      <c r="P1231" s="46">
        <f t="shared" si="61"/>
        <v>1</v>
      </c>
    </row>
    <row r="1232" spans="1:16" ht="14.25">
      <c r="A1232" s="80"/>
      <c r="B1232" s="80"/>
      <c r="C1232" s="80"/>
      <c r="D1232" s="80"/>
      <c r="E1232" s="76" t="str">
        <f>IFERROR(VLOOKUP(C1232,$C$9:E1231,3,0),"")</f>
        <v/>
      </c>
      <c r="F1232" s="57" t="str">
        <f>IFERROR(VLOOKUP(C1232,$C$9:H1231,4,FALSE),"")</f>
        <v/>
      </c>
      <c r="G1232" s="61" t="str">
        <f>IFERROR(VLOOKUP(C1232,$C$9:G1231,5,FALSE),"")</f>
        <v/>
      </c>
      <c r="H1232" s="61" t="str">
        <f>IFERROR(VLOOKUP(C1232,$C$9:H1231,6,FALSE),"")</f>
        <v/>
      </c>
      <c r="N1232" s="46" t="e">
        <f t="shared" si="59"/>
        <v>#DIV/0!</v>
      </c>
      <c r="O1232" s="46" t="str">
        <f t="shared" si="60"/>
        <v/>
      </c>
      <c r="P1232" s="46">
        <f t="shared" si="61"/>
        <v>1</v>
      </c>
    </row>
    <row r="1233" spans="1:16" ht="14.25">
      <c r="A1233" s="80"/>
      <c r="B1233" s="80"/>
      <c r="C1233" s="80"/>
      <c r="D1233" s="80"/>
      <c r="E1233" s="76" t="str">
        <f>IFERROR(VLOOKUP(C1233,$C$9:E1232,3,0),"")</f>
        <v/>
      </c>
      <c r="F1233" s="57" t="str">
        <f>IFERROR(VLOOKUP(C1233,$C$9:H1232,4,FALSE),"")</f>
        <v/>
      </c>
      <c r="G1233" s="61" t="str">
        <f>IFERROR(VLOOKUP(C1233,$C$9:G1232,5,FALSE),"")</f>
        <v/>
      </c>
      <c r="H1233" s="61" t="str">
        <f>IFERROR(VLOOKUP(C1233,$C$9:H1232,6,FALSE),"")</f>
        <v/>
      </c>
      <c r="N1233" s="46" t="e">
        <f t="shared" si="59"/>
        <v>#DIV/0!</v>
      </c>
      <c r="O1233" s="46" t="str">
        <f t="shared" si="60"/>
        <v/>
      </c>
      <c r="P1233" s="46">
        <f t="shared" si="61"/>
        <v>1</v>
      </c>
    </row>
    <row r="1234" spans="1:16" ht="14.25">
      <c r="A1234" s="80"/>
      <c r="B1234" s="80"/>
      <c r="C1234" s="80"/>
      <c r="D1234" s="80"/>
      <c r="E1234" s="76" t="str">
        <f>IFERROR(VLOOKUP(C1234,$C$9:E1233,3,0),"")</f>
        <v/>
      </c>
      <c r="F1234" s="57" t="str">
        <f>IFERROR(VLOOKUP(C1234,$C$9:H1233,4,FALSE),"")</f>
        <v/>
      </c>
      <c r="G1234" s="61" t="str">
        <f>IFERROR(VLOOKUP(C1234,$C$9:G1233,5,FALSE),"")</f>
        <v/>
      </c>
      <c r="H1234" s="61" t="str">
        <f>IFERROR(VLOOKUP(C1234,$C$9:H1233,6,FALSE),"")</f>
        <v/>
      </c>
      <c r="N1234" s="46" t="e">
        <f t="shared" si="59"/>
        <v>#DIV/0!</v>
      </c>
      <c r="O1234" s="46" t="str">
        <f t="shared" si="60"/>
        <v/>
      </c>
      <c r="P1234" s="46">
        <f t="shared" si="61"/>
        <v>1</v>
      </c>
    </row>
    <row r="1235" spans="1:16" ht="14.25">
      <c r="A1235" s="80"/>
      <c r="B1235" s="80"/>
      <c r="C1235" s="80"/>
      <c r="D1235" s="80"/>
      <c r="E1235" s="76" t="str">
        <f>IFERROR(VLOOKUP(C1235,$C$9:E1234,3,0),"")</f>
        <v/>
      </c>
      <c r="F1235" s="57" t="str">
        <f>IFERROR(VLOOKUP(C1235,$C$9:H1234,4,FALSE),"")</f>
        <v/>
      </c>
      <c r="G1235" s="61" t="str">
        <f>IFERROR(VLOOKUP(C1235,$C$9:G1234,5,FALSE),"")</f>
        <v/>
      </c>
      <c r="H1235" s="61" t="str">
        <f>IFERROR(VLOOKUP(C1235,$C$9:H1234,6,FALSE),"")</f>
        <v/>
      </c>
      <c r="N1235" s="46" t="e">
        <f t="shared" si="59"/>
        <v>#DIV/0!</v>
      </c>
      <c r="O1235" s="46" t="str">
        <f t="shared" si="60"/>
        <v/>
      </c>
      <c r="P1235" s="46">
        <f t="shared" si="61"/>
        <v>1</v>
      </c>
    </row>
    <row r="1236" spans="1:16" ht="14.25">
      <c r="A1236" s="80"/>
      <c r="B1236" s="80"/>
      <c r="C1236" s="80"/>
      <c r="D1236" s="80"/>
      <c r="E1236" s="76" t="str">
        <f>IFERROR(VLOOKUP(C1236,$C$9:E1235,3,0),"")</f>
        <v/>
      </c>
      <c r="F1236" s="57" t="str">
        <f>IFERROR(VLOOKUP(C1236,$C$9:H1235,4,FALSE),"")</f>
        <v/>
      </c>
      <c r="G1236" s="61" t="str">
        <f>IFERROR(VLOOKUP(C1236,$C$9:G1235,5,FALSE),"")</f>
        <v/>
      </c>
      <c r="H1236" s="61" t="str">
        <f>IFERROR(VLOOKUP(C1236,$C$9:H1235,6,FALSE),"")</f>
        <v/>
      </c>
      <c r="N1236" s="46" t="e">
        <f t="shared" si="59"/>
        <v>#DIV/0!</v>
      </c>
      <c r="O1236" s="46" t="str">
        <f t="shared" si="60"/>
        <v/>
      </c>
      <c r="P1236" s="46">
        <f t="shared" si="61"/>
        <v>1</v>
      </c>
    </row>
    <row r="1237" spans="1:16" ht="14.25">
      <c r="A1237" s="80"/>
      <c r="B1237" s="80"/>
      <c r="C1237" s="80"/>
      <c r="D1237" s="80"/>
      <c r="E1237" s="76" t="str">
        <f>IFERROR(VLOOKUP(C1237,$C$9:E1236,3,0),"")</f>
        <v/>
      </c>
      <c r="F1237" s="57" t="str">
        <f>IFERROR(VLOOKUP(C1237,$C$9:H1236,4,FALSE),"")</f>
        <v/>
      </c>
      <c r="G1237" s="61" t="str">
        <f>IFERROR(VLOOKUP(C1237,$C$9:G1236,5,FALSE),"")</f>
        <v/>
      </c>
      <c r="H1237" s="61" t="str">
        <f>IFERROR(VLOOKUP(C1237,$C$9:H1236,6,FALSE),"")</f>
        <v/>
      </c>
      <c r="N1237" s="46" t="e">
        <f t="shared" si="59"/>
        <v>#DIV/0!</v>
      </c>
      <c r="O1237" s="46" t="str">
        <f t="shared" si="60"/>
        <v/>
      </c>
      <c r="P1237" s="46">
        <f t="shared" si="61"/>
        <v>1</v>
      </c>
    </row>
    <row r="1238" spans="1:16" ht="14.25">
      <c r="A1238" s="80"/>
      <c r="B1238" s="80"/>
      <c r="C1238" s="80"/>
      <c r="D1238" s="80"/>
      <c r="E1238" s="76" t="str">
        <f>IFERROR(VLOOKUP(C1238,$C$9:E1237,3,0),"")</f>
        <v/>
      </c>
      <c r="F1238" s="57" t="str">
        <f>IFERROR(VLOOKUP(C1238,$C$9:H1237,4,FALSE),"")</f>
        <v/>
      </c>
      <c r="G1238" s="61" t="str">
        <f>IFERROR(VLOOKUP(C1238,$C$9:G1237,5,FALSE),"")</f>
        <v/>
      </c>
      <c r="H1238" s="61" t="str">
        <f>IFERROR(VLOOKUP(C1238,$C$9:H1237,6,FALSE),"")</f>
        <v/>
      </c>
      <c r="N1238" s="46" t="e">
        <f t="shared" si="59"/>
        <v>#DIV/0!</v>
      </c>
      <c r="O1238" s="46" t="str">
        <f t="shared" si="60"/>
        <v/>
      </c>
      <c r="P1238" s="46">
        <f t="shared" si="61"/>
        <v>1</v>
      </c>
    </row>
    <row r="1239" spans="1:16" ht="14.25">
      <c r="A1239" s="80"/>
      <c r="B1239" s="80"/>
      <c r="C1239" s="80"/>
      <c r="D1239" s="80"/>
      <c r="E1239" s="76" t="str">
        <f>IFERROR(VLOOKUP(C1239,$C$9:E1238,3,0),"")</f>
        <v/>
      </c>
      <c r="F1239" s="57" t="str">
        <f>IFERROR(VLOOKUP(C1239,$C$9:H1238,4,FALSE),"")</f>
        <v/>
      </c>
      <c r="G1239" s="61" t="str">
        <f>IFERROR(VLOOKUP(C1239,$C$9:G1238,5,FALSE),"")</f>
        <v/>
      </c>
      <c r="H1239" s="61" t="str">
        <f>IFERROR(VLOOKUP(C1239,$C$9:H1238,6,FALSE),"")</f>
        <v/>
      </c>
      <c r="N1239" s="46" t="e">
        <f t="shared" si="59"/>
        <v>#DIV/0!</v>
      </c>
      <c r="O1239" s="46" t="str">
        <f t="shared" si="60"/>
        <v/>
      </c>
      <c r="P1239" s="46">
        <f t="shared" si="61"/>
        <v>1</v>
      </c>
    </row>
    <row r="1240" spans="1:16" ht="14.25">
      <c r="A1240" s="80"/>
      <c r="B1240" s="80"/>
      <c r="C1240" s="80"/>
      <c r="D1240" s="80"/>
      <c r="E1240" s="76" t="str">
        <f>IFERROR(VLOOKUP(C1240,$C$9:E1239,3,0),"")</f>
        <v/>
      </c>
      <c r="F1240" s="57" t="str">
        <f>IFERROR(VLOOKUP(C1240,$C$9:H1239,4,FALSE),"")</f>
        <v/>
      </c>
      <c r="G1240" s="61" t="str">
        <f>IFERROR(VLOOKUP(C1240,$C$9:G1239,5,FALSE),"")</f>
        <v/>
      </c>
      <c r="H1240" s="61" t="str">
        <f>IFERROR(VLOOKUP(C1240,$C$9:H1239,6,FALSE),"")</f>
        <v/>
      </c>
      <c r="N1240" s="46" t="e">
        <f t="shared" si="59"/>
        <v>#DIV/0!</v>
      </c>
      <c r="O1240" s="46" t="str">
        <f t="shared" si="60"/>
        <v/>
      </c>
      <c r="P1240" s="46">
        <f t="shared" si="61"/>
        <v>1</v>
      </c>
    </row>
    <row r="1241" spans="1:16" ht="14.25">
      <c r="A1241" s="80"/>
      <c r="B1241" s="80"/>
      <c r="C1241" s="80"/>
      <c r="D1241" s="80"/>
      <c r="E1241" s="76" t="str">
        <f>IFERROR(VLOOKUP(C1241,$C$9:E1240,3,0),"")</f>
        <v/>
      </c>
      <c r="F1241" s="57" t="str">
        <f>IFERROR(VLOOKUP(C1241,$C$9:H1240,4,FALSE),"")</f>
        <v/>
      </c>
      <c r="G1241" s="61" t="str">
        <f>IFERROR(VLOOKUP(C1241,$C$9:G1240,5,FALSE),"")</f>
        <v/>
      </c>
      <c r="H1241" s="61" t="str">
        <f>IFERROR(VLOOKUP(C1241,$C$9:H1240,6,FALSE),"")</f>
        <v/>
      </c>
      <c r="N1241" s="46" t="e">
        <f t="shared" si="59"/>
        <v>#DIV/0!</v>
      </c>
      <c r="O1241" s="46" t="str">
        <f t="shared" si="60"/>
        <v/>
      </c>
      <c r="P1241" s="46">
        <f t="shared" si="61"/>
        <v>1</v>
      </c>
    </row>
    <row r="1242" spans="1:16" ht="14.25">
      <c r="A1242" s="80"/>
      <c r="B1242" s="80"/>
      <c r="C1242" s="80"/>
      <c r="D1242" s="80"/>
      <c r="E1242" s="76" t="str">
        <f>IFERROR(VLOOKUP(C1242,$C$9:E1241,3,0),"")</f>
        <v/>
      </c>
      <c r="F1242" s="57" t="str">
        <f>IFERROR(VLOOKUP(C1242,$C$9:H1241,4,FALSE),"")</f>
        <v/>
      </c>
      <c r="G1242" s="61" t="str">
        <f>IFERROR(VLOOKUP(C1242,$C$9:G1241,5,FALSE),"")</f>
        <v/>
      </c>
      <c r="H1242" s="61" t="str">
        <f>IFERROR(VLOOKUP(C1242,$C$9:H1241,6,FALSE),"")</f>
        <v/>
      </c>
      <c r="N1242" s="46" t="e">
        <f t="shared" si="59"/>
        <v>#DIV/0!</v>
      </c>
      <c r="O1242" s="46" t="str">
        <f t="shared" si="60"/>
        <v/>
      </c>
      <c r="P1242" s="46">
        <f t="shared" si="61"/>
        <v>1</v>
      </c>
    </row>
    <row r="1243" spans="1:16" ht="14.25">
      <c r="A1243" s="80"/>
      <c r="B1243" s="80"/>
      <c r="C1243" s="80"/>
      <c r="D1243" s="80"/>
      <c r="E1243" s="76" t="str">
        <f>IFERROR(VLOOKUP(C1243,$C$9:E1242,3,0),"")</f>
        <v/>
      </c>
      <c r="F1243" s="57" t="str">
        <f>IFERROR(VLOOKUP(C1243,$C$9:H1242,4,FALSE),"")</f>
        <v/>
      </c>
      <c r="G1243" s="61" t="str">
        <f>IFERROR(VLOOKUP(C1243,$C$9:G1242,5,FALSE),"")</f>
        <v/>
      </c>
      <c r="H1243" s="61" t="str">
        <f>IFERROR(VLOOKUP(C1243,$C$9:H1242,6,FALSE),"")</f>
        <v/>
      </c>
      <c r="N1243" s="46" t="e">
        <f t="shared" si="59"/>
        <v>#DIV/0!</v>
      </c>
      <c r="O1243" s="46" t="str">
        <f t="shared" si="60"/>
        <v/>
      </c>
      <c r="P1243" s="46">
        <f t="shared" si="61"/>
        <v>1</v>
      </c>
    </row>
    <row r="1244" spans="1:16" ht="14.25">
      <c r="A1244" s="80"/>
      <c r="B1244" s="80"/>
      <c r="C1244" s="80"/>
      <c r="D1244" s="80"/>
      <c r="E1244" s="76" t="str">
        <f>IFERROR(VLOOKUP(C1244,$C$9:E1243,3,0),"")</f>
        <v/>
      </c>
      <c r="F1244" s="57" t="str">
        <f>IFERROR(VLOOKUP(C1244,$C$9:H1243,4,FALSE),"")</f>
        <v/>
      </c>
      <c r="G1244" s="61" t="str">
        <f>IFERROR(VLOOKUP(C1244,$C$9:G1243,5,FALSE),"")</f>
        <v/>
      </c>
      <c r="H1244" s="61" t="str">
        <f>IFERROR(VLOOKUP(C1244,$C$9:H1243,6,FALSE),"")</f>
        <v/>
      </c>
      <c r="N1244" s="46" t="e">
        <f t="shared" si="59"/>
        <v>#DIV/0!</v>
      </c>
      <c r="O1244" s="46" t="str">
        <f t="shared" si="60"/>
        <v/>
      </c>
      <c r="P1244" s="46">
        <f t="shared" si="61"/>
        <v>1</v>
      </c>
    </row>
    <row r="1245" spans="1:16" ht="14.25">
      <c r="A1245" s="80"/>
      <c r="B1245" s="80"/>
      <c r="C1245" s="80"/>
      <c r="D1245" s="80"/>
      <c r="E1245" s="76" t="str">
        <f>IFERROR(VLOOKUP(C1245,$C$9:E1244,3,0),"")</f>
        <v/>
      </c>
      <c r="F1245" s="57" t="str">
        <f>IFERROR(VLOOKUP(C1245,$C$9:H1244,4,FALSE),"")</f>
        <v/>
      </c>
      <c r="G1245" s="61" t="str">
        <f>IFERROR(VLOOKUP(C1245,$C$9:G1244,5,FALSE),"")</f>
        <v/>
      </c>
      <c r="H1245" s="61" t="str">
        <f>IFERROR(VLOOKUP(C1245,$C$9:H1244,6,FALSE),"")</f>
        <v/>
      </c>
      <c r="N1245" s="46" t="e">
        <f t="shared" si="59"/>
        <v>#DIV/0!</v>
      </c>
      <c r="O1245" s="46" t="str">
        <f t="shared" si="60"/>
        <v/>
      </c>
      <c r="P1245" s="46">
        <f t="shared" si="61"/>
        <v>1</v>
      </c>
    </row>
    <row r="1246" spans="1:16" ht="14.25">
      <c r="A1246" s="80"/>
      <c r="B1246" s="80"/>
      <c r="C1246" s="80"/>
      <c r="D1246" s="80"/>
      <c r="E1246" s="76" t="str">
        <f>IFERROR(VLOOKUP(C1246,$C$9:E1245,3,0),"")</f>
        <v/>
      </c>
      <c r="F1246" s="57" t="str">
        <f>IFERROR(VLOOKUP(C1246,$C$9:H1245,4,FALSE),"")</f>
        <v/>
      </c>
      <c r="G1246" s="61" t="str">
        <f>IFERROR(VLOOKUP(C1246,$C$9:G1245,5,FALSE),"")</f>
        <v/>
      </c>
      <c r="H1246" s="61" t="str">
        <f>IFERROR(VLOOKUP(C1246,$C$9:H1245,6,FALSE),"")</f>
        <v/>
      </c>
      <c r="N1246" s="46" t="e">
        <f t="shared" si="59"/>
        <v>#DIV/0!</v>
      </c>
      <c r="O1246" s="46" t="str">
        <f t="shared" si="60"/>
        <v/>
      </c>
      <c r="P1246" s="46">
        <f t="shared" si="61"/>
        <v>1</v>
      </c>
    </row>
    <row r="1247" spans="1:16" ht="14.25">
      <c r="A1247" s="80"/>
      <c r="B1247" s="80"/>
      <c r="C1247" s="80"/>
      <c r="D1247" s="80"/>
      <c r="E1247" s="76" t="str">
        <f>IFERROR(VLOOKUP(C1247,$C$9:E1246,3,0),"")</f>
        <v/>
      </c>
      <c r="F1247" s="57" t="str">
        <f>IFERROR(VLOOKUP(C1247,$C$9:H1246,4,FALSE),"")</f>
        <v/>
      </c>
      <c r="G1247" s="61" t="str">
        <f>IFERROR(VLOOKUP(C1247,$C$9:G1246,5,FALSE),"")</f>
        <v/>
      </c>
      <c r="H1247" s="61" t="str">
        <f>IFERROR(VLOOKUP(C1247,$C$9:H1246,6,FALSE),"")</f>
        <v/>
      </c>
      <c r="N1247" s="46" t="e">
        <f t="shared" si="59"/>
        <v>#DIV/0!</v>
      </c>
      <c r="O1247" s="46" t="str">
        <f t="shared" si="60"/>
        <v/>
      </c>
      <c r="P1247" s="46">
        <f t="shared" si="61"/>
        <v>1</v>
      </c>
    </row>
    <row r="1248" spans="1:16" ht="14.25">
      <c r="A1248" s="80"/>
      <c r="B1248" s="80"/>
      <c r="C1248" s="80"/>
      <c r="D1248" s="80"/>
      <c r="E1248" s="76" t="str">
        <f>IFERROR(VLOOKUP(C1248,$C$9:E1247,3,0),"")</f>
        <v/>
      </c>
      <c r="F1248" s="57" t="str">
        <f>IFERROR(VLOOKUP(C1248,$C$9:H1247,4,FALSE),"")</f>
        <v/>
      </c>
      <c r="G1248" s="61" t="str">
        <f>IFERROR(VLOOKUP(C1248,$C$9:G1247,5,FALSE),"")</f>
        <v/>
      </c>
      <c r="H1248" s="61" t="str">
        <f>IFERROR(VLOOKUP(C1248,$C$9:H1247,6,FALSE),"")</f>
        <v/>
      </c>
      <c r="N1248" s="46" t="e">
        <f t="shared" si="59"/>
        <v>#DIV/0!</v>
      </c>
      <c r="O1248" s="46" t="str">
        <f t="shared" si="60"/>
        <v/>
      </c>
      <c r="P1248" s="46">
        <f t="shared" si="61"/>
        <v>1</v>
      </c>
    </row>
    <row r="1249" spans="1:16" ht="14.25">
      <c r="A1249" s="80"/>
      <c r="B1249" s="80"/>
      <c r="C1249" s="80"/>
      <c r="D1249" s="80"/>
      <c r="E1249" s="76" t="str">
        <f>IFERROR(VLOOKUP(C1249,$C$9:E1248,3,0),"")</f>
        <v/>
      </c>
      <c r="F1249" s="57" t="str">
        <f>IFERROR(VLOOKUP(C1249,$C$9:H1248,4,FALSE),"")</f>
        <v/>
      </c>
      <c r="G1249" s="61" t="str">
        <f>IFERROR(VLOOKUP(C1249,$C$9:G1248,5,FALSE),"")</f>
        <v/>
      </c>
      <c r="H1249" s="61" t="str">
        <f>IFERROR(VLOOKUP(C1249,$C$9:H1248,6,FALSE),"")</f>
        <v/>
      </c>
      <c r="N1249" s="46" t="e">
        <f t="shared" si="59"/>
        <v>#DIV/0!</v>
      </c>
      <c r="O1249" s="46" t="str">
        <f t="shared" si="60"/>
        <v/>
      </c>
      <c r="P1249" s="46">
        <f t="shared" si="61"/>
        <v>1</v>
      </c>
    </row>
    <row r="1250" spans="1:16" ht="14.25">
      <c r="A1250" s="80"/>
      <c r="B1250" s="80"/>
      <c r="C1250" s="80"/>
      <c r="D1250" s="80"/>
      <c r="E1250" s="76" t="str">
        <f>IFERROR(VLOOKUP(C1250,$C$9:E1249,3,0),"")</f>
        <v/>
      </c>
      <c r="F1250" s="57" t="str">
        <f>IFERROR(VLOOKUP(C1250,$C$9:H1249,4,FALSE),"")</f>
        <v/>
      </c>
      <c r="G1250" s="61" t="str">
        <f>IFERROR(VLOOKUP(C1250,$C$9:G1249,5,FALSE),"")</f>
        <v/>
      </c>
      <c r="H1250" s="61" t="str">
        <f>IFERROR(VLOOKUP(C1250,$C$9:H1249,6,FALSE),"")</f>
        <v/>
      </c>
      <c r="N1250" s="46" t="e">
        <f t="shared" si="59"/>
        <v>#DIV/0!</v>
      </c>
      <c r="O1250" s="46" t="str">
        <f t="shared" si="60"/>
        <v/>
      </c>
      <c r="P1250" s="46">
        <f t="shared" si="61"/>
        <v>1</v>
      </c>
    </row>
    <row r="1251" spans="1:16" ht="14.25">
      <c r="A1251" s="80"/>
      <c r="B1251" s="80"/>
      <c r="C1251" s="80"/>
      <c r="D1251" s="80"/>
      <c r="E1251" s="76" t="str">
        <f>IFERROR(VLOOKUP(C1251,$C$9:E1250,3,0),"")</f>
        <v/>
      </c>
      <c r="F1251" s="57" t="str">
        <f>IFERROR(VLOOKUP(C1251,$C$9:H1250,4,FALSE),"")</f>
        <v/>
      </c>
      <c r="G1251" s="61" t="str">
        <f>IFERROR(VLOOKUP(C1251,$C$9:G1250,5,FALSE),"")</f>
        <v/>
      </c>
      <c r="H1251" s="61" t="str">
        <f>IFERROR(VLOOKUP(C1251,$C$9:H1250,6,FALSE),"")</f>
        <v/>
      </c>
      <c r="N1251" s="46" t="e">
        <f t="shared" si="59"/>
        <v>#DIV/0!</v>
      </c>
      <c r="O1251" s="46" t="str">
        <f t="shared" si="60"/>
        <v/>
      </c>
      <c r="P1251" s="46">
        <f t="shared" si="61"/>
        <v>1</v>
      </c>
    </row>
    <row r="1252" spans="1:16" ht="14.25">
      <c r="A1252" s="80"/>
      <c r="B1252" s="80"/>
      <c r="C1252" s="80"/>
      <c r="D1252" s="80"/>
      <c r="E1252" s="76" t="str">
        <f>IFERROR(VLOOKUP(C1252,$C$9:E1251,3,0),"")</f>
        <v/>
      </c>
      <c r="F1252" s="57" t="str">
        <f>IFERROR(VLOOKUP(C1252,$C$9:H1251,4,FALSE),"")</f>
        <v/>
      </c>
      <c r="G1252" s="61" t="str">
        <f>IFERROR(VLOOKUP(C1252,$C$9:G1251,5,FALSE),"")</f>
        <v/>
      </c>
      <c r="H1252" s="61" t="str">
        <f>IFERROR(VLOOKUP(C1252,$C$9:H1251,6,FALSE),"")</f>
        <v/>
      </c>
      <c r="N1252" s="46" t="e">
        <f t="shared" si="59"/>
        <v>#DIV/0!</v>
      </c>
      <c r="O1252" s="46" t="str">
        <f t="shared" si="60"/>
        <v/>
      </c>
      <c r="P1252" s="46">
        <f t="shared" si="61"/>
        <v>1</v>
      </c>
    </row>
    <row r="1253" spans="1:16" ht="14.25">
      <c r="A1253" s="80"/>
      <c r="B1253" s="80"/>
      <c r="C1253" s="80"/>
      <c r="D1253" s="80"/>
      <c r="E1253" s="76" t="str">
        <f>IFERROR(VLOOKUP(C1253,$C$9:E1252,3,0),"")</f>
        <v/>
      </c>
      <c r="F1253" s="57" t="str">
        <f>IFERROR(VLOOKUP(C1253,$C$9:H1252,4,FALSE),"")</f>
        <v/>
      </c>
      <c r="G1253" s="61" t="str">
        <f>IFERROR(VLOOKUP(C1253,$C$9:G1252,5,FALSE),"")</f>
        <v/>
      </c>
      <c r="H1253" s="61" t="str">
        <f>IFERROR(VLOOKUP(C1253,$C$9:H1252,6,FALSE),"")</f>
        <v/>
      </c>
      <c r="N1253" s="46" t="e">
        <f t="shared" si="59"/>
        <v>#DIV/0!</v>
      </c>
      <c r="O1253" s="46" t="str">
        <f t="shared" si="60"/>
        <v/>
      </c>
      <c r="P1253" s="46">
        <f t="shared" si="61"/>
        <v>1</v>
      </c>
    </row>
    <row r="1254" spans="1:16" ht="14.25">
      <c r="A1254" s="80"/>
      <c r="B1254" s="80"/>
      <c r="C1254" s="80"/>
      <c r="D1254" s="80"/>
      <c r="E1254" s="76" t="str">
        <f>IFERROR(VLOOKUP(C1254,$C$9:E1253,3,0),"")</f>
        <v/>
      </c>
      <c r="F1254" s="57" t="str">
        <f>IFERROR(VLOOKUP(C1254,$C$9:H1253,4,FALSE),"")</f>
        <v/>
      </c>
      <c r="G1254" s="61" t="str">
        <f>IFERROR(VLOOKUP(C1254,$C$9:G1253,5,FALSE),"")</f>
        <v/>
      </c>
      <c r="H1254" s="61" t="str">
        <f>IFERROR(VLOOKUP(C1254,$C$9:H1253,6,FALSE),"")</f>
        <v/>
      </c>
      <c r="N1254" s="46" t="e">
        <f t="shared" si="59"/>
        <v>#DIV/0!</v>
      </c>
      <c r="O1254" s="46" t="str">
        <f t="shared" si="60"/>
        <v/>
      </c>
      <c r="P1254" s="46">
        <f t="shared" si="61"/>
        <v>1</v>
      </c>
    </row>
    <row r="1255" spans="1:16" ht="14.25">
      <c r="A1255" s="80"/>
      <c r="B1255" s="80"/>
      <c r="C1255" s="80"/>
      <c r="D1255" s="80"/>
      <c r="E1255" s="76" t="str">
        <f>IFERROR(VLOOKUP(C1255,$C$9:E1254,3,0),"")</f>
        <v/>
      </c>
      <c r="F1255" s="57" t="str">
        <f>IFERROR(VLOOKUP(C1255,$C$9:H1254,4,FALSE),"")</f>
        <v/>
      </c>
      <c r="G1255" s="61" t="str">
        <f>IFERROR(VLOOKUP(C1255,$C$9:G1254,5,FALSE),"")</f>
        <v/>
      </c>
      <c r="H1255" s="61" t="str">
        <f>IFERROR(VLOOKUP(C1255,$C$9:H1254,6,FALSE),"")</f>
        <v/>
      </c>
      <c r="N1255" s="46" t="e">
        <f t="shared" si="59"/>
        <v>#DIV/0!</v>
      </c>
      <c r="O1255" s="46" t="str">
        <f t="shared" si="60"/>
        <v/>
      </c>
      <c r="P1255" s="46">
        <f t="shared" si="61"/>
        <v>1</v>
      </c>
    </row>
    <row r="1256" spans="1:16" ht="14.25">
      <c r="A1256" s="80"/>
      <c r="B1256" s="80"/>
      <c r="C1256" s="80"/>
      <c r="D1256" s="80"/>
      <c r="E1256" s="76" t="str">
        <f>IFERROR(VLOOKUP(C1256,$C$9:E1255,3,0),"")</f>
        <v/>
      </c>
      <c r="F1256" s="57" t="str">
        <f>IFERROR(VLOOKUP(C1256,$C$9:H1255,4,FALSE),"")</f>
        <v/>
      </c>
      <c r="G1256" s="61" t="str">
        <f>IFERROR(VLOOKUP(C1256,$C$9:G1255,5,FALSE),"")</f>
        <v/>
      </c>
      <c r="H1256" s="61" t="str">
        <f>IFERROR(VLOOKUP(C1256,$C$9:H1255,6,FALSE),"")</f>
        <v/>
      </c>
      <c r="N1256" s="46" t="e">
        <f t="shared" si="59"/>
        <v>#DIV/0!</v>
      </c>
      <c r="O1256" s="46" t="str">
        <f t="shared" si="60"/>
        <v/>
      </c>
      <c r="P1256" s="46">
        <f t="shared" si="61"/>
        <v>1</v>
      </c>
    </row>
    <row r="1257" spans="1:16" ht="14.25">
      <c r="A1257" s="80"/>
      <c r="B1257" s="80"/>
      <c r="C1257" s="80"/>
      <c r="D1257" s="80"/>
      <c r="E1257" s="76" t="str">
        <f>IFERROR(VLOOKUP(C1257,$C$9:E1256,3,0),"")</f>
        <v/>
      </c>
      <c r="F1257" s="57" t="str">
        <f>IFERROR(VLOOKUP(C1257,$C$9:H1256,4,FALSE),"")</f>
        <v/>
      </c>
      <c r="G1257" s="61" t="str">
        <f>IFERROR(VLOOKUP(C1257,$C$9:G1256,5,FALSE),"")</f>
        <v/>
      </c>
      <c r="H1257" s="61" t="str">
        <f>IFERROR(VLOOKUP(C1257,$C$9:H1256,6,FALSE),"")</f>
        <v/>
      </c>
      <c r="N1257" s="46" t="e">
        <f t="shared" si="59"/>
        <v>#DIV/0!</v>
      </c>
      <c r="O1257" s="46" t="str">
        <f t="shared" si="60"/>
        <v/>
      </c>
      <c r="P1257" s="46">
        <f t="shared" si="61"/>
        <v>1</v>
      </c>
    </row>
    <row r="1258" spans="1:16" ht="14.25">
      <c r="A1258" s="80"/>
      <c r="B1258" s="80"/>
      <c r="C1258" s="80"/>
      <c r="D1258" s="80"/>
      <c r="E1258" s="76" t="str">
        <f>IFERROR(VLOOKUP(C1258,$C$9:E1257,3,0),"")</f>
        <v/>
      </c>
      <c r="F1258" s="57" t="str">
        <f>IFERROR(VLOOKUP(C1258,$C$9:H1257,4,FALSE),"")</f>
        <v/>
      </c>
      <c r="G1258" s="61" t="str">
        <f>IFERROR(VLOOKUP(C1258,$C$9:G1257,5,FALSE),"")</f>
        <v/>
      </c>
      <c r="H1258" s="61" t="str">
        <f>IFERROR(VLOOKUP(C1258,$C$9:H1257,6,FALSE),"")</f>
        <v/>
      </c>
      <c r="N1258" s="46" t="e">
        <f t="shared" si="59"/>
        <v>#DIV/0!</v>
      </c>
      <c r="O1258" s="46" t="str">
        <f t="shared" si="60"/>
        <v/>
      </c>
      <c r="P1258" s="46">
        <f t="shared" si="61"/>
        <v>1</v>
      </c>
    </row>
    <row r="1259" spans="1:16" ht="14.25">
      <c r="A1259" s="80"/>
      <c r="B1259" s="80"/>
      <c r="C1259" s="80"/>
      <c r="D1259" s="80"/>
      <c r="E1259" s="76" t="str">
        <f>IFERROR(VLOOKUP(C1259,$C$9:E1258,3,0),"")</f>
        <v/>
      </c>
      <c r="F1259" s="57" t="str">
        <f>IFERROR(VLOOKUP(C1259,$C$9:H1258,4,FALSE),"")</f>
        <v/>
      </c>
      <c r="G1259" s="61" t="str">
        <f>IFERROR(VLOOKUP(C1259,$C$9:G1258,5,FALSE),"")</f>
        <v/>
      </c>
      <c r="H1259" s="61" t="str">
        <f>IFERROR(VLOOKUP(C1259,$C$9:H1258,6,FALSE),"")</f>
        <v/>
      </c>
      <c r="N1259" s="46" t="e">
        <f t="shared" si="59"/>
        <v>#DIV/0!</v>
      </c>
      <c r="O1259" s="46" t="str">
        <f t="shared" si="60"/>
        <v/>
      </c>
      <c r="P1259" s="46">
        <f t="shared" si="61"/>
        <v>1</v>
      </c>
    </row>
    <row r="1260" spans="1:16" ht="14.25">
      <c r="A1260" s="80"/>
      <c r="B1260" s="80"/>
      <c r="C1260" s="80"/>
      <c r="D1260" s="80"/>
      <c r="E1260" s="76" t="str">
        <f>IFERROR(VLOOKUP(C1260,$C$9:E1259,3,0),"")</f>
        <v/>
      </c>
      <c r="F1260" s="57" t="str">
        <f>IFERROR(VLOOKUP(C1260,$C$9:H1259,4,FALSE),"")</f>
        <v/>
      </c>
      <c r="G1260" s="61" t="str">
        <f>IFERROR(VLOOKUP(C1260,$C$9:G1259,5,FALSE),"")</f>
        <v/>
      </c>
      <c r="H1260" s="61" t="str">
        <f>IFERROR(VLOOKUP(C1260,$C$9:H1259,6,FALSE),"")</f>
        <v/>
      </c>
      <c r="N1260" s="46" t="e">
        <f t="shared" si="59"/>
        <v>#DIV/0!</v>
      </c>
      <c r="O1260" s="46" t="str">
        <f t="shared" si="60"/>
        <v/>
      </c>
      <c r="P1260" s="46">
        <f t="shared" si="61"/>
        <v>1</v>
      </c>
    </row>
    <row r="1261" spans="1:16" ht="14.25">
      <c r="A1261" s="80"/>
      <c r="B1261" s="80"/>
      <c r="C1261" s="80"/>
      <c r="D1261" s="80"/>
      <c r="E1261" s="76" t="str">
        <f>IFERROR(VLOOKUP(C1261,$C$9:E1260,3,0),"")</f>
        <v/>
      </c>
      <c r="F1261" s="57" t="str">
        <f>IFERROR(VLOOKUP(C1261,$C$9:H1260,4,FALSE),"")</f>
        <v/>
      </c>
      <c r="G1261" s="61" t="str">
        <f>IFERROR(VLOOKUP(C1261,$C$9:G1260,5,FALSE),"")</f>
        <v/>
      </c>
      <c r="H1261" s="61" t="str">
        <f>IFERROR(VLOOKUP(C1261,$C$9:H1260,6,FALSE),"")</f>
        <v/>
      </c>
      <c r="N1261" s="46" t="e">
        <f t="shared" si="59"/>
        <v>#DIV/0!</v>
      </c>
      <c r="O1261" s="46" t="str">
        <f t="shared" si="60"/>
        <v/>
      </c>
      <c r="P1261" s="46">
        <f t="shared" si="61"/>
        <v>1</v>
      </c>
    </row>
    <row r="1262" spans="1:16" ht="14.25">
      <c r="A1262" s="80"/>
      <c r="B1262" s="80"/>
      <c r="C1262" s="80"/>
      <c r="D1262" s="80"/>
      <c r="E1262" s="76" t="str">
        <f>IFERROR(VLOOKUP(C1262,$C$9:E1261,3,0),"")</f>
        <v/>
      </c>
      <c r="F1262" s="57" t="str">
        <f>IFERROR(VLOOKUP(C1262,$C$9:H1261,4,FALSE),"")</f>
        <v/>
      </c>
      <c r="G1262" s="61" t="str">
        <f>IFERROR(VLOOKUP(C1262,$C$9:G1261,5,FALSE),"")</f>
        <v/>
      </c>
      <c r="H1262" s="61" t="str">
        <f>IFERROR(VLOOKUP(C1262,$C$9:H1261,6,FALSE),"")</f>
        <v/>
      </c>
      <c r="N1262" s="46" t="e">
        <f t="shared" si="59"/>
        <v>#DIV/0!</v>
      </c>
      <c r="O1262" s="46" t="str">
        <f t="shared" si="60"/>
        <v/>
      </c>
      <c r="P1262" s="46">
        <f t="shared" si="61"/>
        <v>1</v>
      </c>
    </row>
    <row r="1263" spans="1:16" ht="14.25">
      <c r="A1263" s="80"/>
      <c r="B1263" s="80"/>
      <c r="C1263" s="80"/>
      <c r="D1263" s="80"/>
      <c r="E1263" s="76" t="str">
        <f>IFERROR(VLOOKUP(C1263,$C$9:E1262,3,0),"")</f>
        <v/>
      </c>
      <c r="F1263" s="57" t="str">
        <f>IFERROR(VLOOKUP(C1263,$C$9:H1262,4,FALSE),"")</f>
        <v/>
      </c>
      <c r="G1263" s="61" t="str">
        <f>IFERROR(VLOOKUP(C1263,$C$9:G1262,5,FALSE),"")</f>
        <v/>
      </c>
      <c r="H1263" s="61" t="str">
        <f>IFERROR(VLOOKUP(C1263,$C$9:H1262,6,FALSE),"")</f>
        <v/>
      </c>
      <c r="N1263" s="46" t="e">
        <f t="shared" si="59"/>
        <v>#DIV/0!</v>
      </c>
      <c r="O1263" s="46" t="str">
        <f t="shared" si="60"/>
        <v/>
      </c>
      <c r="P1263" s="46">
        <f t="shared" si="61"/>
        <v>1</v>
      </c>
    </row>
    <row r="1264" spans="1:16" ht="14.25">
      <c r="A1264" s="80"/>
      <c r="B1264" s="80"/>
      <c r="C1264" s="80"/>
      <c r="D1264" s="80"/>
      <c r="E1264" s="76" t="str">
        <f>IFERROR(VLOOKUP(C1264,$C$9:E1263,3,0),"")</f>
        <v/>
      </c>
      <c r="F1264" s="57" t="str">
        <f>IFERROR(VLOOKUP(C1264,$C$9:H1263,4,FALSE),"")</f>
        <v/>
      </c>
      <c r="G1264" s="61" t="str">
        <f>IFERROR(VLOOKUP(C1264,$C$9:G1263,5,FALSE),"")</f>
        <v/>
      </c>
      <c r="H1264" s="61" t="str">
        <f>IFERROR(VLOOKUP(C1264,$C$9:H1263,6,FALSE),"")</f>
        <v/>
      </c>
      <c r="N1264" s="46" t="e">
        <f t="shared" si="59"/>
        <v>#DIV/0!</v>
      </c>
      <c r="O1264" s="46" t="str">
        <f t="shared" si="60"/>
        <v/>
      </c>
      <c r="P1264" s="46">
        <f t="shared" si="61"/>
        <v>1</v>
      </c>
    </row>
    <row r="1265" spans="1:16" ht="14.25">
      <c r="A1265" s="80"/>
      <c r="B1265" s="80"/>
      <c r="C1265" s="80"/>
      <c r="D1265" s="80"/>
      <c r="E1265" s="76" t="str">
        <f>IFERROR(VLOOKUP(C1265,$C$9:E1264,3,0),"")</f>
        <v/>
      </c>
      <c r="F1265" s="57" t="str">
        <f>IFERROR(VLOOKUP(C1265,$C$9:H1264,4,FALSE),"")</f>
        <v/>
      </c>
      <c r="G1265" s="61" t="str">
        <f>IFERROR(VLOOKUP(C1265,$C$9:G1264,5,FALSE),"")</f>
        <v/>
      </c>
      <c r="H1265" s="61" t="str">
        <f>IFERROR(VLOOKUP(C1265,$C$9:H1264,6,FALSE),"")</f>
        <v/>
      </c>
      <c r="N1265" s="46" t="e">
        <f t="shared" si="59"/>
        <v>#DIV/0!</v>
      </c>
      <c r="O1265" s="46" t="str">
        <f t="shared" si="60"/>
        <v/>
      </c>
      <c r="P1265" s="46">
        <f t="shared" si="61"/>
        <v>1</v>
      </c>
    </row>
    <row r="1266" spans="1:16" ht="14.25">
      <c r="A1266" s="80"/>
      <c r="B1266" s="80"/>
      <c r="C1266" s="80"/>
      <c r="D1266" s="80"/>
      <c r="E1266" s="76" t="str">
        <f>IFERROR(VLOOKUP(C1266,$C$9:E1265,3,0),"")</f>
        <v/>
      </c>
      <c r="F1266" s="57" t="str">
        <f>IFERROR(VLOOKUP(C1266,$C$9:H1265,4,FALSE),"")</f>
        <v/>
      </c>
      <c r="G1266" s="61" t="str">
        <f>IFERROR(VLOOKUP(C1266,$C$9:G1265,5,FALSE),"")</f>
        <v/>
      </c>
      <c r="H1266" s="61" t="str">
        <f>IFERROR(VLOOKUP(C1266,$C$9:H1265,6,FALSE),"")</f>
        <v/>
      </c>
      <c r="N1266" s="46" t="e">
        <f t="shared" si="59"/>
        <v>#DIV/0!</v>
      </c>
      <c r="O1266" s="46" t="str">
        <f t="shared" si="60"/>
        <v/>
      </c>
      <c r="P1266" s="46">
        <f t="shared" si="61"/>
        <v>1</v>
      </c>
    </row>
    <row r="1267" spans="1:16" ht="14.25">
      <c r="A1267" s="80"/>
      <c r="B1267" s="80"/>
      <c r="C1267" s="80"/>
      <c r="D1267" s="80"/>
      <c r="E1267" s="76" t="str">
        <f>IFERROR(VLOOKUP(C1267,$C$9:E1266,3,0),"")</f>
        <v/>
      </c>
      <c r="F1267" s="57" t="str">
        <f>IFERROR(VLOOKUP(C1267,$C$9:H1266,4,FALSE),"")</f>
        <v/>
      </c>
      <c r="G1267" s="61" t="str">
        <f>IFERROR(VLOOKUP(C1267,$C$9:G1266,5,FALSE),"")</f>
        <v/>
      </c>
      <c r="H1267" s="61" t="str">
        <f>IFERROR(VLOOKUP(C1267,$C$9:H1266,6,FALSE),"")</f>
        <v/>
      </c>
      <c r="N1267" s="46" t="e">
        <f t="shared" si="59"/>
        <v>#DIV/0!</v>
      </c>
      <c r="O1267" s="46" t="str">
        <f t="shared" si="60"/>
        <v/>
      </c>
      <c r="P1267" s="46">
        <f t="shared" si="61"/>
        <v>1</v>
      </c>
    </row>
    <row r="1268" spans="1:16" ht="14.25">
      <c r="A1268" s="80"/>
      <c r="B1268" s="80"/>
      <c r="C1268" s="80"/>
      <c r="D1268" s="80"/>
      <c r="E1268" s="76" t="str">
        <f>IFERROR(VLOOKUP(C1268,$C$9:E1267,3,0),"")</f>
        <v/>
      </c>
      <c r="F1268" s="57" t="str">
        <f>IFERROR(VLOOKUP(C1268,$C$9:H1267,4,FALSE),"")</f>
        <v/>
      </c>
      <c r="G1268" s="61" t="str">
        <f>IFERROR(VLOOKUP(C1268,$C$9:G1267,5,FALSE),"")</f>
        <v/>
      </c>
      <c r="H1268" s="61" t="str">
        <f>IFERROR(VLOOKUP(C1268,$C$9:H1267,6,FALSE),"")</f>
        <v/>
      </c>
      <c r="N1268" s="46" t="e">
        <f t="shared" si="59"/>
        <v>#DIV/0!</v>
      </c>
      <c r="O1268" s="46" t="str">
        <f t="shared" si="60"/>
        <v/>
      </c>
      <c r="P1268" s="46">
        <f t="shared" si="61"/>
        <v>1</v>
      </c>
    </row>
    <row r="1269" spans="1:16" ht="14.25">
      <c r="A1269" s="80"/>
      <c r="B1269" s="80"/>
      <c r="C1269" s="80"/>
      <c r="D1269" s="80"/>
      <c r="E1269" s="76" t="str">
        <f>IFERROR(VLOOKUP(C1269,$C$9:E1268,3,0),"")</f>
        <v/>
      </c>
      <c r="F1269" s="57" t="str">
        <f>IFERROR(VLOOKUP(C1269,$C$9:H1268,4,FALSE),"")</f>
        <v/>
      </c>
      <c r="G1269" s="61" t="str">
        <f>IFERROR(VLOOKUP(C1269,$C$9:G1268,5,FALSE),"")</f>
        <v/>
      </c>
      <c r="H1269" s="61" t="str">
        <f>IFERROR(VLOOKUP(C1269,$C$9:H1268,6,FALSE),"")</f>
        <v/>
      </c>
      <c r="N1269" s="46" t="e">
        <f t="shared" si="59"/>
        <v>#DIV/0!</v>
      </c>
      <c r="O1269" s="46" t="str">
        <f t="shared" si="60"/>
        <v/>
      </c>
      <c r="P1269" s="46">
        <f t="shared" si="61"/>
        <v>1</v>
      </c>
    </row>
    <row r="1270" spans="1:16" ht="14.25">
      <c r="A1270" s="80"/>
      <c r="B1270" s="80"/>
      <c r="C1270" s="80"/>
      <c r="D1270" s="80"/>
      <c r="E1270" s="76" t="str">
        <f>IFERROR(VLOOKUP(C1270,$C$9:E1269,3,0),"")</f>
        <v/>
      </c>
      <c r="F1270" s="57" t="str">
        <f>IFERROR(VLOOKUP(C1270,$C$9:H1269,4,FALSE),"")</f>
        <v/>
      </c>
      <c r="G1270" s="61" t="str">
        <f>IFERROR(VLOOKUP(C1270,$C$9:G1269,5,FALSE),"")</f>
        <v/>
      </c>
      <c r="H1270" s="61" t="str">
        <f>IFERROR(VLOOKUP(C1270,$C$9:H1269,6,FALSE),"")</f>
        <v/>
      </c>
      <c r="N1270" s="46" t="e">
        <f t="shared" si="59"/>
        <v>#DIV/0!</v>
      </c>
      <c r="O1270" s="46" t="str">
        <f t="shared" si="60"/>
        <v/>
      </c>
      <c r="P1270" s="46">
        <f t="shared" si="61"/>
        <v>1</v>
      </c>
    </row>
    <row r="1271" spans="1:16" ht="14.25">
      <c r="A1271" s="80"/>
      <c r="B1271" s="80"/>
      <c r="C1271" s="80"/>
      <c r="D1271" s="80"/>
      <c r="E1271" s="76" t="str">
        <f>IFERROR(VLOOKUP(C1271,$C$9:E1270,3,0),"")</f>
        <v/>
      </c>
      <c r="F1271" s="57" t="str">
        <f>IFERROR(VLOOKUP(C1271,$C$9:H1270,4,FALSE),"")</f>
        <v/>
      </c>
      <c r="G1271" s="61" t="str">
        <f>IFERROR(VLOOKUP(C1271,$C$9:G1270,5,FALSE),"")</f>
        <v/>
      </c>
      <c r="H1271" s="61" t="str">
        <f>IFERROR(VLOOKUP(C1271,$C$9:H1270,6,FALSE),"")</f>
        <v/>
      </c>
      <c r="N1271" s="46" t="e">
        <f t="shared" si="59"/>
        <v>#DIV/0!</v>
      </c>
      <c r="O1271" s="46" t="str">
        <f t="shared" si="60"/>
        <v/>
      </c>
      <c r="P1271" s="46">
        <f t="shared" si="61"/>
        <v>1</v>
      </c>
    </row>
    <row r="1272" spans="1:16" ht="14.25">
      <c r="A1272" s="80"/>
      <c r="B1272" s="80"/>
      <c r="C1272" s="80"/>
      <c r="D1272" s="80"/>
      <c r="E1272" s="76" t="str">
        <f>IFERROR(VLOOKUP(C1272,$C$9:E1271,3,0),"")</f>
        <v/>
      </c>
      <c r="F1272" s="57" t="str">
        <f>IFERROR(VLOOKUP(C1272,$C$9:H1271,4,FALSE),"")</f>
        <v/>
      </c>
      <c r="G1272" s="61" t="str">
        <f>IFERROR(VLOOKUP(C1272,$C$9:G1271,5,FALSE),"")</f>
        <v/>
      </c>
      <c r="H1272" s="61" t="str">
        <f>IFERROR(VLOOKUP(C1272,$C$9:H1271,6,FALSE),"")</f>
        <v/>
      </c>
      <c r="N1272" s="46" t="e">
        <f t="shared" si="59"/>
        <v>#DIV/0!</v>
      </c>
      <c r="O1272" s="46" t="str">
        <f t="shared" si="60"/>
        <v/>
      </c>
      <c r="P1272" s="46">
        <f t="shared" si="61"/>
        <v>1</v>
      </c>
    </row>
    <row r="1273" spans="1:16" ht="14.25">
      <c r="A1273" s="80"/>
      <c r="B1273" s="80"/>
      <c r="C1273" s="80"/>
      <c r="D1273" s="80"/>
      <c r="E1273" s="76" t="str">
        <f>IFERROR(VLOOKUP(C1273,$C$9:E1272,3,0),"")</f>
        <v/>
      </c>
      <c r="F1273" s="57" t="str">
        <f>IFERROR(VLOOKUP(C1273,$C$9:H1272,4,FALSE),"")</f>
        <v/>
      </c>
      <c r="G1273" s="61" t="str">
        <f>IFERROR(VLOOKUP(C1273,$C$9:G1272,5,FALSE),"")</f>
        <v/>
      </c>
      <c r="H1273" s="61" t="str">
        <f>IFERROR(VLOOKUP(C1273,$C$9:H1272,6,FALSE),"")</f>
        <v/>
      </c>
      <c r="N1273" s="46" t="e">
        <f t="shared" si="59"/>
        <v>#DIV/0!</v>
      </c>
      <c r="O1273" s="46" t="str">
        <f t="shared" si="60"/>
        <v/>
      </c>
      <c r="P1273" s="46">
        <f t="shared" si="61"/>
        <v>1</v>
      </c>
    </row>
    <row r="1274" spans="1:16" ht="14.25">
      <c r="A1274" s="80"/>
      <c r="B1274" s="80"/>
      <c r="C1274" s="80"/>
      <c r="D1274" s="80"/>
      <c r="E1274" s="76" t="str">
        <f>IFERROR(VLOOKUP(C1274,$C$9:E1273,3,0),"")</f>
        <v/>
      </c>
      <c r="F1274" s="57" t="str">
        <f>IFERROR(VLOOKUP(C1274,$C$9:H1273,4,FALSE),"")</f>
        <v/>
      </c>
      <c r="G1274" s="61" t="str">
        <f>IFERROR(VLOOKUP(C1274,$C$9:G1273,5,FALSE),"")</f>
        <v/>
      </c>
      <c r="H1274" s="61" t="str">
        <f>IFERROR(VLOOKUP(C1274,$C$9:H1273,6,FALSE),"")</f>
        <v/>
      </c>
      <c r="N1274" s="46" t="e">
        <f t="shared" si="59"/>
        <v>#DIV/0!</v>
      </c>
      <c r="O1274" s="46" t="str">
        <f t="shared" si="60"/>
        <v/>
      </c>
      <c r="P1274" s="46">
        <f t="shared" si="61"/>
        <v>1</v>
      </c>
    </row>
    <row r="1275" spans="1:16" ht="14.25">
      <c r="A1275" s="80"/>
      <c r="B1275" s="80"/>
      <c r="C1275" s="80"/>
      <c r="D1275" s="80"/>
      <c r="E1275" s="76" t="str">
        <f>IFERROR(VLOOKUP(C1275,$C$9:E1274,3,0),"")</f>
        <v/>
      </c>
      <c r="F1275" s="57" t="str">
        <f>IFERROR(VLOOKUP(C1275,$C$9:H1274,4,FALSE),"")</f>
        <v/>
      </c>
      <c r="G1275" s="61" t="str">
        <f>IFERROR(VLOOKUP(C1275,$C$9:G1274,5,FALSE),"")</f>
        <v/>
      </c>
      <c r="H1275" s="61" t="str">
        <f>IFERROR(VLOOKUP(C1275,$C$9:H1274,6,FALSE),"")</f>
        <v/>
      </c>
      <c r="N1275" s="46" t="e">
        <f t="shared" si="59"/>
        <v>#DIV/0!</v>
      </c>
      <c r="O1275" s="46" t="str">
        <f t="shared" si="60"/>
        <v/>
      </c>
      <c r="P1275" s="46">
        <f t="shared" si="61"/>
        <v>1</v>
      </c>
    </row>
    <row r="1276" spans="1:16" ht="14.25">
      <c r="A1276" s="80"/>
      <c r="B1276" s="80"/>
      <c r="C1276" s="80"/>
      <c r="D1276" s="80"/>
      <c r="E1276" s="76" t="str">
        <f>IFERROR(VLOOKUP(C1276,$C$9:E1275,3,0),"")</f>
        <v/>
      </c>
      <c r="F1276" s="57" t="str">
        <f>IFERROR(VLOOKUP(C1276,$C$9:H1275,4,FALSE),"")</f>
        <v/>
      </c>
      <c r="G1276" s="61" t="str">
        <f>IFERROR(VLOOKUP(C1276,$C$9:G1275,5,FALSE),"")</f>
        <v/>
      </c>
      <c r="H1276" s="61" t="str">
        <f>IFERROR(VLOOKUP(C1276,$C$9:H1275,6,FALSE),"")</f>
        <v/>
      </c>
      <c r="N1276" s="46" t="e">
        <f t="shared" si="59"/>
        <v>#DIV/0!</v>
      </c>
      <c r="O1276" s="46" t="str">
        <f t="shared" si="60"/>
        <v/>
      </c>
      <c r="P1276" s="46">
        <f t="shared" si="61"/>
        <v>1</v>
      </c>
    </row>
    <row r="1277" spans="1:16" ht="14.25">
      <c r="A1277" s="80"/>
      <c r="B1277" s="80"/>
      <c r="C1277" s="80"/>
      <c r="D1277" s="80"/>
      <c r="E1277" s="76" t="str">
        <f>IFERROR(VLOOKUP(C1277,$C$9:E1276,3,0),"")</f>
        <v/>
      </c>
      <c r="F1277" s="57" t="str">
        <f>IFERROR(VLOOKUP(C1277,$C$9:H1276,4,FALSE),"")</f>
        <v/>
      </c>
      <c r="G1277" s="61" t="str">
        <f>IFERROR(VLOOKUP(C1277,$C$9:G1276,5,FALSE),"")</f>
        <v/>
      </c>
      <c r="H1277" s="61" t="str">
        <f>IFERROR(VLOOKUP(C1277,$C$9:H1276,6,FALSE),"")</f>
        <v/>
      </c>
      <c r="N1277" s="46" t="e">
        <f t="shared" si="59"/>
        <v>#DIV/0!</v>
      </c>
      <c r="O1277" s="46" t="str">
        <f t="shared" si="60"/>
        <v/>
      </c>
      <c r="P1277" s="46">
        <f t="shared" si="61"/>
        <v>1</v>
      </c>
    </row>
    <row r="1278" spans="1:16" ht="14.25">
      <c r="A1278" s="80"/>
      <c r="B1278" s="80"/>
      <c r="C1278" s="80"/>
      <c r="D1278" s="80"/>
      <c r="E1278" s="76" t="str">
        <f>IFERROR(VLOOKUP(C1278,$C$9:E1277,3,0),"")</f>
        <v/>
      </c>
      <c r="F1278" s="57" t="str">
        <f>IFERROR(VLOOKUP(C1278,$C$9:H1277,4,FALSE),"")</f>
        <v/>
      </c>
      <c r="G1278" s="61" t="str">
        <f>IFERROR(VLOOKUP(C1278,$C$9:G1277,5,FALSE),"")</f>
        <v/>
      </c>
      <c r="H1278" s="61" t="str">
        <f>IFERROR(VLOOKUP(C1278,$C$9:H1277,6,FALSE),"")</f>
        <v/>
      </c>
      <c r="N1278" s="46" t="e">
        <f t="shared" si="59"/>
        <v>#DIV/0!</v>
      </c>
      <c r="O1278" s="46" t="str">
        <f t="shared" si="60"/>
        <v/>
      </c>
      <c r="P1278" s="46">
        <f t="shared" si="61"/>
        <v>1</v>
      </c>
    </row>
    <row r="1279" spans="1:16" ht="14.25">
      <c r="A1279" s="80"/>
      <c r="B1279" s="80"/>
      <c r="C1279" s="80"/>
      <c r="D1279" s="80"/>
      <c r="E1279" s="76" t="str">
        <f>IFERROR(VLOOKUP(C1279,$C$9:E1278,3,0),"")</f>
        <v/>
      </c>
      <c r="F1279" s="57" t="str">
        <f>IFERROR(VLOOKUP(C1279,$C$9:H1278,4,FALSE),"")</f>
        <v/>
      </c>
      <c r="G1279" s="61" t="str">
        <f>IFERROR(VLOOKUP(C1279,$C$9:G1278,5,FALSE),"")</f>
        <v/>
      </c>
      <c r="H1279" s="61" t="str">
        <f>IFERROR(VLOOKUP(C1279,$C$9:H1278,6,FALSE),"")</f>
        <v/>
      </c>
      <c r="N1279" s="46" t="e">
        <f t="shared" si="59"/>
        <v>#DIV/0!</v>
      </c>
      <c r="O1279" s="46" t="str">
        <f t="shared" si="60"/>
        <v/>
      </c>
      <c r="P1279" s="46">
        <f t="shared" si="61"/>
        <v>1</v>
      </c>
    </row>
    <row r="1280" spans="1:16" ht="14.25">
      <c r="A1280" s="80"/>
      <c r="B1280" s="80"/>
      <c r="C1280" s="80"/>
      <c r="D1280" s="80"/>
      <c r="E1280" s="76" t="str">
        <f>IFERROR(VLOOKUP(C1280,$C$9:E1279,3,0),"")</f>
        <v/>
      </c>
      <c r="F1280" s="57" t="str">
        <f>IFERROR(VLOOKUP(C1280,$C$9:H1279,4,FALSE),"")</f>
        <v/>
      </c>
      <c r="G1280" s="61" t="str">
        <f>IFERROR(VLOOKUP(C1280,$C$9:G1279,5,FALSE),"")</f>
        <v/>
      </c>
      <c r="H1280" s="61" t="str">
        <f>IFERROR(VLOOKUP(C1280,$C$9:H1279,6,FALSE),"")</f>
        <v/>
      </c>
      <c r="N1280" s="46" t="e">
        <f t="shared" si="59"/>
        <v>#DIV/0!</v>
      </c>
      <c r="O1280" s="46" t="str">
        <f t="shared" si="60"/>
        <v/>
      </c>
      <c r="P1280" s="46">
        <f t="shared" si="61"/>
        <v>1</v>
      </c>
    </row>
    <row r="1281" spans="1:16" ht="14.25">
      <c r="A1281" s="80"/>
      <c r="B1281" s="80"/>
      <c r="C1281" s="80"/>
      <c r="D1281" s="80"/>
      <c r="E1281" s="76" t="str">
        <f>IFERROR(VLOOKUP(C1281,$C$9:E1280,3,0),"")</f>
        <v/>
      </c>
      <c r="F1281" s="57" t="str">
        <f>IFERROR(VLOOKUP(C1281,$C$9:H1280,4,FALSE),"")</f>
        <v/>
      </c>
      <c r="G1281" s="61" t="str">
        <f>IFERROR(VLOOKUP(C1281,$C$9:G1280,5,FALSE),"")</f>
        <v/>
      </c>
      <c r="H1281" s="61" t="str">
        <f>IFERROR(VLOOKUP(C1281,$C$9:H1280,6,FALSE),"")</f>
        <v/>
      </c>
      <c r="N1281" s="46" t="e">
        <f t="shared" si="59"/>
        <v>#DIV/0!</v>
      </c>
      <c r="O1281" s="46" t="str">
        <f t="shared" si="60"/>
        <v/>
      </c>
      <c r="P1281" s="46">
        <f t="shared" si="61"/>
        <v>1</v>
      </c>
    </row>
    <row r="1282" spans="1:16" ht="14.25">
      <c r="A1282" s="80"/>
      <c r="B1282" s="80"/>
      <c r="C1282" s="80"/>
      <c r="D1282" s="80"/>
      <c r="E1282" s="76" t="str">
        <f>IFERROR(VLOOKUP(C1282,$C$9:E1281,3,0),"")</f>
        <v/>
      </c>
      <c r="F1282" s="57" t="str">
        <f>IFERROR(VLOOKUP(C1282,$C$9:H1281,4,FALSE),"")</f>
        <v/>
      </c>
      <c r="G1282" s="61" t="str">
        <f>IFERROR(VLOOKUP(C1282,$C$9:G1281,5,FALSE),"")</f>
        <v/>
      </c>
      <c r="H1282" s="61" t="str">
        <f>IFERROR(VLOOKUP(C1282,$C$9:H1281,6,FALSE),"")</f>
        <v/>
      </c>
      <c r="N1282" s="46" t="e">
        <f t="shared" si="59"/>
        <v>#DIV/0!</v>
      </c>
      <c r="O1282" s="46" t="str">
        <f t="shared" si="60"/>
        <v/>
      </c>
      <c r="P1282" s="46">
        <f t="shared" si="61"/>
        <v>1</v>
      </c>
    </row>
    <row r="1283" spans="1:16" ht="14.25">
      <c r="A1283" s="80"/>
      <c r="B1283" s="80"/>
      <c r="C1283" s="80"/>
      <c r="D1283" s="80"/>
      <c r="E1283" s="76" t="str">
        <f>IFERROR(VLOOKUP(C1283,$C$9:E1282,3,0),"")</f>
        <v/>
      </c>
      <c r="F1283" s="57" t="str">
        <f>IFERROR(VLOOKUP(C1283,$C$9:H1282,4,FALSE),"")</f>
        <v/>
      </c>
      <c r="G1283" s="61" t="str">
        <f>IFERROR(VLOOKUP(C1283,$C$9:G1282,5,FALSE),"")</f>
        <v/>
      </c>
      <c r="H1283" s="61" t="str">
        <f>IFERROR(VLOOKUP(C1283,$C$9:H1282,6,FALSE),"")</f>
        <v/>
      </c>
      <c r="N1283" s="46" t="e">
        <f t="shared" si="59"/>
        <v>#DIV/0!</v>
      </c>
      <c r="O1283" s="46" t="str">
        <f t="shared" si="60"/>
        <v/>
      </c>
      <c r="P1283" s="46">
        <f t="shared" si="61"/>
        <v>1</v>
      </c>
    </row>
    <row r="1284" spans="1:16" ht="14.25">
      <c r="A1284" s="80"/>
      <c r="B1284" s="80"/>
      <c r="C1284" s="80"/>
      <c r="D1284" s="80"/>
      <c r="E1284" s="76" t="str">
        <f>IFERROR(VLOOKUP(C1284,$C$9:E1283,3,0),"")</f>
        <v/>
      </c>
      <c r="F1284" s="57" t="str">
        <f>IFERROR(VLOOKUP(C1284,$C$9:H1283,4,FALSE),"")</f>
        <v/>
      </c>
      <c r="G1284" s="61" t="str">
        <f>IFERROR(VLOOKUP(C1284,$C$9:G1283,5,FALSE),"")</f>
        <v/>
      </c>
      <c r="H1284" s="61" t="str">
        <f>IFERROR(VLOOKUP(C1284,$C$9:H1283,6,FALSE),"")</f>
        <v/>
      </c>
      <c r="N1284" s="46" t="e">
        <f t="shared" si="59"/>
        <v>#DIV/0!</v>
      </c>
      <c r="O1284" s="46" t="str">
        <f t="shared" si="60"/>
        <v/>
      </c>
      <c r="P1284" s="46">
        <f t="shared" si="61"/>
        <v>1</v>
      </c>
    </row>
    <row r="1285" spans="1:16" ht="14.25">
      <c r="A1285" s="80"/>
      <c r="B1285" s="80"/>
      <c r="C1285" s="80"/>
      <c r="D1285" s="80"/>
      <c r="E1285" s="76" t="str">
        <f>IFERROR(VLOOKUP(C1285,$C$9:E1284,3,0),"")</f>
        <v/>
      </c>
      <c r="F1285" s="57" t="str">
        <f>IFERROR(VLOOKUP(C1285,$C$9:H1284,4,FALSE),"")</f>
        <v/>
      </c>
      <c r="G1285" s="61" t="str">
        <f>IFERROR(VLOOKUP(C1285,$C$9:G1284,5,FALSE),"")</f>
        <v/>
      </c>
      <c r="H1285" s="61" t="str">
        <f>IFERROR(VLOOKUP(C1285,$C$9:H1284,6,FALSE),"")</f>
        <v/>
      </c>
      <c r="N1285" s="46" t="e">
        <f t="shared" si="59"/>
        <v>#DIV/0!</v>
      </c>
      <c r="O1285" s="46" t="str">
        <f t="shared" si="60"/>
        <v/>
      </c>
      <c r="P1285" s="46">
        <f t="shared" si="61"/>
        <v>1</v>
      </c>
    </row>
    <row r="1286" spans="1:16" ht="14.25">
      <c r="A1286" s="80"/>
      <c r="B1286" s="80"/>
      <c r="C1286" s="80"/>
      <c r="D1286" s="80"/>
      <c r="E1286" s="76" t="str">
        <f>IFERROR(VLOOKUP(C1286,$C$9:E1285,3,0),"")</f>
        <v/>
      </c>
      <c r="F1286" s="57" t="str">
        <f>IFERROR(VLOOKUP(C1286,$C$9:H1285,4,FALSE),"")</f>
        <v/>
      </c>
      <c r="G1286" s="61" t="str">
        <f>IFERROR(VLOOKUP(C1286,$C$9:G1285,5,FALSE),"")</f>
        <v/>
      </c>
      <c r="H1286" s="61" t="str">
        <f>IFERROR(VLOOKUP(C1286,$C$9:H1285,6,FALSE),"")</f>
        <v/>
      </c>
      <c r="N1286" s="46" t="e">
        <f t="shared" si="59"/>
        <v>#DIV/0!</v>
      </c>
      <c r="O1286" s="46" t="str">
        <f t="shared" si="60"/>
        <v/>
      </c>
      <c r="P1286" s="46">
        <f t="shared" si="61"/>
        <v>1</v>
      </c>
    </row>
    <row r="1287" spans="1:16" ht="14.25">
      <c r="A1287" s="80"/>
      <c r="B1287" s="80"/>
      <c r="C1287" s="80"/>
      <c r="D1287" s="80"/>
      <c r="E1287" s="76" t="str">
        <f>IFERROR(VLOOKUP(C1287,$C$9:E1286,3,0),"")</f>
        <v/>
      </c>
      <c r="F1287" s="57" t="str">
        <f>IFERROR(VLOOKUP(C1287,$C$9:H1286,4,FALSE),"")</f>
        <v/>
      </c>
      <c r="G1287" s="61" t="str">
        <f>IFERROR(VLOOKUP(C1287,$C$9:G1286,5,FALSE),"")</f>
        <v/>
      </c>
      <c r="H1287" s="61" t="str">
        <f>IFERROR(VLOOKUP(C1287,$C$9:H1286,6,FALSE),"")</f>
        <v/>
      </c>
      <c r="N1287" s="46" t="e">
        <f t="shared" si="59"/>
        <v>#DIV/0!</v>
      </c>
      <c r="O1287" s="46" t="str">
        <f t="shared" si="60"/>
        <v/>
      </c>
      <c r="P1287" s="46">
        <f t="shared" si="61"/>
        <v>1</v>
      </c>
    </row>
    <row r="1288" spans="1:16" ht="14.25">
      <c r="A1288" s="80"/>
      <c r="B1288" s="80"/>
      <c r="C1288" s="80"/>
      <c r="D1288" s="80"/>
      <c r="E1288" s="76" t="str">
        <f>IFERROR(VLOOKUP(C1288,$C$9:E1287,3,0),"")</f>
        <v/>
      </c>
      <c r="F1288" s="57" t="str">
        <f>IFERROR(VLOOKUP(C1288,$C$9:H1287,4,FALSE),"")</f>
        <v/>
      </c>
      <c r="G1288" s="61" t="str">
        <f>IFERROR(VLOOKUP(C1288,$C$9:G1287,5,FALSE),"")</f>
        <v/>
      </c>
      <c r="H1288" s="61" t="str">
        <f>IFERROR(VLOOKUP(C1288,$C$9:H1287,6,FALSE),"")</f>
        <v/>
      </c>
      <c r="N1288" s="46" t="e">
        <f t="shared" si="59"/>
        <v>#DIV/0!</v>
      </c>
      <c r="O1288" s="46" t="str">
        <f t="shared" si="60"/>
        <v/>
      </c>
      <c r="P1288" s="46">
        <f t="shared" si="61"/>
        <v>1</v>
      </c>
    </row>
    <row r="1289" spans="1:16" ht="14.25">
      <c r="A1289" s="80"/>
      <c r="B1289" s="80"/>
      <c r="C1289" s="80"/>
      <c r="D1289" s="80"/>
      <c r="E1289" s="76" t="str">
        <f>IFERROR(VLOOKUP(C1289,$C$9:E1288,3,0),"")</f>
        <v/>
      </c>
      <c r="F1289" s="57" t="str">
        <f>IFERROR(VLOOKUP(C1289,$C$9:H1288,4,FALSE),"")</f>
        <v/>
      </c>
      <c r="G1289" s="61" t="str">
        <f>IFERROR(VLOOKUP(C1289,$C$9:G1288,5,FALSE),"")</f>
        <v/>
      </c>
      <c r="H1289" s="61" t="str">
        <f>IFERROR(VLOOKUP(C1289,$C$9:H1288,6,FALSE),"")</f>
        <v/>
      </c>
      <c r="N1289" s="46" t="e">
        <f t="shared" si="59"/>
        <v>#DIV/0!</v>
      </c>
      <c r="O1289" s="46" t="str">
        <f t="shared" si="60"/>
        <v/>
      </c>
      <c r="P1289" s="46">
        <f t="shared" si="61"/>
        <v>1</v>
      </c>
    </row>
    <row r="1290" spans="1:16" ht="14.25">
      <c r="A1290" s="80"/>
      <c r="B1290" s="80"/>
      <c r="C1290" s="80"/>
      <c r="D1290" s="80"/>
      <c r="E1290" s="76" t="str">
        <f>IFERROR(VLOOKUP(C1290,$C$9:E1289,3,0),"")</f>
        <v/>
      </c>
      <c r="F1290" s="57" t="str">
        <f>IFERROR(VLOOKUP(C1290,$C$9:H1289,4,FALSE),"")</f>
        <v/>
      </c>
      <c r="G1290" s="61" t="str">
        <f>IFERROR(VLOOKUP(C1290,$C$9:G1289,5,FALSE),"")</f>
        <v/>
      </c>
      <c r="H1290" s="61" t="str">
        <f>IFERROR(VLOOKUP(C1290,$C$9:H1289,6,FALSE),"")</f>
        <v/>
      </c>
      <c r="N1290" s="46" t="e">
        <f t="shared" ref="N1290:N1353" si="62">IF(OR(F1290=$P$1,F1290="",F1290=0),D1290/$B$2,IF(OR(F1290=$P$2,F1290=$P$3,F1290=$P$4),D1290/(O1290*P1290),D1290/O1290))</f>
        <v>#DIV/0!</v>
      </c>
      <c r="O1290" s="46" t="str">
        <f t="shared" ref="O1290:O1353" si="63">IFERROR(VLOOKUP(F1290,$P$1:$Q$4,2,0),F1290)</f>
        <v/>
      </c>
      <c r="P1290" s="46">
        <f t="shared" si="61"/>
        <v>1</v>
      </c>
    </row>
    <row r="1291" spans="1:16" ht="14.25">
      <c r="A1291" s="80"/>
      <c r="B1291" s="80"/>
      <c r="C1291" s="80"/>
      <c r="D1291" s="80"/>
      <c r="E1291" s="76" t="str">
        <f>IFERROR(VLOOKUP(C1291,$C$9:E1290,3,0),"")</f>
        <v/>
      </c>
      <c r="F1291" s="57" t="str">
        <f>IFERROR(VLOOKUP(C1291,$C$9:H1290,4,FALSE),"")</f>
        <v/>
      </c>
      <c r="G1291" s="61" t="str">
        <f>IFERROR(VLOOKUP(C1291,$C$9:G1290,5,FALSE),"")</f>
        <v/>
      </c>
      <c r="H1291" s="61" t="str">
        <f>IFERROR(VLOOKUP(C1291,$C$9:H1290,6,FALSE),"")</f>
        <v/>
      </c>
      <c r="N1291" s="46" t="e">
        <f t="shared" si="62"/>
        <v>#DIV/0!</v>
      </c>
      <c r="O1291" s="46" t="str">
        <f t="shared" si="63"/>
        <v/>
      </c>
      <c r="P1291" s="46">
        <f t="shared" ref="P1291:P1354" si="64">IF(C1291="",1,COUNTIFS($C$9:$C$1499,C1291,$H$9:$H$1499,H1291))</f>
        <v>1</v>
      </c>
    </row>
    <row r="1292" spans="1:16" ht="14.25">
      <c r="A1292" s="80"/>
      <c r="B1292" s="80"/>
      <c r="C1292" s="80"/>
      <c r="D1292" s="80"/>
      <c r="E1292" s="76" t="str">
        <f>IFERROR(VLOOKUP(C1292,$C$9:E1291,3,0),"")</f>
        <v/>
      </c>
      <c r="F1292" s="57" t="str">
        <f>IFERROR(VLOOKUP(C1292,$C$9:H1291,4,FALSE),"")</f>
        <v/>
      </c>
      <c r="G1292" s="61" t="str">
        <f>IFERROR(VLOOKUP(C1292,$C$9:G1291,5,FALSE),"")</f>
        <v/>
      </c>
      <c r="H1292" s="61" t="str">
        <f>IFERROR(VLOOKUP(C1292,$C$9:H1291,6,FALSE),"")</f>
        <v/>
      </c>
      <c r="N1292" s="46" t="e">
        <f t="shared" si="62"/>
        <v>#DIV/0!</v>
      </c>
      <c r="O1292" s="46" t="str">
        <f t="shared" si="63"/>
        <v/>
      </c>
      <c r="P1292" s="46">
        <f t="shared" si="64"/>
        <v>1</v>
      </c>
    </row>
    <row r="1293" spans="1:16" ht="14.25">
      <c r="A1293" s="80"/>
      <c r="B1293" s="80"/>
      <c r="C1293" s="80"/>
      <c r="D1293" s="80"/>
      <c r="E1293" s="76" t="str">
        <f>IFERROR(VLOOKUP(C1293,$C$9:E1292,3,0),"")</f>
        <v/>
      </c>
      <c r="F1293" s="57" t="str">
        <f>IFERROR(VLOOKUP(C1293,$C$9:H1292,4,FALSE),"")</f>
        <v/>
      </c>
      <c r="G1293" s="61" t="str">
        <f>IFERROR(VLOOKUP(C1293,$C$9:G1292,5,FALSE),"")</f>
        <v/>
      </c>
      <c r="H1293" s="61" t="str">
        <f>IFERROR(VLOOKUP(C1293,$C$9:H1292,6,FALSE),"")</f>
        <v/>
      </c>
      <c r="N1293" s="46" t="e">
        <f t="shared" si="62"/>
        <v>#DIV/0!</v>
      </c>
      <c r="O1293" s="46" t="str">
        <f t="shared" si="63"/>
        <v/>
      </c>
      <c r="P1293" s="46">
        <f t="shared" si="64"/>
        <v>1</v>
      </c>
    </row>
    <row r="1294" spans="1:16" ht="14.25">
      <c r="A1294" s="80"/>
      <c r="B1294" s="80"/>
      <c r="C1294" s="80"/>
      <c r="D1294" s="80"/>
      <c r="E1294" s="76" t="str">
        <f>IFERROR(VLOOKUP(C1294,$C$9:E1293,3,0),"")</f>
        <v/>
      </c>
      <c r="F1294" s="57" t="str">
        <f>IFERROR(VLOOKUP(C1294,$C$9:H1293,4,FALSE),"")</f>
        <v/>
      </c>
      <c r="G1294" s="61" t="str">
        <f>IFERROR(VLOOKUP(C1294,$C$9:G1293,5,FALSE),"")</f>
        <v/>
      </c>
      <c r="H1294" s="61" t="str">
        <f>IFERROR(VLOOKUP(C1294,$C$9:H1293,6,FALSE),"")</f>
        <v/>
      </c>
      <c r="N1294" s="46" t="e">
        <f t="shared" si="62"/>
        <v>#DIV/0!</v>
      </c>
      <c r="O1294" s="46" t="str">
        <f t="shared" si="63"/>
        <v/>
      </c>
      <c r="P1294" s="46">
        <f t="shared" si="64"/>
        <v>1</v>
      </c>
    </row>
    <row r="1295" spans="1:16" ht="14.25">
      <c r="A1295" s="80"/>
      <c r="B1295" s="80"/>
      <c r="C1295" s="80"/>
      <c r="D1295" s="80"/>
      <c r="E1295" s="76" t="str">
        <f>IFERROR(VLOOKUP(C1295,$C$9:E1294,3,0),"")</f>
        <v/>
      </c>
      <c r="F1295" s="57" t="str">
        <f>IFERROR(VLOOKUP(C1295,$C$9:H1294,4,FALSE),"")</f>
        <v/>
      </c>
      <c r="G1295" s="61" t="str">
        <f>IFERROR(VLOOKUP(C1295,$C$9:G1294,5,FALSE),"")</f>
        <v/>
      </c>
      <c r="H1295" s="61" t="str">
        <f>IFERROR(VLOOKUP(C1295,$C$9:H1294,6,FALSE),"")</f>
        <v/>
      </c>
      <c r="N1295" s="46" t="e">
        <f t="shared" si="62"/>
        <v>#DIV/0!</v>
      </c>
      <c r="O1295" s="46" t="str">
        <f t="shared" si="63"/>
        <v/>
      </c>
      <c r="P1295" s="46">
        <f t="shared" si="64"/>
        <v>1</v>
      </c>
    </row>
    <row r="1296" spans="1:16" ht="14.25">
      <c r="A1296" s="80"/>
      <c r="B1296" s="80"/>
      <c r="C1296" s="80"/>
      <c r="D1296" s="80"/>
      <c r="E1296" s="76" t="str">
        <f>IFERROR(VLOOKUP(C1296,$C$9:E1295,3,0),"")</f>
        <v/>
      </c>
      <c r="F1296" s="57" t="str">
        <f>IFERROR(VLOOKUP(C1296,$C$9:H1295,4,FALSE),"")</f>
        <v/>
      </c>
      <c r="G1296" s="61" t="str">
        <f>IFERROR(VLOOKUP(C1296,$C$9:G1295,5,FALSE),"")</f>
        <v/>
      </c>
      <c r="H1296" s="61" t="str">
        <f>IFERROR(VLOOKUP(C1296,$C$9:H1295,6,FALSE),"")</f>
        <v/>
      </c>
      <c r="N1296" s="46" t="e">
        <f t="shared" si="62"/>
        <v>#DIV/0!</v>
      </c>
      <c r="O1296" s="46" t="str">
        <f t="shared" si="63"/>
        <v/>
      </c>
      <c r="P1296" s="46">
        <f t="shared" si="64"/>
        <v>1</v>
      </c>
    </row>
    <row r="1297" spans="1:16" ht="14.25">
      <c r="A1297" s="80"/>
      <c r="B1297" s="80"/>
      <c r="C1297" s="80"/>
      <c r="D1297" s="80"/>
      <c r="E1297" s="76" t="str">
        <f>IFERROR(VLOOKUP(C1297,$C$9:E1296,3,0),"")</f>
        <v/>
      </c>
      <c r="F1297" s="57" t="str">
        <f>IFERROR(VLOOKUP(C1297,$C$9:H1296,4,FALSE),"")</f>
        <v/>
      </c>
      <c r="G1297" s="61" t="str">
        <f>IFERROR(VLOOKUP(C1297,$C$9:G1296,5,FALSE),"")</f>
        <v/>
      </c>
      <c r="H1297" s="61" t="str">
        <f>IFERROR(VLOOKUP(C1297,$C$9:H1296,6,FALSE),"")</f>
        <v/>
      </c>
      <c r="N1297" s="46" t="e">
        <f t="shared" si="62"/>
        <v>#DIV/0!</v>
      </c>
      <c r="O1297" s="46" t="str">
        <f t="shared" si="63"/>
        <v/>
      </c>
      <c r="P1297" s="46">
        <f t="shared" si="64"/>
        <v>1</v>
      </c>
    </row>
    <row r="1298" spans="1:16" ht="14.25">
      <c r="A1298" s="80"/>
      <c r="B1298" s="80"/>
      <c r="C1298" s="80"/>
      <c r="D1298" s="80"/>
      <c r="E1298" s="76" t="str">
        <f>IFERROR(VLOOKUP(C1298,$C$9:E1297,3,0),"")</f>
        <v/>
      </c>
      <c r="F1298" s="57" t="str">
        <f>IFERROR(VLOOKUP(C1298,$C$9:H1297,4,FALSE),"")</f>
        <v/>
      </c>
      <c r="G1298" s="61" t="str">
        <f>IFERROR(VLOOKUP(C1298,$C$9:G1297,5,FALSE),"")</f>
        <v/>
      </c>
      <c r="H1298" s="61" t="str">
        <f>IFERROR(VLOOKUP(C1298,$C$9:H1297,6,FALSE),"")</f>
        <v/>
      </c>
      <c r="N1298" s="46" t="e">
        <f t="shared" si="62"/>
        <v>#DIV/0!</v>
      </c>
      <c r="O1298" s="46" t="str">
        <f t="shared" si="63"/>
        <v/>
      </c>
      <c r="P1298" s="46">
        <f t="shared" si="64"/>
        <v>1</v>
      </c>
    </row>
    <row r="1299" spans="1:16" ht="14.25">
      <c r="A1299" s="80"/>
      <c r="B1299" s="80"/>
      <c r="C1299" s="80"/>
      <c r="D1299" s="80"/>
      <c r="E1299" s="76" t="str">
        <f>IFERROR(VLOOKUP(C1299,$C$9:E1298,3,0),"")</f>
        <v/>
      </c>
      <c r="F1299" s="57" t="str">
        <f>IFERROR(VLOOKUP(C1299,$C$9:H1298,4,FALSE),"")</f>
        <v/>
      </c>
      <c r="G1299" s="61" t="str">
        <f>IFERROR(VLOOKUP(C1299,$C$9:G1298,5,FALSE),"")</f>
        <v/>
      </c>
      <c r="H1299" s="61" t="str">
        <f>IFERROR(VLOOKUP(C1299,$C$9:H1298,6,FALSE),"")</f>
        <v/>
      </c>
      <c r="N1299" s="46" t="e">
        <f t="shared" si="62"/>
        <v>#DIV/0!</v>
      </c>
      <c r="O1299" s="46" t="str">
        <f t="shared" si="63"/>
        <v/>
      </c>
      <c r="P1299" s="46">
        <f t="shared" si="64"/>
        <v>1</v>
      </c>
    </row>
    <row r="1300" spans="1:16" ht="14.25">
      <c r="A1300" s="80"/>
      <c r="B1300" s="80"/>
      <c r="C1300" s="80"/>
      <c r="D1300" s="80"/>
      <c r="E1300" s="76" t="str">
        <f>IFERROR(VLOOKUP(C1300,$C$9:E1299,3,0),"")</f>
        <v/>
      </c>
      <c r="F1300" s="57" t="str">
        <f>IFERROR(VLOOKUP(C1300,$C$9:H1299,4,FALSE),"")</f>
        <v/>
      </c>
      <c r="G1300" s="61" t="str">
        <f>IFERROR(VLOOKUP(C1300,$C$9:G1299,5,FALSE),"")</f>
        <v/>
      </c>
      <c r="H1300" s="61" t="str">
        <f>IFERROR(VLOOKUP(C1300,$C$9:H1299,6,FALSE),"")</f>
        <v/>
      </c>
      <c r="N1300" s="46" t="e">
        <f t="shared" si="62"/>
        <v>#DIV/0!</v>
      </c>
      <c r="O1300" s="46" t="str">
        <f t="shared" si="63"/>
        <v/>
      </c>
      <c r="P1300" s="46">
        <f t="shared" si="64"/>
        <v>1</v>
      </c>
    </row>
    <row r="1301" spans="1:16" ht="14.25">
      <c r="A1301" s="80"/>
      <c r="B1301" s="80"/>
      <c r="C1301" s="80"/>
      <c r="D1301" s="80"/>
      <c r="E1301" s="76" t="str">
        <f>IFERROR(VLOOKUP(C1301,$C$9:E1300,3,0),"")</f>
        <v/>
      </c>
      <c r="F1301" s="57" t="str">
        <f>IFERROR(VLOOKUP(C1301,$C$9:H1300,4,FALSE),"")</f>
        <v/>
      </c>
      <c r="G1301" s="61" t="str">
        <f>IFERROR(VLOOKUP(C1301,$C$9:G1300,5,FALSE),"")</f>
        <v/>
      </c>
      <c r="H1301" s="61" t="str">
        <f>IFERROR(VLOOKUP(C1301,$C$9:H1300,6,FALSE),"")</f>
        <v/>
      </c>
      <c r="N1301" s="46" t="e">
        <f t="shared" si="62"/>
        <v>#DIV/0!</v>
      </c>
      <c r="O1301" s="46" t="str">
        <f t="shared" si="63"/>
        <v/>
      </c>
      <c r="P1301" s="46">
        <f t="shared" si="64"/>
        <v>1</v>
      </c>
    </row>
    <row r="1302" spans="1:16" ht="14.25">
      <c r="A1302" s="80"/>
      <c r="B1302" s="80"/>
      <c r="C1302" s="80"/>
      <c r="D1302" s="80"/>
      <c r="E1302" s="76" t="str">
        <f>IFERROR(VLOOKUP(C1302,$C$9:E1301,3,0),"")</f>
        <v/>
      </c>
      <c r="F1302" s="57" t="str">
        <f>IFERROR(VLOOKUP(C1302,$C$9:H1301,4,FALSE),"")</f>
        <v/>
      </c>
      <c r="G1302" s="61" t="str">
        <f>IFERROR(VLOOKUP(C1302,$C$9:G1301,5,FALSE),"")</f>
        <v/>
      </c>
      <c r="H1302" s="61" t="str">
        <f>IFERROR(VLOOKUP(C1302,$C$9:H1301,6,FALSE),"")</f>
        <v/>
      </c>
      <c r="N1302" s="46" t="e">
        <f t="shared" si="62"/>
        <v>#DIV/0!</v>
      </c>
      <c r="O1302" s="46" t="str">
        <f t="shared" si="63"/>
        <v/>
      </c>
      <c r="P1302" s="46">
        <f t="shared" si="64"/>
        <v>1</v>
      </c>
    </row>
    <row r="1303" spans="1:16" ht="14.25">
      <c r="A1303" s="80"/>
      <c r="B1303" s="80"/>
      <c r="C1303" s="80"/>
      <c r="D1303" s="80"/>
      <c r="E1303" s="76" t="str">
        <f>IFERROR(VLOOKUP(C1303,$C$9:E1302,3,0),"")</f>
        <v/>
      </c>
      <c r="F1303" s="57" t="str">
        <f>IFERROR(VLOOKUP(C1303,$C$9:H1302,4,FALSE),"")</f>
        <v/>
      </c>
      <c r="G1303" s="61" t="str">
        <f>IFERROR(VLOOKUP(C1303,$C$9:G1302,5,FALSE),"")</f>
        <v/>
      </c>
      <c r="H1303" s="61" t="str">
        <f>IFERROR(VLOOKUP(C1303,$C$9:H1302,6,FALSE),"")</f>
        <v/>
      </c>
      <c r="N1303" s="46" t="e">
        <f t="shared" si="62"/>
        <v>#DIV/0!</v>
      </c>
      <c r="O1303" s="46" t="str">
        <f t="shared" si="63"/>
        <v/>
      </c>
      <c r="P1303" s="46">
        <f t="shared" si="64"/>
        <v>1</v>
      </c>
    </row>
    <row r="1304" spans="1:16" ht="14.25">
      <c r="A1304" s="80"/>
      <c r="B1304" s="80"/>
      <c r="C1304" s="80"/>
      <c r="D1304" s="80"/>
      <c r="E1304" s="76" t="str">
        <f>IFERROR(VLOOKUP(C1304,$C$9:E1303,3,0),"")</f>
        <v/>
      </c>
      <c r="F1304" s="57" t="str">
        <f>IFERROR(VLOOKUP(C1304,$C$9:H1303,4,FALSE),"")</f>
        <v/>
      </c>
      <c r="G1304" s="61" t="str">
        <f>IFERROR(VLOOKUP(C1304,$C$9:G1303,5,FALSE),"")</f>
        <v/>
      </c>
      <c r="H1304" s="61" t="str">
        <f>IFERROR(VLOOKUP(C1304,$C$9:H1303,6,FALSE),"")</f>
        <v/>
      </c>
      <c r="N1304" s="46" t="e">
        <f t="shared" si="62"/>
        <v>#DIV/0!</v>
      </c>
      <c r="O1304" s="46" t="str">
        <f t="shared" si="63"/>
        <v/>
      </c>
      <c r="P1304" s="46">
        <f t="shared" si="64"/>
        <v>1</v>
      </c>
    </row>
    <row r="1305" spans="1:16" ht="14.25">
      <c r="A1305" s="80"/>
      <c r="B1305" s="80"/>
      <c r="C1305" s="80"/>
      <c r="D1305" s="80"/>
      <c r="E1305" s="76" t="str">
        <f>IFERROR(VLOOKUP(C1305,$C$9:E1304,3,0),"")</f>
        <v/>
      </c>
      <c r="F1305" s="57" t="str">
        <f>IFERROR(VLOOKUP(C1305,$C$9:H1304,4,FALSE),"")</f>
        <v/>
      </c>
      <c r="G1305" s="61" t="str">
        <f>IFERROR(VLOOKUP(C1305,$C$9:G1304,5,FALSE),"")</f>
        <v/>
      </c>
      <c r="H1305" s="61" t="str">
        <f>IFERROR(VLOOKUP(C1305,$C$9:H1304,6,FALSE),"")</f>
        <v/>
      </c>
      <c r="N1305" s="46" t="e">
        <f t="shared" si="62"/>
        <v>#DIV/0!</v>
      </c>
      <c r="O1305" s="46" t="str">
        <f t="shared" si="63"/>
        <v/>
      </c>
      <c r="P1305" s="46">
        <f t="shared" si="64"/>
        <v>1</v>
      </c>
    </row>
    <row r="1306" spans="1:16" ht="14.25">
      <c r="A1306" s="80"/>
      <c r="B1306" s="80"/>
      <c r="C1306" s="80"/>
      <c r="D1306" s="80"/>
      <c r="E1306" s="76" t="str">
        <f>IFERROR(VLOOKUP(C1306,$C$9:E1305,3,0),"")</f>
        <v/>
      </c>
      <c r="F1306" s="57" t="str">
        <f>IFERROR(VLOOKUP(C1306,$C$9:H1305,4,FALSE),"")</f>
        <v/>
      </c>
      <c r="G1306" s="61" t="str">
        <f>IFERROR(VLOOKUP(C1306,$C$9:G1305,5,FALSE),"")</f>
        <v/>
      </c>
      <c r="H1306" s="61" t="str">
        <f>IFERROR(VLOOKUP(C1306,$C$9:H1305,6,FALSE),"")</f>
        <v/>
      </c>
      <c r="N1306" s="46" t="e">
        <f t="shared" si="62"/>
        <v>#DIV/0!</v>
      </c>
      <c r="O1306" s="46" t="str">
        <f t="shared" si="63"/>
        <v/>
      </c>
      <c r="P1306" s="46">
        <f t="shared" si="64"/>
        <v>1</v>
      </c>
    </row>
    <row r="1307" spans="1:16" ht="14.25">
      <c r="A1307" s="80"/>
      <c r="B1307" s="80"/>
      <c r="C1307" s="80"/>
      <c r="D1307" s="80"/>
      <c r="E1307" s="76" t="str">
        <f>IFERROR(VLOOKUP(C1307,$C$9:E1306,3,0),"")</f>
        <v/>
      </c>
      <c r="F1307" s="57" t="str">
        <f>IFERROR(VLOOKUP(C1307,$C$9:H1306,4,FALSE),"")</f>
        <v/>
      </c>
      <c r="G1307" s="61" t="str">
        <f>IFERROR(VLOOKUP(C1307,$C$9:G1306,5,FALSE),"")</f>
        <v/>
      </c>
      <c r="H1307" s="61" t="str">
        <f>IFERROR(VLOOKUP(C1307,$C$9:H1306,6,FALSE),"")</f>
        <v/>
      </c>
      <c r="N1307" s="46" t="e">
        <f t="shared" si="62"/>
        <v>#DIV/0!</v>
      </c>
      <c r="O1307" s="46" t="str">
        <f t="shared" si="63"/>
        <v/>
      </c>
      <c r="P1307" s="46">
        <f t="shared" si="64"/>
        <v>1</v>
      </c>
    </row>
    <row r="1308" spans="1:16" ht="14.25">
      <c r="A1308" s="80"/>
      <c r="B1308" s="80"/>
      <c r="C1308" s="80"/>
      <c r="D1308" s="80"/>
      <c r="E1308" s="76" t="str">
        <f>IFERROR(VLOOKUP(C1308,$C$9:E1307,3,0),"")</f>
        <v/>
      </c>
      <c r="F1308" s="57" t="str">
        <f>IFERROR(VLOOKUP(C1308,$C$9:H1307,4,FALSE),"")</f>
        <v/>
      </c>
      <c r="G1308" s="61" t="str">
        <f>IFERROR(VLOOKUP(C1308,$C$9:G1307,5,FALSE),"")</f>
        <v/>
      </c>
      <c r="H1308" s="61" t="str">
        <f>IFERROR(VLOOKUP(C1308,$C$9:H1307,6,FALSE),"")</f>
        <v/>
      </c>
      <c r="N1308" s="46" t="e">
        <f t="shared" si="62"/>
        <v>#DIV/0!</v>
      </c>
      <c r="O1308" s="46" t="str">
        <f t="shared" si="63"/>
        <v/>
      </c>
      <c r="P1308" s="46">
        <f t="shared" si="64"/>
        <v>1</v>
      </c>
    </row>
    <row r="1309" spans="1:16" ht="14.25">
      <c r="A1309" s="80"/>
      <c r="B1309" s="80"/>
      <c r="C1309" s="80"/>
      <c r="D1309" s="80"/>
      <c r="E1309" s="76" t="str">
        <f>IFERROR(VLOOKUP(C1309,$C$9:E1308,3,0),"")</f>
        <v/>
      </c>
      <c r="F1309" s="57" t="str">
        <f>IFERROR(VLOOKUP(C1309,$C$9:H1308,4,FALSE),"")</f>
        <v/>
      </c>
      <c r="G1309" s="61" t="str">
        <f>IFERROR(VLOOKUP(C1309,$C$9:G1308,5,FALSE),"")</f>
        <v/>
      </c>
      <c r="H1309" s="61" t="str">
        <f>IFERROR(VLOOKUP(C1309,$C$9:H1308,6,FALSE),"")</f>
        <v/>
      </c>
      <c r="N1309" s="46" t="e">
        <f t="shared" si="62"/>
        <v>#DIV/0!</v>
      </c>
      <c r="O1309" s="46" t="str">
        <f t="shared" si="63"/>
        <v/>
      </c>
      <c r="P1309" s="46">
        <f t="shared" si="64"/>
        <v>1</v>
      </c>
    </row>
    <row r="1310" spans="1:16" ht="14.25">
      <c r="A1310" s="80"/>
      <c r="B1310" s="80"/>
      <c r="C1310" s="80"/>
      <c r="D1310" s="80"/>
      <c r="E1310" s="76" t="str">
        <f>IFERROR(VLOOKUP(C1310,$C$9:E1309,3,0),"")</f>
        <v/>
      </c>
      <c r="F1310" s="57" t="str">
        <f>IFERROR(VLOOKUP(C1310,$C$9:H1309,4,FALSE),"")</f>
        <v/>
      </c>
      <c r="G1310" s="61" t="str">
        <f>IFERROR(VLOOKUP(C1310,$C$9:G1309,5,FALSE),"")</f>
        <v/>
      </c>
      <c r="H1310" s="61" t="str">
        <f>IFERROR(VLOOKUP(C1310,$C$9:H1309,6,FALSE),"")</f>
        <v/>
      </c>
      <c r="N1310" s="46" t="e">
        <f t="shared" si="62"/>
        <v>#DIV/0!</v>
      </c>
      <c r="O1310" s="46" t="str">
        <f t="shared" si="63"/>
        <v/>
      </c>
      <c r="P1310" s="46">
        <f t="shared" si="64"/>
        <v>1</v>
      </c>
    </row>
    <row r="1311" spans="1:16" ht="14.25">
      <c r="A1311" s="80"/>
      <c r="B1311" s="80"/>
      <c r="C1311" s="80"/>
      <c r="D1311" s="80"/>
      <c r="E1311" s="76" t="str">
        <f>IFERROR(VLOOKUP(C1311,$C$9:E1310,3,0),"")</f>
        <v/>
      </c>
      <c r="F1311" s="57" t="str">
        <f>IFERROR(VLOOKUP(C1311,$C$9:H1310,4,FALSE),"")</f>
        <v/>
      </c>
      <c r="G1311" s="61" t="str">
        <f>IFERROR(VLOOKUP(C1311,$C$9:G1310,5,FALSE),"")</f>
        <v/>
      </c>
      <c r="H1311" s="61" t="str">
        <f>IFERROR(VLOOKUP(C1311,$C$9:H1310,6,FALSE),"")</f>
        <v/>
      </c>
      <c r="N1311" s="46" t="e">
        <f t="shared" si="62"/>
        <v>#DIV/0!</v>
      </c>
      <c r="O1311" s="46" t="str">
        <f t="shared" si="63"/>
        <v/>
      </c>
      <c r="P1311" s="46">
        <f t="shared" si="64"/>
        <v>1</v>
      </c>
    </row>
    <row r="1312" spans="1:16" ht="14.25">
      <c r="A1312" s="80"/>
      <c r="B1312" s="80"/>
      <c r="C1312" s="80"/>
      <c r="D1312" s="80"/>
      <c r="E1312" s="76" t="str">
        <f>IFERROR(VLOOKUP(C1312,$C$9:E1311,3,0),"")</f>
        <v/>
      </c>
      <c r="F1312" s="57" t="str">
        <f>IFERROR(VLOOKUP(C1312,$C$9:H1311,4,FALSE),"")</f>
        <v/>
      </c>
      <c r="G1312" s="61" t="str">
        <f>IFERROR(VLOOKUP(C1312,$C$9:G1311,5,FALSE),"")</f>
        <v/>
      </c>
      <c r="H1312" s="61" t="str">
        <f>IFERROR(VLOOKUP(C1312,$C$9:H1311,6,FALSE),"")</f>
        <v/>
      </c>
      <c r="N1312" s="46" t="e">
        <f t="shared" si="62"/>
        <v>#DIV/0!</v>
      </c>
      <c r="O1312" s="46" t="str">
        <f t="shared" si="63"/>
        <v/>
      </c>
      <c r="P1312" s="46">
        <f t="shared" si="64"/>
        <v>1</v>
      </c>
    </row>
    <row r="1313" spans="1:16" ht="14.25">
      <c r="A1313" s="80"/>
      <c r="B1313" s="80"/>
      <c r="C1313" s="80"/>
      <c r="D1313" s="80"/>
      <c r="E1313" s="76" t="str">
        <f>IFERROR(VLOOKUP(C1313,$C$9:E1312,3,0),"")</f>
        <v/>
      </c>
      <c r="F1313" s="57" t="str">
        <f>IFERROR(VLOOKUP(C1313,$C$9:H1312,4,FALSE),"")</f>
        <v/>
      </c>
      <c r="G1313" s="61" t="str">
        <f>IFERROR(VLOOKUP(C1313,$C$9:G1312,5,FALSE),"")</f>
        <v/>
      </c>
      <c r="H1313" s="61" t="str">
        <f>IFERROR(VLOOKUP(C1313,$C$9:H1312,6,FALSE),"")</f>
        <v/>
      </c>
      <c r="N1313" s="46" t="e">
        <f t="shared" si="62"/>
        <v>#DIV/0!</v>
      </c>
      <c r="O1313" s="46" t="str">
        <f t="shared" si="63"/>
        <v/>
      </c>
      <c r="P1313" s="46">
        <f t="shared" si="64"/>
        <v>1</v>
      </c>
    </row>
    <row r="1314" spans="1:16" ht="14.25">
      <c r="A1314" s="80"/>
      <c r="B1314" s="80"/>
      <c r="C1314" s="80"/>
      <c r="D1314" s="80"/>
      <c r="E1314" s="76" t="str">
        <f>IFERROR(VLOOKUP(C1314,$C$9:E1313,3,0),"")</f>
        <v/>
      </c>
      <c r="F1314" s="57" t="str">
        <f>IFERROR(VLOOKUP(C1314,$C$9:H1313,4,FALSE),"")</f>
        <v/>
      </c>
      <c r="G1314" s="61" t="str">
        <f>IFERROR(VLOOKUP(C1314,$C$9:G1313,5,FALSE),"")</f>
        <v/>
      </c>
      <c r="H1314" s="61" t="str">
        <f>IFERROR(VLOOKUP(C1314,$C$9:H1313,6,FALSE),"")</f>
        <v/>
      </c>
      <c r="N1314" s="46" t="e">
        <f t="shared" si="62"/>
        <v>#DIV/0!</v>
      </c>
      <c r="O1314" s="46" t="str">
        <f t="shared" si="63"/>
        <v/>
      </c>
      <c r="P1314" s="46">
        <f t="shared" si="64"/>
        <v>1</v>
      </c>
    </row>
    <row r="1315" spans="1:16" ht="14.25">
      <c r="A1315" s="80"/>
      <c r="B1315" s="80"/>
      <c r="C1315" s="80"/>
      <c r="D1315" s="80"/>
      <c r="E1315" s="76" t="str">
        <f>IFERROR(VLOOKUP(C1315,$C$9:E1314,3,0),"")</f>
        <v/>
      </c>
      <c r="F1315" s="57" t="str">
        <f>IFERROR(VLOOKUP(C1315,$C$9:H1314,4,FALSE),"")</f>
        <v/>
      </c>
      <c r="G1315" s="61" t="str">
        <f>IFERROR(VLOOKUP(C1315,$C$9:G1314,5,FALSE),"")</f>
        <v/>
      </c>
      <c r="H1315" s="61" t="str">
        <f>IFERROR(VLOOKUP(C1315,$C$9:H1314,6,FALSE),"")</f>
        <v/>
      </c>
      <c r="N1315" s="46" t="e">
        <f t="shared" si="62"/>
        <v>#DIV/0!</v>
      </c>
      <c r="O1315" s="46" t="str">
        <f t="shared" si="63"/>
        <v/>
      </c>
      <c r="P1315" s="46">
        <f t="shared" si="64"/>
        <v>1</v>
      </c>
    </row>
    <row r="1316" spans="1:16" ht="14.25">
      <c r="A1316" s="80"/>
      <c r="B1316" s="80"/>
      <c r="C1316" s="80"/>
      <c r="D1316" s="80"/>
      <c r="E1316" s="76" t="str">
        <f>IFERROR(VLOOKUP(C1316,$C$9:E1315,3,0),"")</f>
        <v/>
      </c>
      <c r="F1316" s="57" t="str">
        <f>IFERROR(VLOOKUP(C1316,$C$9:H1315,4,FALSE),"")</f>
        <v/>
      </c>
      <c r="G1316" s="61" t="str">
        <f>IFERROR(VLOOKUP(C1316,$C$9:G1315,5,FALSE),"")</f>
        <v/>
      </c>
      <c r="H1316" s="61" t="str">
        <f>IFERROR(VLOOKUP(C1316,$C$9:H1315,6,FALSE),"")</f>
        <v/>
      </c>
      <c r="N1316" s="46" t="e">
        <f t="shared" si="62"/>
        <v>#DIV/0!</v>
      </c>
      <c r="O1316" s="46" t="str">
        <f t="shared" si="63"/>
        <v/>
      </c>
      <c r="P1316" s="46">
        <f t="shared" si="64"/>
        <v>1</v>
      </c>
    </row>
    <row r="1317" spans="1:16" ht="14.25">
      <c r="A1317" s="80"/>
      <c r="B1317" s="80"/>
      <c r="C1317" s="80"/>
      <c r="D1317" s="80"/>
      <c r="E1317" s="76" t="str">
        <f>IFERROR(VLOOKUP(C1317,$C$9:E1316,3,0),"")</f>
        <v/>
      </c>
      <c r="F1317" s="57" t="str">
        <f>IFERROR(VLOOKUP(C1317,$C$9:H1316,4,FALSE),"")</f>
        <v/>
      </c>
      <c r="G1317" s="61" t="str">
        <f>IFERROR(VLOOKUP(C1317,$C$9:G1316,5,FALSE),"")</f>
        <v/>
      </c>
      <c r="H1317" s="61" t="str">
        <f>IFERROR(VLOOKUP(C1317,$C$9:H1316,6,FALSE),"")</f>
        <v/>
      </c>
      <c r="N1317" s="46" t="e">
        <f t="shared" si="62"/>
        <v>#DIV/0!</v>
      </c>
      <c r="O1317" s="46" t="str">
        <f t="shared" si="63"/>
        <v/>
      </c>
      <c r="P1317" s="46">
        <f t="shared" si="64"/>
        <v>1</v>
      </c>
    </row>
    <row r="1318" spans="1:16" ht="14.25">
      <c r="A1318" s="80"/>
      <c r="B1318" s="80"/>
      <c r="C1318" s="80"/>
      <c r="D1318" s="80"/>
      <c r="E1318" s="76" t="str">
        <f>IFERROR(VLOOKUP(C1318,$C$9:E1317,3,0),"")</f>
        <v/>
      </c>
      <c r="F1318" s="57" t="str">
        <f>IFERROR(VLOOKUP(C1318,$C$9:H1317,4,FALSE),"")</f>
        <v/>
      </c>
      <c r="G1318" s="61" t="str">
        <f>IFERROR(VLOOKUP(C1318,$C$9:G1317,5,FALSE),"")</f>
        <v/>
      </c>
      <c r="H1318" s="61" t="str">
        <f>IFERROR(VLOOKUP(C1318,$C$9:H1317,6,FALSE),"")</f>
        <v/>
      </c>
      <c r="N1318" s="46" t="e">
        <f t="shared" si="62"/>
        <v>#DIV/0!</v>
      </c>
      <c r="O1318" s="46" t="str">
        <f t="shared" si="63"/>
        <v/>
      </c>
      <c r="P1318" s="46">
        <f t="shared" si="64"/>
        <v>1</v>
      </c>
    </row>
    <row r="1319" spans="1:16" ht="14.25">
      <c r="A1319" s="80"/>
      <c r="B1319" s="80"/>
      <c r="C1319" s="80"/>
      <c r="D1319" s="80"/>
      <c r="E1319" s="76" t="str">
        <f>IFERROR(VLOOKUP(C1319,$C$9:E1318,3,0),"")</f>
        <v/>
      </c>
      <c r="F1319" s="57" t="str">
        <f>IFERROR(VLOOKUP(C1319,$C$9:H1318,4,FALSE),"")</f>
        <v/>
      </c>
      <c r="G1319" s="61" t="str">
        <f>IFERROR(VLOOKUP(C1319,$C$9:G1318,5,FALSE),"")</f>
        <v/>
      </c>
      <c r="H1319" s="61" t="str">
        <f>IFERROR(VLOOKUP(C1319,$C$9:H1318,6,FALSE),"")</f>
        <v/>
      </c>
      <c r="N1319" s="46" t="e">
        <f t="shared" si="62"/>
        <v>#DIV/0!</v>
      </c>
      <c r="O1319" s="46" t="str">
        <f t="shared" si="63"/>
        <v/>
      </c>
      <c r="P1319" s="46">
        <f t="shared" si="64"/>
        <v>1</v>
      </c>
    </row>
    <row r="1320" spans="1:16" ht="14.25">
      <c r="A1320" s="80"/>
      <c r="B1320" s="80"/>
      <c r="C1320" s="80"/>
      <c r="D1320" s="80"/>
      <c r="E1320" s="76" t="str">
        <f>IFERROR(VLOOKUP(C1320,$C$9:E1319,3,0),"")</f>
        <v/>
      </c>
      <c r="F1320" s="57" t="str">
        <f>IFERROR(VLOOKUP(C1320,$C$9:H1319,4,FALSE),"")</f>
        <v/>
      </c>
      <c r="G1320" s="61" t="str">
        <f>IFERROR(VLOOKUP(C1320,$C$9:G1319,5,FALSE),"")</f>
        <v/>
      </c>
      <c r="H1320" s="61" t="str">
        <f>IFERROR(VLOOKUP(C1320,$C$9:H1319,6,FALSE),"")</f>
        <v/>
      </c>
      <c r="N1320" s="46" t="e">
        <f t="shared" si="62"/>
        <v>#DIV/0!</v>
      </c>
      <c r="O1320" s="46" t="str">
        <f t="shared" si="63"/>
        <v/>
      </c>
      <c r="P1320" s="46">
        <f t="shared" si="64"/>
        <v>1</v>
      </c>
    </row>
    <row r="1321" spans="1:16" ht="14.25">
      <c r="A1321" s="80"/>
      <c r="B1321" s="80"/>
      <c r="C1321" s="80"/>
      <c r="D1321" s="80"/>
      <c r="E1321" s="76" t="str">
        <f>IFERROR(VLOOKUP(C1321,$C$9:E1320,3,0),"")</f>
        <v/>
      </c>
      <c r="F1321" s="57" t="str">
        <f>IFERROR(VLOOKUP(C1321,$C$9:H1320,4,FALSE),"")</f>
        <v/>
      </c>
      <c r="G1321" s="61" t="str">
        <f>IFERROR(VLOOKUP(C1321,$C$9:G1320,5,FALSE),"")</f>
        <v/>
      </c>
      <c r="H1321" s="61" t="str">
        <f>IFERROR(VLOOKUP(C1321,$C$9:H1320,6,FALSE),"")</f>
        <v/>
      </c>
      <c r="N1321" s="46" t="e">
        <f t="shared" si="62"/>
        <v>#DIV/0!</v>
      </c>
      <c r="O1321" s="46" t="str">
        <f t="shared" si="63"/>
        <v/>
      </c>
      <c r="P1321" s="46">
        <f t="shared" si="64"/>
        <v>1</v>
      </c>
    </row>
    <row r="1322" spans="1:16" ht="14.25">
      <c r="A1322" s="80"/>
      <c r="B1322" s="80"/>
      <c r="C1322" s="80"/>
      <c r="D1322" s="80"/>
      <c r="E1322" s="76" t="str">
        <f>IFERROR(VLOOKUP(C1322,$C$9:E1321,3,0),"")</f>
        <v/>
      </c>
      <c r="F1322" s="57" t="str">
        <f>IFERROR(VLOOKUP(C1322,$C$9:H1321,4,FALSE),"")</f>
        <v/>
      </c>
      <c r="G1322" s="61" t="str">
        <f>IFERROR(VLOOKUP(C1322,$C$9:G1321,5,FALSE),"")</f>
        <v/>
      </c>
      <c r="H1322" s="61" t="str">
        <f>IFERROR(VLOOKUP(C1322,$C$9:H1321,6,FALSE),"")</f>
        <v/>
      </c>
      <c r="N1322" s="46" t="e">
        <f t="shared" si="62"/>
        <v>#DIV/0!</v>
      </c>
      <c r="O1322" s="46" t="str">
        <f t="shared" si="63"/>
        <v/>
      </c>
      <c r="P1322" s="46">
        <f t="shared" si="64"/>
        <v>1</v>
      </c>
    </row>
    <row r="1323" spans="1:16" ht="14.25">
      <c r="A1323" s="80"/>
      <c r="B1323" s="80"/>
      <c r="C1323" s="80"/>
      <c r="D1323" s="80"/>
      <c r="E1323" s="76" t="str">
        <f>IFERROR(VLOOKUP(C1323,$C$9:E1322,3,0),"")</f>
        <v/>
      </c>
      <c r="F1323" s="57" t="str">
        <f>IFERROR(VLOOKUP(C1323,$C$9:H1322,4,FALSE),"")</f>
        <v/>
      </c>
      <c r="G1323" s="61" t="str">
        <f>IFERROR(VLOOKUP(C1323,$C$9:G1322,5,FALSE),"")</f>
        <v/>
      </c>
      <c r="H1323" s="61" t="str">
        <f>IFERROR(VLOOKUP(C1323,$C$9:H1322,6,FALSE),"")</f>
        <v/>
      </c>
      <c r="N1323" s="46" t="e">
        <f t="shared" si="62"/>
        <v>#DIV/0!</v>
      </c>
      <c r="O1323" s="46" t="str">
        <f t="shared" si="63"/>
        <v/>
      </c>
      <c r="P1323" s="46">
        <f t="shared" si="64"/>
        <v>1</v>
      </c>
    </row>
    <row r="1324" spans="1:16" ht="14.25">
      <c r="A1324" s="80"/>
      <c r="B1324" s="80"/>
      <c r="C1324" s="80"/>
      <c r="D1324" s="80"/>
      <c r="E1324" s="76" t="str">
        <f>IFERROR(VLOOKUP(C1324,$C$9:E1323,3,0),"")</f>
        <v/>
      </c>
      <c r="F1324" s="57" t="str">
        <f>IFERROR(VLOOKUP(C1324,$C$9:H1323,4,FALSE),"")</f>
        <v/>
      </c>
      <c r="G1324" s="61" t="str">
        <f>IFERROR(VLOOKUP(C1324,$C$9:G1323,5,FALSE),"")</f>
        <v/>
      </c>
      <c r="H1324" s="61" t="str">
        <f>IFERROR(VLOOKUP(C1324,$C$9:H1323,6,FALSE),"")</f>
        <v/>
      </c>
      <c r="N1324" s="46" t="e">
        <f t="shared" si="62"/>
        <v>#DIV/0!</v>
      </c>
      <c r="O1324" s="46" t="str">
        <f t="shared" si="63"/>
        <v/>
      </c>
      <c r="P1324" s="46">
        <f t="shared" si="64"/>
        <v>1</v>
      </c>
    </row>
    <row r="1325" spans="1:16" ht="14.25">
      <c r="A1325" s="80"/>
      <c r="B1325" s="80"/>
      <c r="C1325" s="80"/>
      <c r="D1325" s="80"/>
      <c r="E1325" s="76" t="str">
        <f>IFERROR(VLOOKUP(C1325,$C$9:E1324,3,0),"")</f>
        <v/>
      </c>
      <c r="F1325" s="57" t="str">
        <f>IFERROR(VLOOKUP(C1325,$C$9:H1324,4,FALSE),"")</f>
        <v/>
      </c>
      <c r="G1325" s="61" t="str">
        <f>IFERROR(VLOOKUP(C1325,$C$9:G1324,5,FALSE),"")</f>
        <v/>
      </c>
      <c r="H1325" s="61" t="str">
        <f>IFERROR(VLOOKUP(C1325,$C$9:H1324,6,FALSE),"")</f>
        <v/>
      </c>
      <c r="N1325" s="46" t="e">
        <f t="shared" si="62"/>
        <v>#DIV/0!</v>
      </c>
      <c r="O1325" s="46" t="str">
        <f t="shared" si="63"/>
        <v/>
      </c>
      <c r="P1325" s="46">
        <f t="shared" si="64"/>
        <v>1</v>
      </c>
    </row>
    <row r="1326" spans="1:16" ht="14.25">
      <c r="A1326" s="80"/>
      <c r="B1326" s="80"/>
      <c r="C1326" s="80"/>
      <c r="D1326" s="80"/>
      <c r="E1326" s="76" t="str">
        <f>IFERROR(VLOOKUP(C1326,$C$9:E1325,3,0),"")</f>
        <v/>
      </c>
      <c r="F1326" s="57" t="str">
        <f>IFERROR(VLOOKUP(C1326,$C$9:H1325,4,FALSE),"")</f>
        <v/>
      </c>
      <c r="G1326" s="61" t="str">
        <f>IFERROR(VLOOKUP(C1326,$C$9:G1325,5,FALSE),"")</f>
        <v/>
      </c>
      <c r="H1326" s="61" t="str">
        <f>IFERROR(VLOOKUP(C1326,$C$9:H1325,6,FALSE),"")</f>
        <v/>
      </c>
      <c r="N1326" s="46" t="e">
        <f t="shared" si="62"/>
        <v>#DIV/0!</v>
      </c>
      <c r="O1326" s="46" t="str">
        <f t="shared" si="63"/>
        <v/>
      </c>
      <c r="P1326" s="46">
        <f t="shared" si="64"/>
        <v>1</v>
      </c>
    </row>
    <row r="1327" spans="1:16" ht="14.25">
      <c r="A1327" s="80"/>
      <c r="B1327" s="80"/>
      <c r="C1327" s="80"/>
      <c r="D1327" s="80"/>
      <c r="E1327" s="76" t="str">
        <f>IFERROR(VLOOKUP(C1327,$C$9:E1326,3,0),"")</f>
        <v/>
      </c>
      <c r="F1327" s="57" t="str">
        <f>IFERROR(VLOOKUP(C1327,$C$9:H1326,4,FALSE),"")</f>
        <v/>
      </c>
      <c r="G1327" s="61" t="str">
        <f>IFERROR(VLOOKUP(C1327,$C$9:G1326,5,FALSE),"")</f>
        <v/>
      </c>
      <c r="H1327" s="61" t="str">
        <f>IFERROR(VLOOKUP(C1327,$C$9:H1326,6,FALSE),"")</f>
        <v/>
      </c>
      <c r="N1327" s="46" t="e">
        <f t="shared" si="62"/>
        <v>#DIV/0!</v>
      </c>
      <c r="O1327" s="46" t="str">
        <f t="shared" si="63"/>
        <v/>
      </c>
      <c r="P1327" s="46">
        <f t="shared" si="64"/>
        <v>1</v>
      </c>
    </row>
    <row r="1328" spans="1:16" ht="14.25">
      <c r="A1328" s="80"/>
      <c r="B1328" s="80"/>
      <c r="C1328" s="80"/>
      <c r="D1328" s="80"/>
      <c r="E1328" s="76" t="str">
        <f>IFERROR(VLOOKUP(C1328,$C$9:E1327,3,0),"")</f>
        <v/>
      </c>
      <c r="F1328" s="57" t="str">
        <f>IFERROR(VLOOKUP(C1328,$C$9:H1327,4,FALSE),"")</f>
        <v/>
      </c>
      <c r="G1328" s="61" t="str">
        <f>IFERROR(VLOOKUP(C1328,$C$9:G1327,5,FALSE),"")</f>
        <v/>
      </c>
      <c r="H1328" s="61" t="str">
        <f>IFERROR(VLOOKUP(C1328,$C$9:H1327,6,FALSE),"")</f>
        <v/>
      </c>
      <c r="N1328" s="46" t="e">
        <f t="shared" si="62"/>
        <v>#DIV/0!</v>
      </c>
      <c r="O1328" s="46" t="str">
        <f t="shared" si="63"/>
        <v/>
      </c>
      <c r="P1328" s="46">
        <f t="shared" si="64"/>
        <v>1</v>
      </c>
    </row>
    <row r="1329" spans="1:16" ht="14.25">
      <c r="A1329" s="80"/>
      <c r="B1329" s="80"/>
      <c r="C1329" s="80"/>
      <c r="D1329" s="80"/>
      <c r="E1329" s="76" t="str">
        <f>IFERROR(VLOOKUP(C1329,$C$9:E1328,3,0),"")</f>
        <v/>
      </c>
      <c r="F1329" s="57" t="str">
        <f>IFERROR(VLOOKUP(C1329,$C$9:H1328,4,FALSE),"")</f>
        <v/>
      </c>
      <c r="G1329" s="61" t="str">
        <f>IFERROR(VLOOKUP(C1329,$C$9:G1328,5,FALSE),"")</f>
        <v/>
      </c>
      <c r="H1329" s="61" t="str">
        <f>IFERROR(VLOOKUP(C1329,$C$9:H1328,6,FALSE),"")</f>
        <v/>
      </c>
      <c r="N1329" s="46" t="e">
        <f t="shared" si="62"/>
        <v>#DIV/0!</v>
      </c>
      <c r="O1329" s="46" t="str">
        <f t="shared" si="63"/>
        <v/>
      </c>
      <c r="P1329" s="46">
        <f t="shared" si="64"/>
        <v>1</v>
      </c>
    </row>
    <row r="1330" spans="1:16" ht="14.25">
      <c r="A1330" s="80"/>
      <c r="B1330" s="80"/>
      <c r="C1330" s="80"/>
      <c r="D1330" s="80"/>
      <c r="E1330" s="76" t="str">
        <f>IFERROR(VLOOKUP(C1330,$C$9:E1329,3,0),"")</f>
        <v/>
      </c>
      <c r="F1330" s="57" t="str">
        <f>IFERROR(VLOOKUP(C1330,$C$9:H1329,4,FALSE),"")</f>
        <v/>
      </c>
      <c r="G1330" s="61" t="str">
        <f>IFERROR(VLOOKUP(C1330,$C$9:G1329,5,FALSE),"")</f>
        <v/>
      </c>
      <c r="H1330" s="61" t="str">
        <f>IFERROR(VLOOKUP(C1330,$C$9:H1329,6,FALSE),"")</f>
        <v/>
      </c>
      <c r="N1330" s="46" t="e">
        <f t="shared" si="62"/>
        <v>#DIV/0!</v>
      </c>
      <c r="O1330" s="46" t="str">
        <f t="shared" si="63"/>
        <v/>
      </c>
      <c r="P1330" s="46">
        <f t="shared" si="64"/>
        <v>1</v>
      </c>
    </row>
    <row r="1331" spans="1:16" ht="14.25">
      <c r="A1331" s="80"/>
      <c r="B1331" s="80"/>
      <c r="C1331" s="80"/>
      <c r="D1331" s="80"/>
      <c r="E1331" s="76" t="str">
        <f>IFERROR(VLOOKUP(C1331,$C$9:E1330,3,0),"")</f>
        <v/>
      </c>
      <c r="F1331" s="57" t="str">
        <f>IFERROR(VLOOKUP(C1331,$C$9:H1330,4,FALSE),"")</f>
        <v/>
      </c>
      <c r="G1331" s="61" t="str">
        <f>IFERROR(VLOOKUP(C1331,$C$9:G1330,5,FALSE),"")</f>
        <v/>
      </c>
      <c r="H1331" s="61" t="str">
        <f>IFERROR(VLOOKUP(C1331,$C$9:H1330,6,FALSE),"")</f>
        <v/>
      </c>
      <c r="N1331" s="46" t="e">
        <f t="shared" si="62"/>
        <v>#DIV/0!</v>
      </c>
      <c r="O1331" s="46" t="str">
        <f t="shared" si="63"/>
        <v/>
      </c>
      <c r="P1331" s="46">
        <f t="shared" si="64"/>
        <v>1</v>
      </c>
    </row>
    <row r="1332" spans="1:16" ht="14.25">
      <c r="A1332" s="80"/>
      <c r="B1332" s="80"/>
      <c r="C1332" s="80"/>
      <c r="D1332" s="80"/>
      <c r="E1332" s="76" t="str">
        <f>IFERROR(VLOOKUP(C1332,$C$9:E1331,3,0),"")</f>
        <v/>
      </c>
      <c r="F1332" s="57" t="str">
        <f>IFERROR(VLOOKUP(C1332,$C$9:H1331,4,FALSE),"")</f>
        <v/>
      </c>
      <c r="G1332" s="61" t="str">
        <f>IFERROR(VLOOKUP(C1332,$C$9:G1331,5,FALSE),"")</f>
        <v/>
      </c>
      <c r="H1332" s="61" t="str">
        <f>IFERROR(VLOOKUP(C1332,$C$9:H1331,6,FALSE),"")</f>
        <v/>
      </c>
      <c r="N1332" s="46" t="e">
        <f t="shared" si="62"/>
        <v>#DIV/0!</v>
      </c>
      <c r="O1332" s="46" t="str">
        <f t="shared" si="63"/>
        <v/>
      </c>
      <c r="P1332" s="46">
        <f t="shared" si="64"/>
        <v>1</v>
      </c>
    </row>
    <row r="1333" spans="1:16" ht="14.25">
      <c r="A1333" s="80"/>
      <c r="B1333" s="80"/>
      <c r="C1333" s="80"/>
      <c r="D1333" s="80"/>
      <c r="E1333" s="76" t="str">
        <f>IFERROR(VLOOKUP(C1333,$C$9:E1332,3,0),"")</f>
        <v/>
      </c>
      <c r="F1333" s="57" t="str">
        <f>IFERROR(VLOOKUP(C1333,$C$9:H1332,4,FALSE),"")</f>
        <v/>
      </c>
      <c r="G1333" s="61" t="str">
        <f>IFERROR(VLOOKUP(C1333,$C$9:G1332,5,FALSE),"")</f>
        <v/>
      </c>
      <c r="H1333" s="61" t="str">
        <f>IFERROR(VLOOKUP(C1333,$C$9:H1332,6,FALSE),"")</f>
        <v/>
      </c>
      <c r="N1333" s="46" t="e">
        <f t="shared" si="62"/>
        <v>#DIV/0!</v>
      </c>
      <c r="O1333" s="46" t="str">
        <f t="shared" si="63"/>
        <v/>
      </c>
      <c r="P1333" s="46">
        <f t="shared" si="64"/>
        <v>1</v>
      </c>
    </row>
    <row r="1334" spans="1:16" ht="14.25">
      <c r="A1334" s="80"/>
      <c r="B1334" s="80"/>
      <c r="C1334" s="80"/>
      <c r="D1334" s="80"/>
      <c r="E1334" s="76" t="str">
        <f>IFERROR(VLOOKUP(C1334,$C$9:E1333,3,0),"")</f>
        <v/>
      </c>
      <c r="F1334" s="57" t="str">
        <f>IFERROR(VLOOKUP(C1334,$C$9:H1333,4,FALSE),"")</f>
        <v/>
      </c>
      <c r="G1334" s="61" t="str">
        <f>IFERROR(VLOOKUP(C1334,$C$9:G1333,5,FALSE),"")</f>
        <v/>
      </c>
      <c r="H1334" s="61" t="str">
        <f>IFERROR(VLOOKUP(C1334,$C$9:H1333,6,FALSE),"")</f>
        <v/>
      </c>
      <c r="N1334" s="46" t="e">
        <f t="shared" si="62"/>
        <v>#DIV/0!</v>
      </c>
      <c r="O1334" s="46" t="str">
        <f t="shared" si="63"/>
        <v/>
      </c>
      <c r="P1334" s="46">
        <f t="shared" si="64"/>
        <v>1</v>
      </c>
    </row>
    <row r="1335" spans="1:16" ht="14.25">
      <c r="A1335" s="80"/>
      <c r="B1335" s="80"/>
      <c r="C1335" s="80"/>
      <c r="D1335" s="80"/>
      <c r="E1335" s="76" t="str">
        <f>IFERROR(VLOOKUP(C1335,$C$9:E1334,3,0),"")</f>
        <v/>
      </c>
      <c r="F1335" s="57" t="str">
        <f>IFERROR(VLOOKUP(C1335,$C$9:H1334,4,FALSE),"")</f>
        <v/>
      </c>
      <c r="G1335" s="61" t="str">
        <f>IFERROR(VLOOKUP(C1335,$C$9:G1334,5,FALSE),"")</f>
        <v/>
      </c>
      <c r="H1335" s="61" t="str">
        <f>IFERROR(VLOOKUP(C1335,$C$9:H1334,6,FALSE),"")</f>
        <v/>
      </c>
      <c r="N1335" s="46" t="e">
        <f t="shared" si="62"/>
        <v>#DIV/0!</v>
      </c>
      <c r="O1335" s="46" t="str">
        <f t="shared" si="63"/>
        <v/>
      </c>
      <c r="P1335" s="46">
        <f t="shared" si="64"/>
        <v>1</v>
      </c>
    </row>
    <row r="1336" spans="1:16" ht="14.25">
      <c r="A1336" s="80"/>
      <c r="B1336" s="80"/>
      <c r="C1336" s="80"/>
      <c r="D1336" s="80"/>
      <c r="E1336" s="76" t="str">
        <f>IFERROR(VLOOKUP(C1336,$C$9:E1335,3,0),"")</f>
        <v/>
      </c>
      <c r="F1336" s="57" t="str">
        <f>IFERROR(VLOOKUP(C1336,$C$9:H1335,4,FALSE),"")</f>
        <v/>
      </c>
      <c r="G1336" s="61" t="str">
        <f>IFERROR(VLOOKUP(C1336,$C$9:G1335,5,FALSE),"")</f>
        <v/>
      </c>
      <c r="H1336" s="61" t="str">
        <f>IFERROR(VLOOKUP(C1336,$C$9:H1335,6,FALSE),"")</f>
        <v/>
      </c>
      <c r="N1336" s="46" t="e">
        <f t="shared" si="62"/>
        <v>#DIV/0!</v>
      </c>
      <c r="O1336" s="46" t="str">
        <f t="shared" si="63"/>
        <v/>
      </c>
      <c r="P1336" s="46">
        <f t="shared" si="64"/>
        <v>1</v>
      </c>
    </row>
    <row r="1337" spans="1:16" ht="14.25">
      <c r="A1337" s="80"/>
      <c r="B1337" s="80"/>
      <c r="C1337" s="80"/>
      <c r="D1337" s="80"/>
      <c r="E1337" s="76" t="str">
        <f>IFERROR(VLOOKUP(C1337,$C$9:E1336,3,0),"")</f>
        <v/>
      </c>
      <c r="F1337" s="57" t="str">
        <f>IFERROR(VLOOKUP(C1337,$C$9:H1336,4,FALSE),"")</f>
        <v/>
      </c>
      <c r="G1337" s="61" t="str">
        <f>IFERROR(VLOOKUP(C1337,$C$9:G1336,5,FALSE),"")</f>
        <v/>
      </c>
      <c r="H1337" s="61" t="str">
        <f>IFERROR(VLOOKUP(C1337,$C$9:H1336,6,FALSE),"")</f>
        <v/>
      </c>
      <c r="N1337" s="46" t="e">
        <f t="shared" si="62"/>
        <v>#DIV/0!</v>
      </c>
      <c r="O1337" s="46" t="str">
        <f t="shared" si="63"/>
        <v/>
      </c>
      <c r="P1337" s="46">
        <f t="shared" si="64"/>
        <v>1</v>
      </c>
    </row>
    <row r="1338" spans="1:16" ht="14.25">
      <c r="A1338" s="80"/>
      <c r="B1338" s="80"/>
      <c r="C1338" s="80"/>
      <c r="D1338" s="80"/>
      <c r="E1338" s="76" t="str">
        <f>IFERROR(VLOOKUP(C1338,$C$9:E1337,3,0),"")</f>
        <v/>
      </c>
      <c r="F1338" s="57" t="str">
        <f>IFERROR(VLOOKUP(C1338,$C$9:H1337,4,FALSE),"")</f>
        <v/>
      </c>
      <c r="G1338" s="61" t="str">
        <f>IFERROR(VLOOKUP(C1338,$C$9:G1337,5,FALSE),"")</f>
        <v/>
      </c>
      <c r="H1338" s="61" t="str">
        <f>IFERROR(VLOOKUP(C1338,$C$9:H1337,6,FALSE),"")</f>
        <v/>
      </c>
      <c r="N1338" s="46" t="e">
        <f t="shared" si="62"/>
        <v>#DIV/0!</v>
      </c>
      <c r="O1338" s="46" t="str">
        <f t="shared" si="63"/>
        <v/>
      </c>
      <c r="P1338" s="46">
        <f t="shared" si="64"/>
        <v>1</v>
      </c>
    </row>
    <row r="1339" spans="1:16" ht="14.25">
      <c r="A1339" s="80"/>
      <c r="B1339" s="80"/>
      <c r="C1339" s="80"/>
      <c r="D1339" s="80"/>
      <c r="E1339" s="76" t="str">
        <f>IFERROR(VLOOKUP(C1339,$C$9:E1338,3,0),"")</f>
        <v/>
      </c>
      <c r="F1339" s="57" t="str">
        <f>IFERROR(VLOOKUP(C1339,$C$9:H1338,4,FALSE),"")</f>
        <v/>
      </c>
      <c r="G1339" s="61" t="str">
        <f>IFERROR(VLOOKUP(C1339,$C$9:G1338,5,FALSE),"")</f>
        <v/>
      </c>
      <c r="H1339" s="61" t="str">
        <f>IFERROR(VLOOKUP(C1339,$C$9:H1338,6,FALSE),"")</f>
        <v/>
      </c>
      <c r="N1339" s="46" t="e">
        <f t="shared" si="62"/>
        <v>#DIV/0!</v>
      </c>
      <c r="O1339" s="46" t="str">
        <f t="shared" si="63"/>
        <v/>
      </c>
      <c r="P1339" s="46">
        <f t="shared" si="64"/>
        <v>1</v>
      </c>
    </row>
    <row r="1340" spans="1:16" ht="14.25">
      <c r="A1340" s="80"/>
      <c r="B1340" s="80"/>
      <c r="C1340" s="80"/>
      <c r="D1340" s="80"/>
      <c r="E1340" s="76" t="str">
        <f>IFERROR(VLOOKUP(C1340,$C$9:E1339,3,0),"")</f>
        <v/>
      </c>
      <c r="F1340" s="57" t="str">
        <f>IFERROR(VLOOKUP(C1340,$C$9:H1339,4,FALSE),"")</f>
        <v/>
      </c>
      <c r="G1340" s="61" t="str">
        <f>IFERROR(VLOOKUP(C1340,$C$9:G1339,5,FALSE),"")</f>
        <v/>
      </c>
      <c r="H1340" s="61" t="str">
        <f>IFERROR(VLOOKUP(C1340,$C$9:H1339,6,FALSE),"")</f>
        <v/>
      </c>
      <c r="N1340" s="46" t="e">
        <f t="shared" si="62"/>
        <v>#DIV/0!</v>
      </c>
      <c r="O1340" s="46" t="str">
        <f t="shared" si="63"/>
        <v/>
      </c>
      <c r="P1340" s="46">
        <f t="shared" si="64"/>
        <v>1</v>
      </c>
    </row>
    <row r="1341" spans="1:16" ht="14.25">
      <c r="A1341" s="80"/>
      <c r="B1341" s="80"/>
      <c r="C1341" s="80"/>
      <c r="D1341" s="80"/>
      <c r="E1341" s="76" t="str">
        <f>IFERROR(VLOOKUP(C1341,$C$9:E1340,3,0),"")</f>
        <v/>
      </c>
      <c r="F1341" s="57" t="str">
        <f>IFERROR(VLOOKUP(C1341,$C$9:H1340,4,FALSE),"")</f>
        <v/>
      </c>
      <c r="G1341" s="61" t="str">
        <f>IFERROR(VLOOKUP(C1341,$C$9:G1340,5,FALSE),"")</f>
        <v/>
      </c>
      <c r="H1341" s="61" t="str">
        <f>IFERROR(VLOOKUP(C1341,$C$9:H1340,6,FALSE),"")</f>
        <v/>
      </c>
      <c r="N1341" s="46" t="e">
        <f t="shared" si="62"/>
        <v>#DIV/0!</v>
      </c>
      <c r="O1341" s="46" t="str">
        <f t="shared" si="63"/>
        <v/>
      </c>
      <c r="P1341" s="46">
        <f t="shared" si="64"/>
        <v>1</v>
      </c>
    </row>
    <row r="1342" spans="1:16" ht="14.25">
      <c r="A1342" s="80"/>
      <c r="B1342" s="80"/>
      <c r="C1342" s="80"/>
      <c r="D1342" s="80"/>
      <c r="E1342" s="76" t="str">
        <f>IFERROR(VLOOKUP(C1342,$C$9:E1341,3,0),"")</f>
        <v/>
      </c>
      <c r="F1342" s="57" t="str">
        <f>IFERROR(VLOOKUP(C1342,$C$9:H1341,4,FALSE),"")</f>
        <v/>
      </c>
      <c r="G1342" s="61" t="str">
        <f>IFERROR(VLOOKUP(C1342,$C$9:G1341,5,FALSE),"")</f>
        <v/>
      </c>
      <c r="H1342" s="61" t="str">
        <f>IFERROR(VLOOKUP(C1342,$C$9:H1341,6,FALSE),"")</f>
        <v/>
      </c>
      <c r="N1342" s="46" t="e">
        <f t="shared" si="62"/>
        <v>#DIV/0!</v>
      </c>
      <c r="O1342" s="46" t="str">
        <f t="shared" si="63"/>
        <v/>
      </c>
      <c r="P1342" s="46">
        <f t="shared" si="64"/>
        <v>1</v>
      </c>
    </row>
    <row r="1343" spans="1:16" ht="14.25">
      <c r="A1343" s="80"/>
      <c r="B1343" s="80"/>
      <c r="C1343" s="80"/>
      <c r="D1343" s="80"/>
      <c r="E1343" s="76" t="str">
        <f>IFERROR(VLOOKUP(C1343,$C$9:E1342,3,0),"")</f>
        <v/>
      </c>
      <c r="F1343" s="57" t="str">
        <f>IFERROR(VLOOKUP(C1343,$C$9:H1342,4,FALSE),"")</f>
        <v/>
      </c>
      <c r="G1343" s="61" t="str">
        <f>IFERROR(VLOOKUP(C1343,$C$9:G1342,5,FALSE),"")</f>
        <v/>
      </c>
      <c r="H1343" s="61" t="str">
        <f>IFERROR(VLOOKUP(C1343,$C$9:H1342,6,FALSE),"")</f>
        <v/>
      </c>
      <c r="N1343" s="46" t="e">
        <f t="shared" si="62"/>
        <v>#DIV/0!</v>
      </c>
      <c r="O1343" s="46" t="str">
        <f t="shared" si="63"/>
        <v/>
      </c>
      <c r="P1343" s="46">
        <f t="shared" si="64"/>
        <v>1</v>
      </c>
    </row>
    <row r="1344" spans="1:16" ht="14.25">
      <c r="A1344" s="80"/>
      <c r="B1344" s="80"/>
      <c r="C1344" s="80"/>
      <c r="D1344" s="80"/>
      <c r="E1344" s="76" t="str">
        <f>IFERROR(VLOOKUP(C1344,$C$9:E1343,3,0),"")</f>
        <v/>
      </c>
      <c r="F1344" s="57" t="str">
        <f>IFERROR(VLOOKUP(C1344,$C$9:H1343,4,FALSE),"")</f>
        <v/>
      </c>
      <c r="G1344" s="61" t="str">
        <f>IFERROR(VLOOKUP(C1344,$C$9:G1343,5,FALSE),"")</f>
        <v/>
      </c>
      <c r="H1344" s="61" t="str">
        <f>IFERROR(VLOOKUP(C1344,$C$9:H1343,6,FALSE),"")</f>
        <v/>
      </c>
      <c r="N1344" s="46" t="e">
        <f t="shared" si="62"/>
        <v>#DIV/0!</v>
      </c>
      <c r="O1344" s="46" t="str">
        <f t="shared" si="63"/>
        <v/>
      </c>
      <c r="P1344" s="46">
        <f t="shared" si="64"/>
        <v>1</v>
      </c>
    </row>
    <row r="1345" spans="1:16" ht="14.25">
      <c r="A1345" s="80"/>
      <c r="B1345" s="80"/>
      <c r="C1345" s="80"/>
      <c r="D1345" s="80"/>
      <c r="E1345" s="76" t="str">
        <f>IFERROR(VLOOKUP(C1345,$C$9:E1344,3,0),"")</f>
        <v/>
      </c>
      <c r="F1345" s="57" t="str">
        <f>IFERROR(VLOOKUP(C1345,$C$9:H1344,4,FALSE),"")</f>
        <v/>
      </c>
      <c r="G1345" s="61" t="str">
        <f>IFERROR(VLOOKUP(C1345,$C$9:G1344,5,FALSE),"")</f>
        <v/>
      </c>
      <c r="H1345" s="61" t="str">
        <f>IFERROR(VLOOKUP(C1345,$C$9:H1344,6,FALSE),"")</f>
        <v/>
      </c>
      <c r="N1345" s="46" t="e">
        <f t="shared" si="62"/>
        <v>#DIV/0!</v>
      </c>
      <c r="O1345" s="46" t="str">
        <f t="shared" si="63"/>
        <v/>
      </c>
      <c r="P1345" s="46">
        <f t="shared" si="64"/>
        <v>1</v>
      </c>
    </row>
    <row r="1346" spans="1:16" ht="14.25">
      <c r="A1346" s="80"/>
      <c r="B1346" s="80"/>
      <c r="C1346" s="80"/>
      <c r="D1346" s="80"/>
      <c r="E1346" s="76" t="str">
        <f>IFERROR(VLOOKUP(C1346,$C$9:E1345,3,0),"")</f>
        <v/>
      </c>
      <c r="F1346" s="57" t="str">
        <f>IFERROR(VLOOKUP(C1346,$C$9:H1345,4,FALSE),"")</f>
        <v/>
      </c>
      <c r="G1346" s="61" t="str">
        <f>IFERROR(VLOOKUP(C1346,$C$9:G1345,5,FALSE),"")</f>
        <v/>
      </c>
      <c r="H1346" s="61" t="str">
        <f>IFERROR(VLOOKUP(C1346,$C$9:H1345,6,FALSE),"")</f>
        <v/>
      </c>
      <c r="N1346" s="46" t="e">
        <f t="shared" si="62"/>
        <v>#DIV/0!</v>
      </c>
      <c r="O1346" s="46" t="str">
        <f t="shared" si="63"/>
        <v/>
      </c>
      <c r="P1346" s="46">
        <f t="shared" si="64"/>
        <v>1</v>
      </c>
    </row>
    <row r="1347" spans="1:16" ht="14.25">
      <c r="A1347" s="80"/>
      <c r="B1347" s="80"/>
      <c r="C1347" s="80"/>
      <c r="D1347" s="80"/>
      <c r="E1347" s="76" t="str">
        <f>IFERROR(VLOOKUP(C1347,$C$9:E1346,3,0),"")</f>
        <v/>
      </c>
      <c r="F1347" s="57" t="str">
        <f>IFERROR(VLOOKUP(C1347,$C$9:H1346,4,FALSE),"")</f>
        <v/>
      </c>
      <c r="G1347" s="61" t="str">
        <f>IFERROR(VLOOKUP(C1347,$C$9:G1346,5,FALSE),"")</f>
        <v/>
      </c>
      <c r="H1347" s="61" t="str">
        <f>IFERROR(VLOOKUP(C1347,$C$9:H1346,6,FALSE),"")</f>
        <v/>
      </c>
      <c r="N1347" s="46" t="e">
        <f t="shared" si="62"/>
        <v>#DIV/0!</v>
      </c>
      <c r="O1347" s="46" t="str">
        <f t="shared" si="63"/>
        <v/>
      </c>
      <c r="P1347" s="46">
        <f t="shared" si="64"/>
        <v>1</v>
      </c>
    </row>
    <row r="1348" spans="1:16" ht="14.25">
      <c r="A1348" s="80"/>
      <c r="B1348" s="80"/>
      <c r="C1348" s="80"/>
      <c r="D1348" s="80"/>
      <c r="E1348" s="76" t="str">
        <f>IFERROR(VLOOKUP(C1348,$C$9:E1347,3,0),"")</f>
        <v/>
      </c>
      <c r="F1348" s="57" t="str">
        <f>IFERROR(VLOOKUP(C1348,$C$9:H1347,4,FALSE),"")</f>
        <v/>
      </c>
      <c r="G1348" s="61" t="str">
        <f>IFERROR(VLOOKUP(C1348,$C$9:G1347,5,FALSE),"")</f>
        <v/>
      </c>
      <c r="H1348" s="61" t="str">
        <f>IFERROR(VLOOKUP(C1348,$C$9:H1347,6,FALSE),"")</f>
        <v/>
      </c>
      <c r="N1348" s="46" t="e">
        <f t="shared" si="62"/>
        <v>#DIV/0!</v>
      </c>
      <c r="O1348" s="46" t="str">
        <f t="shared" si="63"/>
        <v/>
      </c>
      <c r="P1348" s="46">
        <f t="shared" si="64"/>
        <v>1</v>
      </c>
    </row>
    <row r="1349" spans="1:16" ht="14.25">
      <c r="A1349" s="80"/>
      <c r="B1349" s="80"/>
      <c r="C1349" s="80"/>
      <c r="D1349" s="80"/>
      <c r="E1349" s="76" t="str">
        <f>IFERROR(VLOOKUP(C1349,$C$9:E1348,3,0),"")</f>
        <v/>
      </c>
      <c r="F1349" s="57" t="str">
        <f>IFERROR(VLOOKUP(C1349,$C$9:H1348,4,FALSE),"")</f>
        <v/>
      </c>
      <c r="G1349" s="61" t="str">
        <f>IFERROR(VLOOKUP(C1349,$C$9:G1348,5,FALSE),"")</f>
        <v/>
      </c>
      <c r="H1349" s="61" t="str">
        <f>IFERROR(VLOOKUP(C1349,$C$9:H1348,6,FALSE),"")</f>
        <v/>
      </c>
      <c r="N1349" s="46" t="e">
        <f t="shared" si="62"/>
        <v>#DIV/0!</v>
      </c>
      <c r="O1349" s="46" t="str">
        <f t="shared" si="63"/>
        <v/>
      </c>
      <c r="P1349" s="46">
        <f t="shared" si="64"/>
        <v>1</v>
      </c>
    </row>
    <row r="1350" spans="1:16" ht="14.25">
      <c r="A1350" s="80"/>
      <c r="B1350" s="80"/>
      <c r="C1350" s="80"/>
      <c r="D1350" s="80"/>
      <c r="E1350" s="76" t="str">
        <f>IFERROR(VLOOKUP(C1350,$C$9:E1349,3,0),"")</f>
        <v/>
      </c>
      <c r="F1350" s="57" t="str">
        <f>IFERROR(VLOOKUP(C1350,$C$9:H1349,4,FALSE),"")</f>
        <v/>
      </c>
      <c r="G1350" s="61" t="str">
        <f>IFERROR(VLOOKUP(C1350,$C$9:G1349,5,FALSE),"")</f>
        <v/>
      </c>
      <c r="H1350" s="61" t="str">
        <f>IFERROR(VLOOKUP(C1350,$C$9:H1349,6,FALSE),"")</f>
        <v/>
      </c>
      <c r="N1350" s="46" t="e">
        <f t="shared" si="62"/>
        <v>#DIV/0!</v>
      </c>
      <c r="O1350" s="46" t="str">
        <f t="shared" si="63"/>
        <v/>
      </c>
      <c r="P1350" s="46">
        <f t="shared" si="64"/>
        <v>1</v>
      </c>
    </row>
    <row r="1351" spans="1:16" ht="14.25">
      <c r="A1351" s="80"/>
      <c r="B1351" s="80"/>
      <c r="C1351" s="80"/>
      <c r="D1351" s="80"/>
      <c r="E1351" s="76" t="str">
        <f>IFERROR(VLOOKUP(C1351,$C$9:E1350,3,0),"")</f>
        <v/>
      </c>
      <c r="F1351" s="57" t="str">
        <f>IFERROR(VLOOKUP(C1351,$C$9:H1350,4,FALSE),"")</f>
        <v/>
      </c>
      <c r="G1351" s="61" t="str">
        <f>IFERROR(VLOOKUP(C1351,$C$9:G1350,5,FALSE),"")</f>
        <v/>
      </c>
      <c r="H1351" s="61" t="str">
        <f>IFERROR(VLOOKUP(C1351,$C$9:H1350,6,FALSE),"")</f>
        <v/>
      </c>
      <c r="N1351" s="46" t="e">
        <f t="shared" si="62"/>
        <v>#DIV/0!</v>
      </c>
      <c r="O1351" s="46" t="str">
        <f t="shared" si="63"/>
        <v/>
      </c>
      <c r="P1351" s="46">
        <f t="shared" si="64"/>
        <v>1</v>
      </c>
    </row>
    <row r="1352" spans="1:16" ht="14.25">
      <c r="A1352" s="80"/>
      <c r="B1352" s="80"/>
      <c r="C1352" s="80"/>
      <c r="D1352" s="80"/>
      <c r="E1352" s="76" t="str">
        <f>IFERROR(VLOOKUP(C1352,$C$9:E1351,3,0),"")</f>
        <v/>
      </c>
      <c r="F1352" s="57" t="str">
        <f>IFERROR(VLOOKUP(C1352,$C$9:H1351,4,FALSE),"")</f>
        <v/>
      </c>
      <c r="G1352" s="61" t="str">
        <f>IFERROR(VLOOKUP(C1352,$C$9:G1351,5,FALSE),"")</f>
        <v/>
      </c>
      <c r="H1352" s="61" t="str">
        <f>IFERROR(VLOOKUP(C1352,$C$9:H1351,6,FALSE),"")</f>
        <v/>
      </c>
      <c r="N1352" s="46" t="e">
        <f t="shared" si="62"/>
        <v>#DIV/0!</v>
      </c>
      <c r="O1352" s="46" t="str">
        <f t="shared" si="63"/>
        <v/>
      </c>
      <c r="P1352" s="46">
        <f t="shared" si="64"/>
        <v>1</v>
      </c>
    </row>
    <row r="1353" spans="1:16" ht="14.25">
      <c r="A1353" s="80"/>
      <c r="B1353" s="80"/>
      <c r="C1353" s="80"/>
      <c r="D1353" s="80"/>
      <c r="E1353" s="76" t="str">
        <f>IFERROR(VLOOKUP(C1353,$C$9:E1352,3,0),"")</f>
        <v/>
      </c>
      <c r="F1353" s="57" t="str">
        <f>IFERROR(VLOOKUP(C1353,$C$9:H1352,4,FALSE),"")</f>
        <v/>
      </c>
      <c r="G1353" s="61" t="str">
        <f>IFERROR(VLOOKUP(C1353,$C$9:G1352,5,FALSE),"")</f>
        <v/>
      </c>
      <c r="H1353" s="61" t="str">
        <f>IFERROR(VLOOKUP(C1353,$C$9:H1352,6,FALSE),"")</f>
        <v/>
      </c>
      <c r="N1353" s="46" t="e">
        <f t="shared" si="62"/>
        <v>#DIV/0!</v>
      </c>
      <c r="O1353" s="46" t="str">
        <f t="shared" si="63"/>
        <v/>
      </c>
      <c r="P1353" s="46">
        <f t="shared" si="64"/>
        <v>1</v>
      </c>
    </row>
    <row r="1354" spans="1:16" ht="14.25">
      <c r="A1354" s="80"/>
      <c r="B1354" s="80"/>
      <c r="C1354" s="80"/>
      <c r="D1354" s="80"/>
      <c r="E1354" s="76" t="str">
        <f>IFERROR(VLOOKUP(C1354,$C$9:E1353,3,0),"")</f>
        <v/>
      </c>
      <c r="F1354" s="57" t="str">
        <f>IFERROR(VLOOKUP(C1354,$C$9:H1353,4,FALSE),"")</f>
        <v/>
      </c>
      <c r="G1354" s="61" t="str">
        <f>IFERROR(VLOOKUP(C1354,$C$9:G1353,5,FALSE),"")</f>
        <v/>
      </c>
      <c r="H1354" s="61" t="str">
        <f>IFERROR(VLOOKUP(C1354,$C$9:H1353,6,FALSE),"")</f>
        <v/>
      </c>
      <c r="N1354" s="46" t="e">
        <f t="shared" ref="N1354:N1417" si="65">IF(OR(F1354=$P$1,F1354="",F1354=0),D1354/$B$2,IF(OR(F1354=$P$2,F1354=$P$3,F1354=$P$4),D1354/(O1354*P1354),D1354/O1354))</f>
        <v>#DIV/0!</v>
      </c>
      <c r="O1354" s="46" t="str">
        <f t="shared" ref="O1354:O1417" si="66">IFERROR(VLOOKUP(F1354,$P$1:$Q$4,2,0),F1354)</f>
        <v/>
      </c>
      <c r="P1354" s="46">
        <f t="shared" si="64"/>
        <v>1</v>
      </c>
    </row>
    <row r="1355" spans="1:16" ht="14.25">
      <c r="A1355" s="80"/>
      <c r="B1355" s="80"/>
      <c r="C1355" s="80"/>
      <c r="D1355" s="80"/>
      <c r="E1355" s="76" t="str">
        <f>IFERROR(VLOOKUP(C1355,$C$9:E1354,3,0),"")</f>
        <v/>
      </c>
      <c r="F1355" s="57" t="str">
        <f>IFERROR(VLOOKUP(C1355,$C$9:H1354,4,FALSE),"")</f>
        <v/>
      </c>
      <c r="G1355" s="61" t="str">
        <f>IFERROR(VLOOKUP(C1355,$C$9:G1354,5,FALSE),"")</f>
        <v/>
      </c>
      <c r="H1355" s="61" t="str">
        <f>IFERROR(VLOOKUP(C1355,$C$9:H1354,6,FALSE),"")</f>
        <v/>
      </c>
      <c r="N1355" s="46" t="e">
        <f t="shared" si="65"/>
        <v>#DIV/0!</v>
      </c>
      <c r="O1355" s="46" t="str">
        <f t="shared" si="66"/>
        <v/>
      </c>
      <c r="P1355" s="46">
        <f t="shared" ref="P1355:P1418" si="67">IF(C1355="",1,COUNTIFS($C$9:$C$1499,C1355,$H$9:$H$1499,H1355))</f>
        <v>1</v>
      </c>
    </row>
    <row r="1356" spans="1:16" ht="14.25">
      <c r="A1356" s="80"/>
      <c r="B1356" s="80"/>
      <c r="C1356" s="80"/>
      <c r="D1356" s="80"/>
      <c r="E1356" s="76" t="str">
        <f>IFERROR(VLOOKUP(C1356,$C$9:E1355,3,0),"")</f>
        <v/>
      </c>
      <c r="F1356" s="57" t="str">
        <f>IFERROR(VLOOKUP(C1356,$C$9:H1355,4,FALSE),"")</f>
        <v/>
      </c>
      <c r="G1356" s="61" t="str">
        <f>IFERROR(VLOOKUP(C1356,$C$9:G1355,5,FALSE),"")</f>
        <v/>
      </c>
      <c r="H1356" s="61" t="str">
        <f>IFERROR(VLOOKUP(C1356,$C$9:H1355,6,FALSE),"")</f>
        <v/>
      </c>
      <c r="N1356" s="46" t="e">
        <f t="shared" si="65"/>
        <v>#DIV/0!</v>
      </c>
      <c r="O1356" s="46" t="str">
        <f t="shared" si="66"/>
        <v/>
      </c>
      <c r="P1356" s="46">
        <f t="shared" si="67"/>
        <v>1</v>
      </c>
    </row>
    <row r="1357" spans="1:16" ht="14.25">
      <c r="A1357" s="80"/>
      <c r="B1357" s="80"/>
      <c r="C1357" s="80"/>
      <c r="D1357" s="80"/>
      <c r="E1357" s="76" t="str">
        <f>IFERROR(VLOOKUP(C1357,$C$9:E1356,3,0),"")</f>
        <v/>
      </c>
      <c r="F1357" s="57" t="str">
        <f>IFERROR(VLOOKUP(C1357,$C$9:H1356,4,FALSE),"")</f>
        <v/>
      </c>
      <c r="G1357" s="61" t="str">
        <f>IFERROR(VLOOKUP(C1357,$C$9:G1356,5,FALSE),"")</f>
        <v/>
      </c>
      <c r="H1357" s="61" t="str">
        <f>IFERROR(VLOOKUP(C1357,$C$9:H1356,6,FALSE),"")</f>
        <v/>
      </c>
      <c r="N1357" s="46" t="e">
        <f t="shared" si="65"/>
        <v>#DIV/0!</v>
      </c>
      <c r="O1357" s="46" t="str">
        <f t="shared" si="66"/>
        <v/>
      </c>
      <c r="P1357" s="46">
        <f t="shared" si="67"/>
        <v>1</v>
      </c>
    </row>
    <row r="1358" spans="1:16" ht="14.25">
      <c r="A1358" s="80"/>
      <c r="B1358" s="80"/>
      <c r="C1358" s="80"/>
      <c r="D1358" s="80"/>
      <c r="E1358" s="76" t="str">
        <f>IFERROR(VLOOKUP(C1358,$C$9:E1357,3,0),"")</f>
        <v/>
      </c>
      <c r="F1358" s="57" t="str">
        <f>IFERROR(VLOOKUP(C1358,$C$9:H1357,4,FALSE),"")</f>
        <v/>
      </c>
      <c r="G1358" s="61" t="str">
        <f>IFERROR(VLOOKUP(C1358,$C$9:G1357,5,FALSE),"")</f>
        <v/>
      </c>
      <c r="H1358" s="61" t="str">
        <f>IFERROR(VLOOKUP(C1358,$C$9:H1357,6,FALSE),"")</f>
        <v/>
      </c>
      <c r="N1358" s="46" t="e">
        <f t="shared" si="65"/>
        <v>#DIV/0!</v>
      </c>
      <c r="O1358" s="46" t="str">
        <f t="shared" si="66"/>
        <v/>
      </c>
      <c r="P1358" s="46">
        <f t="shared" si="67"/>
        <v>1</v>
      </c>
    </row>
    <row r="1359" spans="1:16" ht="14.25">
      <c r="A1359" s="80"/>
      <c r="B1359" s="80"/>
      <c r="C1359" s="80"/>
      <c r="D1359" s="80"/>
      <c r="E1359" s="76" t="str">
        <f>IFERROR(VLOOKUP(C1359,$C$9:E1358,3,0),"")</f>
        <v/>
      </c>
      <c r="F1359" s="57" t="str">
        <f>IFERROR(VLOOKUP(C1359,$C$9:H1358,4,FALSE),"")</f>
        <v/>
      </c>
      <c r="G1359" s="61" t="str">
        <f>IFERROR(VLOOKUP(C1359,$C$9:G1358,5,FALSE),"")</f>
        <v/>
      </c>
      <c r="H1359" s="61" t="str">
        <f>IFERROR(VLOOKUP(C1359,$C$9:H1358,6,FALSE),"")</f>
        <v/>
      </c>
      <c r="N1359" s="46" t="e">
        <f t="shared" si="65"/>
        <v>#DIV/0!</v>
      </c>
      <c r="O1359" s="46" t="str">
        <f t="shared" si="66"/>
        <v/>
      </c>
      <c r="P1359" s="46">
        <f t="shared" si="67"/>
        <v>1</v>
      </c>
    </row>
    <row r="1360" spans="1:16" ht="14.25">
      <c r="A1360" s="80"/>
      <c r="B1360" s="80"/>
      <c r="C1360" s="80"/>
      <c r="D1360" s="80"/>
      <c r="E1360" s="76" t="str">
        <f>IFERROR(VLOOKUP(C1360,$C$9:E1359,3,0),"")</f>
        <v/>
      </c>
      <c r="F1360" s="57" t="str">
        <f>IFERROR(VLOOKUP(C1360,$C$9:H1359,4,FALSE),"")</f>
        <v/>
      </c>
      <c r="G1360" s="61" t="str">
        <f>IFERROR(VLOOKUP(C1360,$C$9:G1359,5,FALSE),"")</f>
        <v/>
      </c>
      <c r="H1360" s="61" t="str">
        <f>IFERROR(VLOOKUP(C1360,$C$9:H1359,6,FALSE),"")</f>
        <v/>
      </c>
      <c r="N1360" s="46" t="e">
        <f t="shared" si="65"/>
        <v>#DIV/0!</v>
      </c>
      <c r="O1360" s="46" t="str">
        <f t="shared" si="66"/>
        <v/>
      </c>
      <c r="P1360" s="46">
        <f t="shared" si="67"/>
        <v>1</v>
      </c>
    </row>
    <row r="1361" spans="1:16" ht="14.25">
      <c r="A1361" s="80"/>
      <c r="B1361" s="80"/>
      <c r="C1361" s="80"/>
      <c r="D1361" s="80"/>
      <c r="E1361" s="76" t="str">
        <f>IFERROR(VLOOKUP(C1361,$C$9:E1360,3,0),"")</f>
        <v/>
      </c>
      <c r="F1361" s="57" t="str">
        <f>IFERROR(VLOOKUP(C1361,$C$9:H1360,4,FALSE),"")</f>
        <v/>
      </c>
      <c r="G1361" s="61" t="str">
        <f>IFERROR(VLOOKUP(C1361,$C$9:G1360,5,FALSE),"")</f>
        <v/>
      </c>
      <c r="H1361" s="61" t="str">
        <f>IFERROR(VLOOKUP(C1361,$C$9:H1360,6,FALSE),"")</f>
        <v/>
      </c>
      <c r="N1361" s="46" t="e">
        <f t="shared" si="65"/>
        <v>#DIV/0!</v>
      </c>
      <c r="O1361" s="46" t="str">
        <f t="shared" si="66"/>
        <v/>
      </c>
      <c r="P1361" s="46">
        <f t="shared" si="67"/>
        <v>1</v>
      </c>
    </row>
    <row r="1362" spans="1:16" ht="14.25">
      <c r="A1362" s="80"/>
      <c r="B1362" s="80"/>
      <c r="C1362" s="80"/>
      <c r="D1362" s="80"/>
      <c r="E1362" s="76" t="str">
        <f>IFERROR(VLOOKUP(C1362,$C$9:E1361,3,0),"")</f>
        <v/>
      </c>
      <c r="F1362" s="57" t="str">
        <f>IFERROR(VLOOKUP(C1362,$C$9:H1361,4,FALSE),"")</f>
        <v/>
      </c>
      <c r="G1362" s="61" t="str">
        <f>IFERROR(VLOOKUP(C1362,$C$9:G1361,5,FALSE),"")</f>
        <v/>
      </c>
      <c r="H1362" s="61" t="str">
        <f>IFERROR(VLOOKUP(C1362,$C$9:H1361,6,FALSE),"")</f>
        <v/>
      </c>
      <c r="N1362" s="46" t="e">
        <f t="shared" si="65"/>
        <v>#DIV/0!</v>
      </c>
      <c r="O1362" s="46" t="str">
        <f t="shared" si="66"/>
        <v/>
      </c>
      <c r="P1362" s="46">
        <f t="shared" si="67"/>
        <v>1</v>
      </c>
    </row>
    <row r="1363" spans="1:16" ht="14.25">
      <c r="A1363" s="80"/>
      <c r="B1363" s="80"/>
      <c r="C1363" s="80"/>
      <c r="D1363" s="80"/>
      <c r="E1363" s="76" t="str">
        <f>IFERROR(VLOOKUP(C1363,$C$9:E1362,3,0),"")</f>
        <v/>
      </c>
      <c r="F1363" s="57" t="str">
        <f>IFERROR(VLOOKUP(C1363,$C$9:H1362,4,FALSE),"")</f>
        <v/>
      </c>
      <c r="G1363" s="61" t="str">
        <f>IFERROR(VLOOKUP(C1363,$C$9:G1362,5,FALSE),"")</f>
        <v/>
      </c>
      <c r="H1363" s="61" t="str">
        <f>IFERROR(VLOOKUP(C1363,$C$9:H1362,6,FALSE),"")</f>
        <v/>
      </c>
      <c r="N1363" s="46" t="e">
        <f t="shared" si="65"/>
        <v>#DIV/0!</v>
      </c>
      <c r="O1363" s="46" t="str">
        <f t="shared" si="66"/>
        <v/>
      </c>
      <c r="P1363" s="46">
        <f t="shared" si="67"/>
        <v>1</v>
      </c>
    </row>
    <row r="1364" spans="1:16" ht="14.25">
      <c r="A1364" s="80"/>
      <c r="B1364" s="80"/>
      <c r="C1364" s="80"/>
      <c r="D1364" s="80"/>
      <c r="E1364" s="76" t="str">
        <f>IFERROR(VLOOKUP(C1364,$C$9:E1363,3,0),"")</f>
        <v/>
      </c>
      <c r="F1364" s="57" t="str">
        <f>IFERROR(VLOOKUP(C1364,$C$9:H1363,4,FALSE),"")</f>
        <v/>
      </c>
      <c r="G1364" s="61" t="str">
        <f>IFERROR(VLOOKUP(C1364,$C$9:G1363,5,FALSE),"")</f>
        <v/>
      </c>
      <c r="H1364" s="61" t="str">
        <f>IFERROR(VLOOKUP(C1364,$C$9:H1363,6,FALSE),"")</f>
        <v/>
      </c>
      <c r="N1364" s="46" t="e">
        <f t="shared" si="65"/>
        <v>#DIV/0!</v>
      </c>
      <c r="O1364" s="46" t="str">
        <f t="shared" si="66"/>
        <v/>
      </c>
      <c r="P1364" s="46">
        <f t="shared" si="67"/>
        <v>1</v>
      </c>
    </row>
    <row r="1365" spans="1:16" ht="14.25">
      <c r="A1365" s="80"/>
      <c r="B1365" s="80"/>
      <c r="C1365" s="80"/>
      <c r="D1365" s="80"/>
      <c r="E1365" s="76" t="str">
        <f>IFERROR(VLOOKUP(C1365,$C$9:E1364,3,0),"")</f>
        <v/>
      </c>
      <c r="F1365" s="57" t="str">
        <f>IFERROR(VLOOKUP(C1365,$C$9:H1364,4,FALSE),"")</f>
        <v/>
      </c>
      <c r="G1365" s="61" t="str">
        <f>IFERROR(VLOOKUP(C1365,$C$9:G1364,5,FALSE),"")</f>
        <v/>
      </c>
      <c r="H1365" s="61" t="str">
        <f>IFERROR(VLOOKUP(C1365,$C$9:H1364,6,FALSE),"")</f>
        <v/>
      </c>
      <c r="N1365" s="46" t="e">
        <f t="shared" si="65"/>
        <v>#DIV/0!</v>
      </c>
      <c r="O1365" s="46" t="str">
        <f t="shared" si="66"/>
        <v/>
      </c>
      <c r="P1365" s="46">
        <f t="shared" si="67"/>
        <v>1</v>
      </c>
    </row>
    <row r="1366" spans="1:16" ht="14.25">
      <c r="A1366" s="80"/>
      <c r="B1366" s="80"/>
      <c r="C1366" s="80"/>
      <c r="D1366" s="80"/>
      <c r="E1366" s="76" t="str">
        <f>IFERROR(VLOOKUP(C1366,$C$9:E1365,3,0),"")</f>
        <v/>
      </c>
      <c r="F1366" s="57" t="str">
        <f>IFERROR(VLOOKUP(C1366,$C$9:H1365,4,FALSE),"")</f>
        <v/>
      </c>
      <c r="G1366" s="61" t="str">
        <f>IFERROR(VLOOKUP(C1366,$C$9:G1365,5,FALSE),"")</f>
        <v/>
      </c>
      <c r="H1366" s="61" t="str">
        <f>IFERROR(VLOOKUP(C1366,$C$9:H1365,6,FALSE),"")</f>
        <v/>
      </c>
      <c r="N1366" s="46" t="e">
        <f t="shared" si="65"/>
        <v>#DIV/0!</v>
      </c>
      <c r="O1366" s="46" t="str">
        <f t="shared" si="66"/>
        <v/>
      </c>
      <c r="P1366" s="46">
        <f t="shared" si="67"/>
        <v>1</v>
      </c>
    </row>
    <row r="1367" spans="1:16" ht="14.25">
      <c r="A1367" s="80"/>
      <c r="B1367" s="80"/>
      <c r="C1367" s="80"/>
      <c r="D1367" s="80"/>
      <c r="E1367" s="76" t="str">
        <f>IFERROR(VLOOKUP(C1367,$C$9:E1366,3,0),"")</f>
        <v/>
      </c>
      <c r="F1367" s="57" t="str">
        <f>IFERROR(VLOOKUP(C1367,$C$9:H1366,4,FALSE),"")</f>
        <v/>
      </c>
      <c r="G1367" s="61" t="str">
        <f>IFERROR(VLOOKUP(C1367,$C$9:G1366,5,FALSE),"")</f>
        <v/>
      </c>
      <c r="H1367" s="61" t="str">
        <f>IFERROR(VLOOKUP(C1367,$C$9:H1366,6,FALSE),"")</f>
        <v/>
      </c>
      <c r="N1367" s="46" t="e">
        <f t="shared" si="65"/>
        <v>#DIV/0!</v>
      </c>
      <c r="O1367" s="46" t="str">
        <f t="shared" si="66"/>
        <v/>
      </c>
      <c r="P1367" s="46">
        <f t="shared" si="67"/>
        <v>1</v>
      </c>
    </row>
    <row r="1368" spans="1:16" ht="14.25">
      <c r="A1368" s="80"/>
      <c r="B1368" s="80"/>
      <c r="C1368" s="80"/>
      <c r="D1368" s="80"/>
      <c r="E1368" s="76" t="str">
        <f>IFERROR(VLOOKUP(C1368,$C$9:E1367,3,0),"")</f>
        <v/>
      </c>
      <c r="F1368" s="57" t="str">
        <f>IFERROR(VLOOKUP(C1368,$C$9:H1367,4,FALSE),"")</f>
        <v/>
      </c>
      <c r="G1368" s="61" t="str">
        <f>IFERROR(VLOOKUP(C1368,$C$9:G1367,5,FALSE),"")</f>
        <v/>
      </c>
      <c r="H1368" s="61" t="str">
        <f>IFERROR(VLOOKUP(C1368,$C$9:H1367,6,FALSE),"")</f>
        <v/>
      </c>
      <c r="N1368" s="46" t="e">
        <f t="shared" si="65"/>
        <v>#DIV/0!</v>
      </c>
      <c r="O1368" s="46" t="str">
        <f t="shared" si="66"/>
        <v/>
      </c>
      <c r="P1368" s="46">
        <f t="shared" si="67"/>
        <v>1</v>
      </c>
    </row>
    <row r="1369" spans="1:16" ht="14.25">
      <c r="A1369" s="80"/>
      <c r="B1369" s="80"/>
      <c r="C1369" s="80"/>
      <c r="D1369" s="80"/>
      <c r="E1369" s="76" t="str">
        <f>IFERROR(VLOOKUP(C1369,$C$9:E1368,3,0),"")</f>
        <v/>
      </c>
      <c r="F1369" s="57" t="str">
        <f>IFERROR(VLOOKUP(C1369,$C$9:H1368,4,FALSE),"")</f>
        <v/>
      </c>
      <c r="G1369" s="61" t="str">
        <f>IFERROR(VLOOKUP(C1369,$C$9:G1368,5,FALSE),"")</f>
        <v/>
      </c>
      <c r="H1369" s="61" t="str">
        <f>IFERROR(VLOOKUP(C1369,$C$9:H1368,6,FALSE),"")</f>
        <v/>
      </c>
      <c r="N1369" s="46" t="e">
        <f t="shared" si="65"/>
        <v>#DIV/0!</v>
      </c>
      <c r="O1369" s="46" t="str">
        <f t="shared" si="66"/>
        <v/>
      </c>
      <c r="P1369" s="46">
        <f t="shared" si="67"/>
        <v>1</v>
      </c>
    </row>
    <row r="1370" spans="1:16" ht="14.25">
      <c r="A1370" s="80"/>
      <c r="B1370" s="80"/>
      <c r="C1370" s="80"/>
      <c r="D1370" s="80"/>
      <c r="E1370" s="76" t="str">
        <f>IFERROR(VLOOKUP(C1370,$C$9:E1369,3,0),"")</f>
        <v/>
      </c>
      <c r="F1370" s="57" t="str">
        <f>IFERROR(VLOOKUP(C1370,$C$9:H1369,4,FALSE),"")</f>
        <v/>
      </c>
      <c r="G1370" s="61" t="str">
        <f>IFERROR(VLOOKUP(C1370,$C$9:G1369,5,FALSE),"")</f>
        <v/>
      </c>
      <c r="H1370" s="61" t="str">
        <f>IFERROR(VLOOKUP(C1370,$C$9:H1369,6,FALSE),"")</f>
        <v/>
      </c>
      <c r="N1370" s="46" t="e">
        <f t="shared" si="65"/>
        <v>#DIV/0!</v>
      </c>
      <c r="O1370" s="46" t="str">
        <f t="shared" si="66"/>
        <v/>
      </c>
      <c r="P1370" s="46">
        <f t="shared" si="67"/>
        <v>1</v>
      </c>
    </row>
    <row r="1371" spans="1:16" ht="14.25">
      <c r="A1371" s="80"/>
      <c r="B1371" s="80"/>
      <c r="C1371" s="80"/>
      <c r="D1371" s="80"/>
      <c r="E1371" s="76" t="str">
        <f>IFERROR(VLOOKUP(C1371,$C$9:E1370,3,0),"")</f>
        <v/>
      </c>
      <c r="F1371" s="57" t="str">
        <f>IFERROR(VLOOKUP(C1371,$C$9:H1370,4,FALSE),"")</f>
        <v/>
      </c>
      <c r="G1371" s="61" t="str">
        <f>IFERROR(VLOOKUP(C1371,$C$9:G1370,5,FALSE),"")</f>
        <v/>
      </c>
      <c r="H1371" s="61" t="str">
        <f>IFERROR(VLOOKUP(C1371,$C$9:H1370,6,FALSE),"")</f>
        <v/>
      </c>
      <c r="N1371" s="46" t="e">
        <f t="shared" si="65"/>
        <v>#DIV/0!</v>
      </c>
      <c r="O1371" s="46" t="str">
        <f t="shared" si="66"/>
        <v/>
      </c>
      <c r="P1371" s="46">
        <f t="shared" si="67"/>
        <v>1</v>
      </c>
    </row>
    <row r="1372" spans="1:16" ht="14.25">
      <c r="A1372" s="80"/>
      <c r="B1372" s="80"/>
      <c r="C1372" s="80"/>
      <c r="D1372" s="80"/>
      <c r="E1372" s="76" t="str">
        <f>IFERROR(VLOOKUP(C1372,$C$9:E1371,3,0),"")</f>
        <v/>
      </c>
      <c r="F1372" s="57" t="str">
        <f>IFERROR(VLOOKUP(C1372,$C$9:H1371,4,FALSE),"")</f>
        <v/>
      </c>
      <c r="G1372" s="61" t="str">
        <f>IFERROR(VLOOKUP(C1372,$C$9:G1371,5,FALSE),"")</f>
        <v/>
      </c>
      <c r="H1372" s="61" t="str">
        <f>IFERROR(VLOOKUP(C1372,$C$9:H1371,6,FALSE),"")</f>
        <v/>
      </c>
      <c r="N1372" s="46" t="e">
        <f t="shared" si="65"/>
        <v>#DIV/0!</v>
      </c>
      <c r="O1372" s="46" t="str">
        <f t="shared" si="66"/>
        <v/>
      </c>
      <c r="P1372" s="46">
        <f t="shared" si="67"/>
        <v>1</v>
      </c>
    </row>
    <row r="1373" spans="1:16" ht="14.25">
      <c r="A1373" s="80"/>
      <c r="B1373" s="80"/>
      <c r="C1373" s="80"/>
      <c r="D1373" s="80"/>
      <c r="E1373" s="76" t="str">
        <f>IFERROR(VLOOKUP(C1373,$C$9:E1372,3,0),"")</f>
        <v/>
      </c>
      <c r="F1373" s="57" t="str">
        <f>IFERROR(VLOOKUP(C1373,$C$9:H1372,4,FALSE),"")</f>
        <v/>
      </c>
      <c r="G1373" s="61" t="str">
        <f>IFERROR(VLOOKUP(C1373,$C$9:G1372,5,FALSE),"")</f>
        <v/>
      </c>
      <c r="H1373" s="61" t="str">
        <f>IFERROR(VLOOKUP(C1373,$C$9:H1372,6,FALSE),"")</f>
        <v/>
      </c>
      <c r="N1373" s="46" t="e">
        <f t="shared" si="65"/>
        <v>#DIV/0!</v>
      </c>
      <c r="O1373" s="46" t="str">
        <f t="shared" si="66"/>
        <v/>
      </c>
      <c r="P1373" s="46">
        <f t="shared" si="67"/>
        <v>1</v>
      </c>
    </row>
    <row r="1374" spans="1:16" ht="14.25">
      <c r="A1374" s="80"/>
      <c r="B1374" s="80"/>
      <c r="C1374" s="80"/>
      <c r="D1374" s="80"/>
      <c r="E1374" s="76" t="str">
        <f>IFERROR(VLOOKUP(C1374,$C$9:E1373,3,0),"")</f>
        <v/>
      </c>
      <c r="F1374" s="57" t="str">
        <f>IFERROR(VLOOKUP(C1374,$C$9:H1373,4,FALSE),"")</f>
        <v/>
      </c>
      <c r="G1374" s="61" t="str">
        <f>IFERROR(VLOOKUP(C1374,$C$9:G1373,5,FALSE),"")</f>
        <v/>
      </c>
      <c r="H1374" s="61" t="str">
        <f>IFERROR(VLOOKUP(C1374,$C$9:H1373,6,FALSE),"")</f>
        <v/>
      </c>
      <c r="N1374" s="46" t="e">
        <f t="shared" si="65"/>
        <v>#DIV/0!</v>
      </c>
      <c r="O1374" s="46" t="str">
        <f t="shared" si="66"/>
        <v/>
      </c>
      <c r="P1374" s="46">
        <f t="shared" si="67"/>
        <v>1</v>
      </c>
    </row>
    <row r="1375" spans="1:16" ht="14.25">
      <c r="A1375" s="80"/>
      <c r="B1375" s="80"/>
      <c r="C1375" s="80"/>
      <c r="D1375" s="80"/>
      <c r="E1375" s="76" t="str">
        <f>IFERROR(VLOOKUP(C1375,$C$9:E1374,3,0),"")</f>
        <v/>
      </c>
      <c r="F1375" s="57" t="str">
        <f>IFERROR(VLOOKUP(C1375,$C$9:H1374,4,FALSE),"")</f>
        <v/>
      </c>
      <c r="G1375" s="61" t="str">
        <f>IFERROR(VLOOKUP(C1375,$C$9:G1374,5,FALSE),"")</f>
        <v/>
      </c>
      <c r="H1375" s="61" t="str">
        <f>IFERROR(VLOOKUP(C1375,$C$9:H1374,6,FALSE),"")</f>
        <v/>
      </c>
      <c r="N1375" s="46" t="e">
        <f t="shared" si="65"/>
        <v>#DIV/0!</v>
      </c>
      <c r="O1375" s="46" t="str">
        <f t="shared" si="66"/>
        <v/>
      </c>
      <c r="P1375" s="46">
        <f t="shared" si="67"/>
        <v>1</v>
      </c>
    </row>
    <row r="1376" spans="1:16" ht="14.25">
      <c r="A1376" s="80"/>
      <c r="B1376" s="80"/>
      <c r="C1376" s="80"/>
      <c r="D1376" s="80"/>
      <c r="E1376" s="76" t="str">
        <f>IFERROR(VLOOKUP(C1376,$C$9:E1375,3,0),"")</f>
        <v/>
      </c>
      <c r="F1376" s="57" t="str">
        <f>IFERROR(VLOOKUP(C1376,$C$9:H1375,4,FALSE),"")</f>
        <v/>
      </c>
      <c r="G1376" s="61" t="str">
        <f>IFERROR(VLOOKUP(C1376,$C$9:G1375,5,FALSE),"")</f>
        <v/>
      </c>
      <c r="H1376" s="61" t="str">
        <f>IFERROR(VLOOKUP(C1376,$C$9:H1375,6,FALSE),"")</f>
        <v/>
      </c>
      <c r="N1376" s="46" t="e">
        <f t="shared" si="65"/>
        <v>#DIV/0!</v>
      </c>
      <c r="O1376" s="46" t="str">
        <f t="shared" si="66"/>
        <v/>
      </c>
      <c r="P1376" s="46">
        <f t="shared" si="67"/>
        <v>1</v>
      </c>
    </row>
    <row r="1377" spans="1:16" ht="14.25">
      <c r="A1377" s="80"/>
      <c r="B1377" s="80"/>
      <c r="C1377" s="80"/>
      <c r="D1377" s="80"/>
      <c r="E1377" s="76" t="str">
        <f>IFERROR(VLOOKUP(C1377,$C$9:E1376,3,0),"")</f>
        <v/>
      </c>
      <c r="F1377" s="57" t="str">
        <f>IFERROR(VLOOKUP(C1377,$C$9:H1376,4,FALSE),"")</f>
        <v/>
      </c>
      <c r="G1377" s="61" t="str">
        <f>IFERROR(VLOOKUP(C1377,$C$9:G1376,5,FALSE),"")</f>
        <v/>
      </c>
      <c r="H1377" s="61" t="str">
        <f>IFERROR(VLOOKUP(C1377,$C$9:H1376,6,FALSE),"")</f>
        <v/>
      </c>
      <c r="N1377" s="46" t="e">
        <f t="shared" si="65"/>
        <v>#DIV/0!</v>
      </c>
      <c r="O1377" s="46" t="str">
        <f t="shared" si="66"/>
        <v/>
      </c>
      <c r="P1377" s="46">
        <f t="shared" si="67"/>
        <v>1</v>
      </c>
    </row>
    <row r="1378" spans="1:16" ht="14.25">
      <c r="A1378" s="80"/>
      <c r="B1378" s="80"/>
      <c r="C1378" s="80"/>
      <c r="D1378" s="80"/>
      <c r="E1378" s="76" t="str">
        <f>IFERROR(VLOOKUP(C1378,$C$9:E1377,3,0),"")</f>
        <v/>
      </c>
      <c r="F1378" s="57" t="str">
        <f>IFERROR(VLOOKUP(C1378,$C$9:H1377,4,FALSE),"")</f>
        <v/>
      </c>
      <c r="G1378" s="61" t="str">
        <f>IFERROR(VLOOKUP(C1378,$C$9:G1377,5,FALSE),"")</f>
        <v/>
      </c>
      <c r="H1378" s="61" t="str">
        <f>IFERROR(VLOOKUP(C1378,$C$9:H1377,6,FALSE),"")</f>
        <v/>
      </c>
      <c r="N1378" s="46" t="e">
        <f t="shared" si="65"/>
        <v>#DIV/0!</v>
      </c>
      <c r="O1378" s="46" t="str">
        <f t="shared" si="66"/>
        <v/>
      </c>
      <c r="P1378" s="46">
        <f t="shared" si="67"/>
        <v>1</v>
      </c>
    </row>
    <row r="1379" spans="1:16" ht="14.25">
      <c r="A1379" s="80"/>
      <c r="B1379" s="80"/>
      <c r="C1379" s="80"/>
      <c r="D1379" s="80"/>
      <c r="E1379" s="76" t="str">
        <f>IFERROR(VLOOKUP(C1379,$C$9:E1378,3,0),"")</f>
        <v/>
      </c>
      <c r="F1379" s="57" t="str">
        <f>IFERROR(VLOOKUP(C1379,$C$9:H1378,4,FALSE),"")</f>
        <v/>
      </c>
      <c r="G1379" s="61" t="str">
        <f>IFERROR(VLOOKUP(C1379,$C$9:G1378,5,FALSE),"")</f>
        <v/>
      </c>
      <c r="H1379" s="61" t="str">
        <f>IFERROR(VLOOKUP(C1379,$C$9:H1378,6,FALSE),"")</f>
        <v/>
      </c>
      <c r="N1379" s="46" t="e">
        <f t="shared" si="65"/>
        <v>#DIV/0!</v>
      </c>
      <c r="O1379" s="46" t="str">
        <f t="shared" si="66"/>
        <v/>
      </c>
      <c r="P1379" s="46">
        <f t="shared" si="67"/>
        <v>1</v>
      </c>
    </row>
    <row r="1380" spans="1:16" ht="14.25">
      <c r="A1380" s="80"/>
      <c r="B1380" s="80"/>
      <c r="C1380" s="80"/>
      <c r="D1380" s="80"/>
      <c r="E1380" s="76" t="str">
        <f>IFERROR(VLOOKUP(C1380,$C$9:E1379,3,0),"")</f>
        <v/>
      </c>
      <c r="F1380" s="57" t="str">
        <f>IFERROR(VLOOKUP(C1380,$C$9:H1379,4,FALSE),"")</f>
        <v/>
      </c>
      <c r="G1380" s="61" t="str">
        <f>IFERROR(VLOOKUP(C1380,$C$9:G1379,5,FALSE),"")</f>
        <v/>
      </c>
      <c r="H1380" s="61" t="str">
        <f>IFERROR(VLOOKUP(C1380,$C$9:H1379,6,FALSE),"")</f>
        <v/>
      </c>
      <c r="N1380" s="46" t="e">
        <f t="shared" si="65"/>
        <v>#DIV/0!</v>
      </c>
      <c r="O1380" s="46" t="str">
        <f t="shared" si="66"/>
        <v/>
      </c>
      <c r="P1380" s="46">
        <f t="shared" si="67"/>
        <v>1</v>
      </c>
    </row>
    <row r="1381" spans="1:16" ht="14.25">
      <c r="A1381" s="80"/>
      <c r="B1381" s="80"/>
      <c r="C1381" s="80"/>
      <c r="D1381" s="80"/>
      <c r="E1381" s="76" t="str">
        <f>IFERROR(VLOOKUP(C1381,$C$9:E1380,3,0),"")</f>
        <v/>
      </c>
      <c r="F1381" s="57" t="str">
        <f>IFERROR(VLOOKUP(C1381,$C$9:H1380,4,FALSE),"")</f>
        <v/>
      </c>
      <c r="G1381" s="61" t="str">
        <f>IFERROR(VLOOKUP(C1381,$C$9:G1380,5,FALSE),"")</f>
        <v/>
      </c>
      <c r="H1381" s="61" t="str">
        <f>IFERROR(VLOOKUP(C1381,$C$9:H1380,6,FALSE),"")</f>
        <v/>
      </c>
      <c r="N1381" s="46" t="e">
        <f t="shared" si="65"/>
        <v>#DIV/0!</v>
      </c>
      <c r="O1381" s="46" t="str">
        <f t="shared" si="66"/>
        <v/>
      </c>
      <c r="P1381" s="46">
        <f t="shared" si="67"/>
        <v>1</v>
      </c>
    </row>
    <row r="1382" spans="1:16" ht="14.25">
      <c r="A1382" s="80"/>
      <c r="B1382" s="80"/>
      <c r="C1382" s="80"/>
      <c r="D1382" s="80"/>
      <c r="E1382" s="76" t="str">
        <f>IFERROR(VLOOKUP(C1382,$C$9:E1381,3,0),"")</f>
        <v/>
      </c>
      <c r="F1382" s="57" t="str">
        <f>IFERROR(VLOOKUP(C1382,$C$9:H1381,4,FALSE),"")</f>
        <v/>
      </c>
      <c r="G1382" s="61" t="str">
        <f>IFERROR(VLOOKUP(C1382,$C$9:G1381,5,FALSE),"")</f>
        <v/>
      </c>
      <c r="H1382" s="61" t="str">
        <f>IFERROR(VLOOKUP(C1382,$C$9:H1381,6,FALSE),"")</f>
        <v/>
      </c>
      <c r="N1382" s="46" t="e">
        <f t="shared" si="65"/>
        <v>#DIV/0!</v>
      </c>
      <c r="O1382" s="46" t="str">
        <f t="shared" si="66"/>
        <v/>
      </c>
      <c r="P1382" s="46">
        <f t="shared" si="67"/>
        <v>1</v>
      </c>
    </row>
    <row r="1383" spans="1:16" ht="14.25">
      <c r="A1383" s="80"/>
      <c r="B1383" s="80"/>
      <c r="C1383" s="80"/>
      <c r="D1383" s="80"/>
      <c r="E1383" s="76" t="str">
        <f>IFERROR(VLOOKUP(C1383,$C$9:E1382,3,0),"")</f>
        <v/>
      </c>
      <c r="F1383" s="57" t="str">
        <f>IFERROR(VLOOKUP(C1383,$C$9:H1382,4,FALSE),"")</f>
        <v/>
      </c>
      <c r="G1383" s="61" t="str">
        <f>IFERROR(VLOOKUP(C1383,$C$9:G1382,5,FALSE),"")</f>
        <v/>
      </c>
      <c r="H1383" s="61" t="str">
        <f>IFERROR(VLOOKUP(C1383,$C$9:H1382,6,FALSE),"")</f>
        <v/>
      </c>
      <c r="N1383" s="46" t="e">
        <f t="shared" si="65"/>
        <v>#DIV/0!</v>
      </c>
      <c r="O1383" s="46" t="str">
        <f t="shared" si="66"/>
        <v/>
      </c>
      <c r="P1383" s="46">
        <f t="shared" si="67"/>
        <v>1</v>
      </c>
    </row>
    <row r="1384" spans="1:16" ht="14.25">
      <c r="A1384" s="80"/>
      <c r="B1384" s="80"/>
      <c r="C1384" s="80"/>
      <c r="D1384" s="80"/>
      <c r="E1384" s="76" t="str">
        <f>IFERROR(VLOOKUP(C1384,$C$9:E1383,3,0),"")</f>
        <v/>
      </c>
      <c r="F1384" s="57" t="str">
        <f>IFERROR(VLOOKUP(C1384,$C$9:H1383,4,FALSE),"")</f>
        <v/>
      </c>
      <c r="G1384" s="61" t="str">
        <f>IFERROR(VLOOKUP(C1384,$C$9:G1383,5,FALSE),"")</f>
        <v/>
      </c>
      <c r="H1384" s="61" t="str">
        <f>IFERROR(VLOOKUP(C1384,$C$9:H1383,6,FALSE),"")</f>
        <v/>
      </c>
      <c r="N1384" s="46" t="e">
        <f t="shared" si="65"/>
        <v>#DIV/0!</v>
      </c>
      <c r="O1384" s="46" t="str">
        <f t="shared" si="66"/>
        <v/>
      </c>
      <c r="P1384" s="46">
        <f t="shared" si="67"/>
        <v>1</v>
      </c>
    </row>
    <row r="1385" spans="1:16" ht="14.25">
      <c r="A1385" s="80"/>
      <c r="B1385" s="80"/>
      <c r="C1385" s="80"/>
      <c r="D1385" s="80"/>
      <c r="E1385" s="76" t="str">
        <f>IFERROR(VLOOKUP(C1385,$C$9:E1384,3,0),"")</f>
        <v/>
      </c>
      <c r="F1385" s="57" t="str">
        <f>IFERROR(VLOOKUP(C1385,$C$9:H1384,4,FALSE),"")</f>
        <v/>
      </c>
      <c r="G1385" s="61" t="str">
        <f>IFERROR(VLOOKUP(C1385,$C$9:G1384,5,FALSE),"")</f>
        <v/>
      </c>
      <c r="H1385" s="61" t="str">
        <f>IFERROR(VLOOKUP(C1385,$C$9:H1384,6,FALSE),"")</f>
        <v/>
      </c>
      <c r="N1385" s="46" t="e">
        <f t="shared" si="65"/>
        <v>#DIV/0!</v>
      </c>
      <c r="O1385" s="46" t="str">
        <f t="shared" si="66"/>
        <v/>
      </c>
      <c r="P1385" s="46">
        <f t="shared" si="67"/>
        <v>1</v>
      </c>
    </row>
    <row r="1386" spans="1:16" ht="14.25">
      <c r="A1386" s="80"/>
      <c r="B1386" s="80"/>
      <c r="C1386" s="80"/>
      <c r="D1386" s="80"/>
      <c r="E1386" s="76" t="str">
        <f>IFERROR(VLOOKUP(C1386,$C$9:E1385,3,0),"")</f>
        <v/>
      </c>
      <c r="F1386" s="57" t="str">
        <f>IFERROR(VLOOKUP(C1386,$C$9:H1385,4,FALSE),"")</f>
        <v/>
      </c>
      <c r="G1386" s="61" t="str">
        <f>IFERROR(VLOOKUP(C1386,$C$9:G1385,5,FALSE),"")</f>
        <v/>
      </c>
      <c r="H1386" s="61" t="str">
        <f>IFERROR(VLOOKUP(C1386,$C$9:H1385,6,FALSE),"")</f>
        <v/>
      </c>
      <c r="N1386" s="46" t="e">
        <f t="shared" si="65"/>
        <v>#DIV/0!</v>
      </c>
      <c r="O1386" s="46" t="str">
        <f t="shared" si="66"/>
        <v/>
      </c>
      <c r="P1386" s="46">
        <f t="shared" si="67"/>
        <v>1</v>
      </c>
    </row>
    <row r="1387" spans="1:16" ht="14.25">
      <c r="A1387" s="80"/>
      <c r="B1387" s="80"/>
      <c r="C1387" s="80"/>
      <c r="D1387" s="80"/>
      <c r="E1387" s="76" t="str">
        <f>IFERROR(VLOOKUP(C1387,$C$9:E1386,3,0),"")</f>
        <v/>
      </c>
      <c r="F1387" s="57" t="str">
        <f>IFERROR(VLOOKUP(C1387,$C$9:H1386,4,FALSE),"")</f>
        <v/>
      </c>
      <c r="G1387" s="61" t="str">
        <f>IFERROR(VLOOKUP(C1387,$C$9:G1386,5,FALSE),"")</f>
        <v/>
      </c>
      <c r="H1387" s="61" t="str">
        <f>IFERROR(VLOOKUP(C1387,$C$9:H1386,6,FALSE),"")</f>
        <v/>
      </c>
      <c r="N1387" s="46" t="e">
        <f t="shared" si="65"/>
        <v>#DIV/0!</v>
      </c>
      <c r="O1387" s="46" t="str">
        <f t="shared" si="66"/>
        <v/>
      </c>
      <c r="P1387" s="46">
        <f t="shared" si="67"/>
        <v>1</v>
      </c>
    </row>
    <row r="1388" spans="1:16" ht="14.25">
      <c r="A1388" s="80"/>
      <c r="B1388" s="80"/>
      <c r="C1388" s="80"/>
      <c r="D1388" s="80"/>
      <c r="E1388" s="76" t="str">
        <f>IFERROR(VLOOKUP(C1388,$C$9:E1387,3,0),"")</f>
        <v/>
      </c>
      <c r="F1388" s="57" t="str">
        <f>IFERROR(VLOOKUP(C1388,$C$9:H1387,4,FALSE),"")</f>
        <v/>
      </c>
      <c r="G1388" s="61" t="str">
        <f>IFERROR(VLOOKUP(C1388,$C$9:G1387,5,FALSE),"")</f>
        <v/>
      </c>
      <c r="H1388" s="61" t="str">
        <f>IFERROR(VLOOKUP(C1388,$C$9:H1387,6,FALSE),"")</f>
        <v/>
      </c>
      <c r="N1388" s="46" t="e">
        <f t="shared" si="65"/>
        <v>#DIV/0!</v>
      </c>
      <c r="O1388" s="46" t="str">
        <f t="shared" si="66"/>
        <v/>
      </c>
      <c r="P1388" s="46">
        <f t="shared" si="67"/>
        <v>1</v>
      </c>
    </row>
    <row r="1389" spans="1:16" ht="14.25">
      <c r="A1389" s="80"/>
      <c r="B1389" s="80"/>
      <c r="C1389" s="80"/>
      <c r="D1389" s="80"/>
      <c r="E1389" s="76" t="str">
        <f>IFERROR(VLOOKUP(C1389,$C$9:E1388,3,0),"")</f>
        <v/>
      </c>
      <c r="F1389" s="57" t="str">
        <f>IFERROR(VLOOKUP(C1389,$C$9:H1388,4,FALSE),"")</f>
        <v/>
      </c>
      <c r="G1389" s="61" t="str">
        <f>IFERROR(VLOOKUP(C1389,$C$9:G1388,5,FALSE),"")</f>
        <v/>
      </c>
      <c r="H1389" s="61" t="str">
        <f>IFERROR(VLOOKUP(C1389,$C$9:H1388,6,FALSE),"")</f>
        <v/>
      </c>
      <c r="N1389" s="46" t="e">
        <f t="shared" si="65"/>
        <v>#DIV/0!</v>
      </c>
      <c r="O1389" s="46" t="str">
        <f t="shared" si="66"/>
        <v/>
      </c>
      <c r="P1389" s="46">
        <f t="shared" si="67"/>
        <v>1</v>
      </c>
    </row>
    <row r="1390" spans="1:16" ht="14.25">
      <c r="A1390" s="80"/>
      <c r="B1390" s="80"/>
      <c r="C1390" s="80"/>
      <c r="D1390" s="80"/>
      <c r="E1390" s="76" t="str">
        <f>IFERROR(VLOOKUP(C1390,$C$9:E1389,3,0),"")</f>
        <v/>
      </c>
      <c r="F1390" s="57" t="str">
        <f>IFERROR(VLOOKUP(C1390,$C$9:H1389,4,FALSE),"")</f>
        <v/>
      </c>
      <c r="G1390" s="61" t="str">
        <f>IFERROR(VLOOKUP(C1390,$C$9:G1389,5,FALSE),"")</f>
        <v/>
      </c>
      <c r="H1390" s="61" t="str">
        <f>IFERROR(VLOOKUP(C1390,$C$9:H1389,6,FALSE),"")</f>
        <v/>
      </c>
      <c r="N1390" s="46" t="e">
        <f t="shared" si="65"/>
        <v>#DIV/0!</v>
      </c>
      <c r="O1390" s="46" t="str">
        <f t="shared" si="66"/>
        <v/>
      </c>
      <c r="P1390" s="46">
        <f t="shared" si="67"/>
        <v>1</v>
      </c>
    </row>
    <row r="1391" spans="1:16" ht="14.25">
      <c r="A1391" s="80"/>
      <c r="B1391" s="80"/>
      <c r="C1391" s="80"/>
      <c r="D1391" s="80"/>
      <c r="E1391" s="76" t="str">
        <f>IFERROR(VLOOKUP(C1391,$C$9:E1390,3,0),"")</f>
        <v/>
      </c>
      <c r="F1391" s="57" t="str">
        <f>IFERROR(VLOOKUP(C1391,$C$9:H1390,4,FALSE),"")</f>
        <v/>
      </c>
      <c r="G1391" s="61" t="str">
        <f>IFERROR(VLOOKUP(C1391,$C$9:G1390,5,FALSE),"")</f>
        <v/>
      </c>
      <c r="H1391" s="61" t="str">
        <f>IFERROR(VLOOKUP(C1391,$C$9:H1390,6,FALSE),"")</f>
        <v/>
      </c>
      <c r="N1391" s="46" t="e">
        <f t="shared" si="65"/>
        <v>#DIV/0!</v>
      </c>
      <c r="O1391" s="46" t="str">
        <f t="shared" si="66"/>
        <v/>
      </c>
      <c r="P1391" s="46">
        <f t="shared" si="67"/>
        <v>1</v>
      </c>
    </row>
    <row r="1392" spans="1:16" ht="14.25">
      <c r="A1392" s="80"/>
      <c r="B1392" s="80"/>
      <c r="C1392" s="80"/>
      <c r="D1392" s="80"/>
      <c r="E1392" s="76" t="str">
        <f>IFERROR(VLOOKUP(C1392,$C$9:E1391,3,0),"")</f>
        <v/>
      </c>
      <c r="F1392" s="57" t="str">
        <f>IFERROR(VLOOKUP(C1392,$C$9:H1391,4,FALSE),"")</f>
        <v/>
      </c>
      <c r="G1392" s="61" t="str">
        <f>IFERROR(VLOOKUP(C1392,$C$9:G1391,5,FALSE),"")</f>
        <v/>
      </c>
      <c r="H1392" s="61" t="str">
        <f>IFERROR(VLOOKUP(C1392,$C$9:H1391,6,FALSE),"")</f>
        <v/>
      </c>
      <c r="N1392" s="46" t="e">
        <f t="shared" si="65"/>
        <v>#DIV/0!</v>
      </c>
      <c r="O1392" s="46" t="str">
        <f t="shared" si="66"/>
        <v/>
      </c>
      <c r="P1392" s="46">
        <f t="shared" si="67"/>
        <v>1</v>
      </c>
    </row>
    <row r="1393" spans="1:16" ht="14.25">
      <c r="A1393" s="80"/>
      <c r="B1393" s="80"/>
      <c r="C1393" s="80"/>
      <c r="D1393" s="80"/>
      <c r="E1393" s="76" t="str">
        <f>IFERROR(VLOOKUP(C1393,$C$9:E1392,3,0),"")</f>
        <v/>
      </c>
      <c r="F1393" s="57" t="str">
        <f>IFERROR(VLOOKUP(C1393,$C$9:H1392,4,FALSE),"")</f>
        <v/>
      </c>
      <c r="G1393" s="61" t="str">
        <f>IFERROR(VLOOKUP(C1393,$C$9:G1392,5,FALSE),"")</f>
        <v/>
      </c>
      <c r="H1393" s="61" t="str">
        <f>IFERROR(VLOOKUP(C1393,$C$9:H1392,6,FALSE),"")</f>
        <v/>
      </c>
      <c r="N1393" s="46" t="e">
        <f t="shared" si="65"/>
        <v>#DIV/0!</v>
      </c>
      <c r="O1393" s="46" t="str">
        <f t="shared" si="66"/>
        <v/>
      </c>
      <c r="P1393" s="46">
        <f t="shared" si="67"/>
        <v>1</v>
      </c>
    </row>
    <row r="1394" spans="1:16" ht="14.25">
      <c r="A1394" s="80"/>
      <c r="B1394" s="80"/>
      <c r="C1394" s="80"/>
      <c r="D1394" s="80"/>
      <c r="E1394" s="76" t="str">
        <f>IFERROR(VLOOKUP(C1394,$C$9:E1393,3,0),"")</f>
        <v/>
      </c>
      <c r="F1394" s="57" t="str">
        <f>IFERROR(VLOOKUP(C1394,$C$9:H1393,4,FALSE),"")</f>
        <v/>
      </c>
      <c r="G1394" s="61" t="str">
        <f>IFERROR(VLOOKUP(C1394,$C$9:G1393,5,FALSE),"")</f>
        <v/>
      </c>
      <c r="H1394" s="61" t="str">
        <f>IFERROR(VLOOKUP(C1394,$C$9:H1393,6,FALSE),"")</f>
        <v/>
      </c>
      <c r="N1394" s="46" t="e">
        <f t="shared" si="65"/>
        <v>#DIV/0!</v>
      </c>
      <c r="O1394" s="46" t="str">
        <f t="shared" si="66"/>
        <v/>
      </c>
      <c r="P1394" s="46">
        <f t="shared" si="67"/>
        <v>1</v>
      </c>
    </row>
    <row r="1395" spans="1:16" ht="14.25">
      <c r="A1395" s="80"/>
      <c r="B1395" s="80"/>
      <c r="C1395" s="80"/>
      <c r="D1395" s="80"/>
      <c r="E1395" s="76" t="str">
        <f>IFERROR(VLOOKUP(C1395,$C$9:E1394,3,0),"")</f>
        <v/>
      </c>
      <c r="F1395" s="57" t="str">
        <f>IFERROR(VLOOKUP(C1395,$C$9:H1394,4,FALSE),"")</f>
        <v/>
      </c>
      <c r="G1395" s="61" t="str">
        <f>IFERROR(VLOOKUP(C1395,$C$9:G1394,5,FALSE),"")</f>
        <v/>
      </c>
      <c r="H1395" s="61" t="str">
        <f>IFERROR(VLOOKUP(C1395,$C$9:H1394,6,FALSE),"")</f>
        <v/>
      </c>
      <c r="N1395" s="46" t="e">
        <f t="shared" si="65"/>
        <v>#DIV/0!</v>
      </c>
      <c r="O1395" s="46" t="str">
        <f t="shared" si="66"/>
        <v/>
      </c>
      <c r="P1395" s="46">
        <f t="shared" si="67"/>
        <v>1</v>
      </c>
    </row>
    <row r="1396" spans="1:16" ht="14.25">
      <c r="A1396" s="80"/>
      <c r="B1396" s="80"/>
      <c r="C1396" s="80"/>
      <c r="D1396" s="80"/>
      <c r="E1396" s="76" t="str">
        <f>IFERROR(VLOOKUP(C1396,$C$9:E1395,3,0),"")</f>
        <v/>
      </c>
      <c r="F1396" s="57" t="str">
        <f>IFERROR(VLOOKUP(C1396,$C$9:H1395,4,FALSE),"")</f>
        <v/>
      </c>
      <c r="G1396" s="61" t="str">
        <f>IFERROR(VLOOKUP(C1396,$C$9:G1395,5,FALSE),"")</f>
        <v/>
      </c>
      <c r="H1396" s="61" t="str">
        <f>IFERROR(VLOOKUP(C1396,$C$9:H1395,6,FALSE),"")</f>
        <v/>
      </c>
      <c r="N1396" s="46" t="e">
        <f t="shared" si="65"/>
        <v>#DIV/0!</v>
      </c>
      <c r="O1396" s="46" t="str">
        <f t="shared" si="66"/>
        <v/>
      </c>
      <c r="P1396" s="46">
        <f t="shared" si="67"/>
        <v>1</v>
      </c>
    </row>
    <row r="1397" spans="1:16" ht="14.25">
      <c r="A1397" s="80"/>
      <c r="B1397" s="80"/>
      <c r="C1397" s="80"/>
      <c r="D1397" s="80"/>
      <c r="E1397" s="76" t="str">
        <f>IFERROR(VLOOKUP(C1397,$C$9:E1396,3,0),"")</f>
        <v/>
      </c>
      <c r="F1397" s="57" t="str">
        <f>IFERROR(VLOOKUP(C1397,$C$9:H1396,4,FALSE),"")</f>
        <v/>
      </c>
      <c r="G1397" s="61" t="str">
        <f>IFERROR(VLOOKUP(C1397,$C$9:G1396,5,FALSE),"")</f>
        <v/>
      </c>
      <c r="H1397" s="61" t="str">
        <f>IFERROR(VLOOKUP(C1397,$C$9:H1396,6,FALSE),"")</f>
        <v/>
      </c>
      <c r="N1397" s="46" t="e">
        <f t="shared" si="65"/>
        <v>#DIV/0!</v>
      </c>
      <c r="O1397" s="46" t="str">
        <f t="shared" si="66"/>
        <v/>
      </c>
      <c r="P1397" s="46">
        <f t="shared" si="67"/>
        <v>1</v>
      </c>
    </row>
    <row r="1398" spans="1:16" ht="14.25">
      <c r="A1398" s="80"/>
      <c r="B1398" s="80"/>
      <c r="C1398" s="80"/>
      <c r="D1398" s="80"/>
      <c r="E1398" s="76" t="str">
        <f>IFERROR(VLOOKUP(C1398,$C$9:E1397,3,0),"")</f>
        <v/>
      </c>
      <c r="F1398" s="57" t="str">
        <f>IFERROR(VLOOKUP(C1398,$C$9:H1397,4,FALSE),"")</f>
        <v/>
      </c>
      <c r="G1398" s="61" t="str">
        <f>IFERROR(VLOOKUP(C1398,$C$9:G1397,5,FALSE),"")</f>
        <v/>
      </c>
      <c r="H1398" s="61" t="str">
        <f>IFERROR(VLOOKUP(C1398,$C$9:H1397,6,FALSE),"")</f>
        <v/>
      </c>
      <c r="N1398" s="46" t="e">
        <f t="shared" si="65"/>
        <v>#DIV/0!</v>
      </c>
      <c r="O1398" s="46" t="str">
        <f t="shared" si="66"/>
        <v/>
      </c>
      <c r="P1398" s="46">
        <f t="shared" si="67"/>
        <v>1</v>
      </c>
    </row>
    <row r="1399" spans="1:16" ht="14.25">
      <c r="A1399" s="80"/>
      <c r="B1399" s="80"/>
      <c r="C1399" s="80"/>
      <c r="D1399" s="80"/>
      <c r="E1399" s="76" t="str">
        <f>IFERROR(VLOOKUP(C1399,$C$9:E1398,3,0),"")</f>
        <v/>
      </c>
      <c r="F1399" s="57" t="str">
        <f>IFERROR(VLOOKUP(C1399,$C$9:H1398,4,FALSE),"")</f>
        <v/>
      </c>
      <c r="G1399" s="61" t="str">
        <f>IFERROR(VLOOKUP(C1399,$C$9:G1398,5,FALSE),"")</f>
        <v/>
      </c>
      <c r="H1399" s="61" t="str">
        <f>IFERROR(VLOOKUP(C1399,$C$9:H1398,6,FALSE),"")</f>
        <v/>
      </c>
      <c r="N1399" s="46" t="e">
        <f t="shared" si="65"/>
        <v>#DIV/0!</v>
      </c>
      <c r="O1399" s="46" t="str">
        <f t="shared" si="66"/>
        <v/>
      </c>
      <c r="P1399" s="46">
        <f t="shared" si="67"/>
        <v>1</v>
      </c>
    </row>
    <row r="1400" spans="1:16" ht="14.25">
      <c r="A1400" s="80"/>
      <c r="B1400" s="80"/>
      <c r="C1400" s="80"/>
      <c r="D1400" s="80"/>
      <c r="E1400" s="76" t="str">
        <f>IFERROR(VLOOKUP(C1400,$C$9:E1399,3,0),"")</f>
        <v/>
      </c>
      <c r="F1400" s="57" t="str">
        <f>IFERROR(VLOOKUP(C1400,$C$9:H1399,4,FALSE),"")</f>
        <v/>
      </c>
      <c r="G1400" s="61" t="str">
        <f>IFERROR(VLOOKUP(C1400,$C$9:G1399,5,FALSE),"")</f>
        <v/>
      </c>
      <c r="H1400" s="61" t="str">
        <f>IFERROR(VLOOKUP(C1400,$C$9:H1399,6,FALSE),"")</f>
        <v/>
      </c>
      <c r="N1400" s="46" t="e">
        <f t="shared" si="65"/>
        <v>#DIV/0!</v>
      </c>
      <c r="O1400" s="46" t="str">
        <f t="shared" si="66"/>
        <v/>
      </c>
      <c r="P1400" s="46">
        <f t="shared" si="67"/>
        <v>1</v>
      </c>
    </row>
    <row r="1401" spans="1:16" ht="14.25">
      <c r="A1401" s="80"/>
      <c r="B1401" s="80"/>
      <c r="C1401" s="80"/>
      <c r="D1401" s="80"/>
      <c r="E1401" s="76" t="str">
        <f>IFERROR(VLOOKUP(C1401,$C$9:E1400,3,0),"")</f>
        <v/>
      </c>
      <c r="F1401" s="57" t="str">
        <f>IFERROR(VLOOKUP(C1401,$C$9:H1400,4,FALSE),"")</f>
        <v/>
      </c>
      <c r="G1401" s="61" t="str">
        <f>IFERROR(VLOOKUP(C1401,$C$9:G1400,5,FALSE),"")</f>
        <v/>
      </c>
      <c r="H1401" s="61" t="str">
        <f>IFERROR(VLOOKUP(C1401,$C$9:H1400,6,FALSE),"")</f>
        <v/>
      </c>
      <c r="N1401" s="46" t="e">
        <f t="shared" si="65"/>
        <v>#DIV/0!</v>
      </c>
      <c r="O1401" s="46" t="str">
        <f t="shared" si="66"/>
        <v/>
      </c>
      <c r="P1401" s="46">
        <f t="shared" si="67"/>
        <v>1</v>
      </c>
    </row>
    <row r="1402" spans="1:16" ht="14.25">
      <c r="A1402" s="80"/>
      <c r="B1402" s="80"/>
      <c r="C1402" s="80"/>
      <c r="D1402" s="80"/>
      <c r="E1402" s="76" t="str">
        <f>IFERROR(VLOOKUP(C1402,$C$9:E1401,3,0),"")</f>
        <v/>
      </c>
      <c r="F1402" s="57" t="str">
        <f>IFERROR(VLOOKUP(C1402,$C$9:H1401,4,FALSE),"")</f>
        <v/>
      </c>
      <c r="G1402" s="61" t="str">
        <f>IFERROR(VLOOKUP(C1402,$C$9:G1401,5,FALSE),"")</f>
        <v/>
      </c>
      <c r="H1402" s="61" t="str">
        <f>IFERROR(VLOOKUP(C1402,$C$9:H1401,6,FALSE),"")</f>
        <v/>
      </c>
      <c r="N1402" s="46" t="e">
        <f t="shared" si="65"/>
        <v>#DIV/0!</v>
      </c>
      <c r="O1402" s="46" t="str">
        <f t="shared" si="66"/>
        <v/>
      </c>
      <c r="P1402" s="46">
        <f t="shared" si="67"/>
        <v>1</v>
      </c>
    </row>
    <row r="1403" spans="1:16" ht="14.25">
      <c r="A1403" s="80"/>
      <c r="B1403" s="80"/>
      <c r="C1403" s="80"/>
      <c r="D1403" s="80"/>
      <c r="E1403" s="76" t="str">
        <f>IFERROR(VLOOKUP(C1403,$C$9:E1402,3,0),"")</f>
        <v/>
      </c>
      <c r="F1403" s="57" t="str">
        <f>IFERROR(VLOOKUP(C1403,$C$9:H1402,4,FALSE),"")</f>
        <v/>
      </c>
      <c r="G1403" s="61" t="str">
        <f>IFERROR(VLOOKUP(C1403,$C$9:G1402,5,FALSE),"")</f>
        <v/>
      </c>
      <c r="H1403" s="61" t="str">
        <f>IFERROR(VLOOKUP(C1403,$C$9:H1402,6,FALSE),"")</f>
        <v/>
      </c>
      <c r="N1403" s="46" t="e">
        <f t="shared" si="65"/>
        <v>#DIV/0!</v>
      </c>
      <c r="O1403" s="46" t="str">
        <f t="shared" si="66"/>
        <v/>
      </c>
      <c r="P1403" s="46">
        <f t="shared" si="67"/>
        <v>1</v>
      </c>
    </row>
    <row r="1404" spans="1:16" ht="14.25">
      <c r="A1404" s="80"/>
      <c r="B1404" s="80"/>
      <c r="C1404" s="80"/>
      <c r="D1404" s="80"/>
      <c r="E1404" s="76" t="str">
        <f>IFERROR(VLOOKUP(C1404,$C$9:E1403,3,0),"")</f>
        <v/>
      </c>
      <c r="F1404" s="57" t="str">
        <f>IFERROR(VLOOKUP(C1404,$C$9:H1403,4,FALSE),"")</f>
        <v/>
      </c>
      <c r="G1404" s="61" t="str">
        <f>IFERROR(VLOOKUP(C1404,$C$9:G1403,5,FALSE),"")</f>
        <v/>
      </c>
      <c r="H1404" s="61" t="str">
        <f>IFERROR(VLOOKUP(C1404,$C$9:H1403,6,FALSE),"")</f>
        <v/>
      </c>
      <c r="N1404" s="46" t="e">
        <f t="shared" si="65"/>
        <v>#DIV/0!</v>
      </c>
      <c r="O1404" s="46" t="str">
        <f t="shared" si="66"/>
        <v/>
      </c>
      <c r="P1404" s="46">
        <f t="shared" si="67"/>
        <v>1</v>
      </c>
    </row>
    <row r="1405" spans="1:16" ht="14.25">
      <c r="A1405" s="80"/>
      <c r="B1405" s="80"/>
      <c r="C1405" s="80"/>
      <c r="D1405" s="80"/>
      <c r="E1405" s="76" t="str">
        <f>IFERROR(VLOOKUP(C1405,$C$9:E1404,3,0),"")</f>
        <v/>
      </c>
      <c r="F1405" s="57" t="str">
        <f>IFERROR(VLOOKUP(C1405,$C$9:H1404,4,FALSE),"")</f>
        <v/>
      </c>
      <c r="G1405" s="61" t="str">
        <f>IFERROR(VLOOKUP(C1405,$C$9:G1404,5,FALSE),"")</f>
        <v/>
      </c>
      <c r="H1405" s="61" t="str">
        <f>IFERROR(VLOOKUP(C1405,$C$9:H1404,6,FALSE),"")</f>
        <v/>
      </c>
      <c r="N1405" s="46" t="e">
        <f t="shared" si="65"/>
        <v>#DIV/0!</v>
      </c>
      <c r="O1405" s="46" t="str">
        <f t="shared" si="66"/>
        <v/>
      </c>
      <c r="P1405" s="46">
        <f t="shared" si="67"/>
        <v>1</v>
      </c>
    </row>
    <row r="1406" spans="1:16" ht="14.25">
      <c r="A1406" s="80"/>
      <c r="B1406" s="80"/>
      <c r="C1406" s="80"/>
      <c r="D1406" s="80"/>
      <c r="E1406" s="76" t="str">
        <f>IFERROR(VLOOKUP(C1406,$C$9:E1405,3,0),"")</f>
        <v/>
      </c>
      <c r="F1406" s="57" t="str">
        <f>IFERROR(VLOOKUP(C1406,$C$9:H1405,4,FALSE),"")</f>
        <v/>
      </c>
      <c r="G1406" s="61" t="str">
        <f>IFERROR(VLOOKUP(C1406,$C$9:G1405,5,FALSE),"")</f>
        <v/>
      </c>
      <c r="H1406" s="61" t="str">
        <f>IFERROR(VLOOKUP(C1406,$C$9:H1405,6,FALSE),"")</f>
        <v/>
      </c>
      <c r="N1406" s="46" t="e">
        <f t="shared" si="65"/>
        <v>#DIV/0!</v>
      </c>
      <c r="O1406" s="46" t="str">
        <f t="shared" si="66"/>
        <v/>
      </c>
      <c r="P1406" s="46">
        <f t="shared" si="67"/>
        <v>1</v>
      </c>
    </row>
    <row r="1407" spans="1:16" ht="14.25">
      <c r="A1407" s="80"/>
      <c r="B1407" s="80"/>
      <c r="C1407" s="80"/>
      <c r="D1407" s="80"/>
      <c r="E1407" s="76" t="str">
        <f>IFERROR(VLOOKUP(C1407,$C$9:E1406,3,0),"")</f>
        <v/>
      </c>
      <c r="F1407" s="57" t="str">
        <f>IFERROR(VLOOKUP(C1407,$C$9:H1406,4,FALSE),"")</f>
        <v/>
      </c>
      <c r="G1407" s="61" t="str">
        <f>IFERROR(VLOOKUP(C1407,$C$9:G1406,5,FALSE),"")</f>
        <v/>
      </c>
      <c r="H1407" s="61" t="str">
        <f>IFERROR(VLOOKUP(C1407,$C$9:H1406,6,FALSE),"")</f>
        <v/>
      </c>
      <c r="N1407" s="46" t="e">
        <f t="shared" si="65"/>
        <v>#DIV/0!</v>
      </c>
      <c r="O1407" s="46" t="str">
        <f t="shared" si="66"/>
        <v/>
      </c>
      <c r="P1407" s="46">
        <f t="shared" si="67"/>
        <v>1</v>
      </c>
    </row>
    <row r="1408" spans="1:16" ht="14.25">
      <c r="A1408" s="80"/>
      <c r="B1408" s="80"/>
      <c r="C1408" s="80"/>
      <c r="D1408" s="80"/>
      <c r="E1408" s="76" t="str">
        <f>IFERROR(VLOOKUP(C1408,$C$9:E1407,3,0),"")</f>
        <v/>
      </c>
      <c r="F1408" s="57" t="str">
        <f>IFERROR(VLOOKUP(C1408,$C$9:H1407,4,FALSE),"")</f>
        <v/>
      </c>
      <c r="G1408" s="61" t="str">
        <f>IFERROR(VLOOKUP(C1408,$C$9:G1407,5,FALSE),"")</f>
        <v/>
      </c>
      <c r="H1408" s="61" t="str">
        <f>IFERROR(VLOOKUP(C1408,$C$9:H1407,6,FALSE),"")</f>
        <v/>
      </c>
      <c r="N1408" s="46" t="e">
        <f t="shared" si="65"/>
        <v>#DIV/0!</v>
      </c>
      <c r="O1408" s="46" t="str">
        <f t="shared" si="66"/>
        <v/>
      </c>
      <c r="P1408" s="46">
        <f t="shared" si="67"/>
        <v>1</v>
      </c>
    </row>
    <row r="1409" spans="1:16" ht="14.25">
      <c r="A1409" s="80"/>
      <c r="B1409" s="80"/>
      <c r="C1409" s="80"/>
      <c r="D1409" s="80"/>
      <c r="E1409" s="76" t="str">
        <f>IFERROR(VLOOKUP(C1409,$C$9:E1408,3,0),"")</f>
        <v/>
      </c>
      <c r="F1409" s="57" t="str">
        <f>IFERROR(VLOOKUP(C1409,$C$9:H1408,4,FALSE),"")</f>
        <v/>
      </c>
      <c r="G1409" s="61" t="str">
        <f>IFERROR(VLOOKUP(C1409,$C$9:G1408,5,FALSE),"")</f>
        <v/>
      </c>
      <c r="H1409" s="61" t="str">
        <f>IFERROR(VLOOKUP(C1409,$C$9:H1408,6,FALSE),"")</f>
        <v/>
      </c>
      <c r="N1409" s="46" t="e">
        <f t="shared" si="65"/>
        <v>#DIV/0!</v>
      </c>
      <c r="O1409" s="46" t="str">
        <f t="shared" si="66"/>
        <v/>
      </c>
      <c r="P1409" s="46">
        <f t="shared" si="67"/>
        <v>1</v>
      </c>
    </row>
    <row r="1410" spans="1:16" ht="14.25">
      <c r="A1410" s="80"/>
      <c r="B1410" s="80"/>
      <c r="C1410" s="80"/>
      <c r="D1410" s="80"/>
      <c r="E1410" s="76" t="str">
        <f>IFERROR(VLOOKUP(C1410,$C$9:E1409,3,0),"")</f>
        <v/>
      </c>
      <c r="F1410" s="57" t="str">
        <f>IFERROR(VLOOKUP(C1410,$C$9:H1409,4,FALSE),"")</f>
        <v/>
      </c>
      <c r="G1410" s="61" t="str">
        <f>IFERROR(VLOOKUP(C1410,$C$9:G1409,5,FALSE),"")</f>
        <v/>
      </c>
      <c r="H1410" s="61" t="str">
        <f>IFERROR(VLOOKUP(C1410,$C$9:H1409,6,FALSE),"")</f>
        <v/>
      </c>
      <c r="N1410" s="46" t="e">
        <f t="shared" si="65"/>
        <v>#DIV/0!</v>
      </c>
      <c r="O1410" s="46" t="str">
        <f t="shared" si="66"/>
        <v/>
      </c>
      <c r="P1410" s="46">
        <f t="shared" si="67"/>
        <v>1</v>
      </c>
    </row>
    <row r="1411" spans="1:16" ht="14.25">
      <c r="A1411" s="80"/>
      <c r="B1411" s="80"/>
      <c r="C1411" s="80"/>
      <c r="D1411" s="80"/>
      <c r="E1411" s="76" t="str">
        <f>IFERROR(VLOOKUP(C1411,$C$9:E1410,3,0),"")</f>
        <v/>
      </c>
      <c r="F1411" s="57" t="str">
        <f>IFERROR(VLOOKUP(C1411,$C$9:H1410,4,FALSE),"")</f>
        <v/>
      </c>
      <c r="G1411" s="61" t="str">
        <f>IFERROR(VLOOKUP(C1411,$C$9:G1410,5,FALSE),"")</f>
        <v/>
      </c>
      <c r="H1411" s="61" t="str">
        <f>IFERROR(VLOOKUP(C1411,$C$9:H1410,6,FALSE),"")</f>
        <v/>
      </c>
      <c r="N1411" s="46" t="e">
        <f t="shared" si="65"/>
        <v>#DIV/0!</v>
      </c>
      <c r="O1411" s="46" t="str">
        <f t="shared" si="66"/>
        <v/>
      </c>
      <c r="P1411" s="46">
        <f t="shared" si="67"/>
        <v>1</v>
      </c>
    </row>
    <row r="1412" spans="1:16" ht="14.25">
      <c r="A1412" s="80"/>
      <c r="B1412" s="80"/>
      <c r="C1412" s="80"/>
      <c r="D1412" s="80"/>
      <c r="E1412" s="76" t="str">
        <f>IFERROR(VLOOKUP(C1412,$C$9:E1411,3,0),"")</f>
        <v/>
      </c>
      <c r="F1412" s="57" t="str">
        <f>IFERROR(VLOOKUP(C1412,$C$9:H1411,4,FALSE),"")</f>
        <v/>
      </c>
      <c r="G1412" s="61" t="str">
        <f>IFERROR(VLOOKUP(C1412,$C$9:G1411,5,FALSE),"")</f>
        <v/>
      </c>
      <c r="H1412" s="61" t="str">
        <f>IFERROR(VLOOKUP(C1412,$C$9:H1411,6,FALSE),"")</f>
        <v/>
      </c>
      <c r="N1412" s="46" t="e">
        <f t="shared" si="65"/>
        <v>#DIV/0!</v>
      </c>
      <c r="O1412" s="46" t="str">
        <f t="shared" si="66"/>
        <v/>
      </c>
      <c r="P1412" s="46">
        <f t="shared" si="67"/>
        <v>1</v>
      </c>
    </row>
    <row r="1413" spans="1:16" ht="14.25">
      <c r="A1413" s="80"/>
      <c r="B1413" s="80"/>
      <c r="C1413" s="80"/>
      <c r="D1413" s="80"/>
      <c r="E1413" s="76" t="str">
        <f>IFERROR(VLOOKUP(C1413,$C$9:E1412,3,0),"")</f>
        <v/>
      </c>
      <c r="F1413" s="57" t="str">
        <f>IFERROR(VLOOKUP(C1413,$C$9:H1412,4,FALSE),"")</f>
        <v/>
      </c>
      <c r="G1413" s="61" t="str">
        <f>IFERROR(VLOOKUP(C1413,$C$9:G1412,5,FALSE),"")</f>
        <v/>
      </c>
      <c r="H1413" s="61" t="str">
        <f>IFERROR(VLOOKUP(C1413,$C$9:H1412,6,FALSE),"")</f>
        <v/>
      </c>
      <c r="N1413" s="46" t="e">
        <f t="shared" si="65"/>
        <v>#DIV/0!</v>
      </c>
      <c r="O1413" s="46" t="str">
        <f t="shared" si="66"/>
        <v/>
      </c>
      <c r="P1413" s="46">
        <f t="shared" si="67"/>
        <v>1</v>
      </c>
    </row>
    <row r="1414" spans="1:16" ht="14.25">
      <c r="A1414" s="80"/>
      <c r="B1414" s="80"/>
      <c r="C1414" s="80"/>
      <c r="D1414" s="80"/>
      <c r="E1414" s="76" t="str">
        <f>IFERROR(VLOOKUP(C1414,$C$9:E1413,3,0),"")</f>
        <v/>
      </c>
      <c r="F1414" s="57" t="str">
        <f>IFERROR(VLOOKUP(C1414,$C$9:H1413,4,FALSE),"")</f>
        <v/>
      </c>
      <c r="G1414" s="61" t="str">
        <f>IFERROR(VLOOKUP(C1414,$C$9:G1413,5,FALSE),"")</f>
        <v/>
      </c>
      <c r="H1414" s="61" t="str">
        <f>IFERROR(VLOOKUP(C1414,$C$9:H1413,6,FALSE),"")</f>
        <v/>
      </c>
      <c r="N1414" s="46" t="e">
        <f t="shared" si="65"/>
        <v>#DIV/0!</v>
      </c>
      <c r="O1414" s="46" t="str">
        <f t="shared" si="66"/>
        <v/>
      </c>
      <c r="P1414" s="46">
        <f t="shared" si="67"/>
        <v>1</v>
      </c>
    </row>
    <row r="1415" spans="1:16" ht="14.25">
      <c r="A1415" s="80"/>
      <c r="B1415" s="80"/>
      <c r="C1415" s="80"/>
      <c r="D1415" s="80"/>
      <c r="E1415" s="76" t="str">
        <f>IFERROR(VLOOKUP(C1415,$C$9:E1414,3,0),"")</f>
        <v/>
      </c>
      <c r="F1415" s="57" t="str">
        <f>IFERROR(VLOOKUP(C1415,$C$9:H1414,4,FALSE),"")</f>
        <v/>
      </c>
      <c r="G1415" s="61" t="str">
        <f>IFERROR(VLOOKUP(C1415,$C$9:G1414,5,FALSE),"")</f>
        <v/>
      </c>
      <c r="H1415" s="61" t="str">
        <f>IFERROR(VLOOKUP(C1415,$C$9:H1414,6,FALSE),"")</f>
        <v/>
      </c>
      <c r="N1415" s="46" t="e">
        <f t="shared" si="65"/>
        <v>#DIV/0!</v>
      </c>
      <c r="O1415" s="46" t="str">
        <f t="shared" si="66"/>
        <v/>
      </c>
      <c r="P1415" s="46">
        <f t="shared" si="67"/>
        <v>1</v>
      </c>
    </row>
    <row r="1416" spans="1:16" ht="14.25">
      <c r="A1416" s="80"/>
      <c r="B1416" s="80"/>
      <c r="C1416" s="80"/>
      <c r="D1416" s="80"/>
      <c r="E1416" s="76" t="str">
        <f>IFERROR(VLOOKUP(C1416,$C$9:E1415,3,0),"")</f>
        <v/>
      </c>
      <c r="F1416" s="57" t="str">
        <f>IFERROR(VLOOKUP(C1416,$C$9:H1415,4,FALSE),"")</f>
        <v/>
      </c>
      <c r="G1416" s="61" t="str">
        <f>IFERROR(VLOOKUP(C1416,$C$9:G1415,5,FALSE),"")</f>
        <v/>
      </c>
      <c r="H1416" s="61" t="str">
        <f>IFERROR(VLOOKUP(C1416,$C$9:H1415,6,FALSE),"")</f>
        <v/>
      </c>
      <c r="N1416" s="46" t="e">
        <f t="shared" si="65"/>
        <v>#DIV/0!</v>
      </c>
      <c r="O1416" s="46" t="str">
        <f t="shared" si="66"/>
        <v/>
      </c>
      <c r="P1416" s="46">
        <f t="shared" si="67"/>
        <v>1</v>
      </c>
    </row>
    <row r="1417" spans="1:16" ht="14.25">
      <c r="A1417" s="80"/>
      <c r="B1417" s="80"/>
      <c r="C1417" s="80"/>
      <c r="D1417" s="80"/>
      <c r="E1417" s="76" t="str">
        <f>IFERROR(VLOOKUP(C1417,$C$9:E1416,3,0),"")</f>
        <v/>
      </c>
      <c r="F1417" s="57" t="str">
        <f>IFERROR(VLOOKUP(C1417,$C$9:H1416,4,FALSE),"")</f>
        <v/>
      </c>
      <c r="G1417" s="61" t="str">
        <f>IFERROR(VLOOKUP(C1417,$C$9:G1416,5,FALSE),"")</f>
        <v/>
      </c>
      <c r="H1417" s="61" t="str">
        <f>IFERROR(VLOOKUP(C1417,$C$9:H1416,6,FALSE),"")</f>
        <v/>
      </c>
      <c r="N1417" s="46" t="e">
        <f t="shared" si="65"/>
        <v>#DIV/0!</v>
      </c>
      <c r="O1417" s="46" t="str">
        <f t="shared" si="66"/>
        <v/>
      </c>
      <c r="P1417" s="46">
        <f t="shared" si="67"/>
        <v>1</v>
      </c>
    </row>
    <row r="1418" spans="1:16" ht="14.25">
      <c r="A1418" s="80"/>
      <c r="B1418" s="80"/>
      <c r="C1418" s="80"/>
      <c r="D1418" s="80"/>
      <c r="E1418" s="76" t="str">
        <f>IFERROR(VLOOKUP(C1418,$C$9:E1417,3,0),"")</f>
        <v/>
      </c>
      <c r="F1418" s="57" t="str">
        <f>IFERROR(VLOOKUP(C1418,$C$9:H1417,4,FALSE),"")</f>
        <v/>
      </c>
      <c r="G1418" s="61" t="str">
        <f>IFERROR(VLOOKUP(C1418,$C$9:G1417,5,FALSE),"")</f>
        <v/>
      </c>
      <c r="H1418" s="61" t="str">
        <f>IFERROR(VLOOKUP(C1418,$C$9:H1417,6,FALSE),"")</f>
        <v/>
      </c>
      <c r="N1418" s="46" t="e">
        <f t="shared" ref="N1418:N1481" si="68">IF(OR(F1418=$P$1,F1418="",F1418=0),D1418/$B$2,IF(OR(F1418=$P$2,F1418=$P$3,F1418=$P$4),D1418/(O1418*P1418),D1418/O1418))</f>
        <v>#DIV/0!</v>
      </c>
      <c r="O1418" s="46" t="str">
        <f t="shared" ref="O1418:O1481" si="69">IFERROR(VLOOKUP(F1418,$P$1:$Q$4,2,0),F1418)</f>
        <v/>
      </c>
      <c r="P1418" s="46">
        <f t="shared" si="67"/>
        <v>1</v>
      </c>
    </row>
    <row r="1419" spans="1:16" ht="14.25">
      <c r="A1419" s="80"/>
      <c r="B1419" s="80"/>
      <c r="C1419" s="80"/>
      <c r="D1419" s="80"/>
      <c r="E1419" s="76" t="str">
        <f>IFERROR(VLOOKUP(C1419,$C$9:E1418,3,0),"")</f>
        <v/>
      </c>
      <c r="F1419" s="57" t="str">
        <f>IFERROR(VLOOKUP(C1419,$C$9:H1418,4,FALSE),"")</f>
        <v/>
      </c>
      <c r="G1419" s="61" t="str">
        <f>IFERROR(VLOOKUP(C1419,$C$9:G1418,5,FALSE),"")</f>
        <v/>
      </c>
      <c r="H1419" s="61" t="str">
        <f>IFERROR(VLOOKUP(C1419,$C$9:H1418,6,FALSE),"")</f>
        <v/>
      </c>
      <c r="N1419" s="46" t="e">
        <f t="shared" si="68"/>
        <v>#DIV/0!</v>
      </c>
      <c r="O1419" s="46" t="str">
        <f t="shared" si="69"/>
        <v/>
      </c>
      <c r="P1419" s="46">
        <f t="shared" ref="P1419:P1482" si="70">IF(C1419="",1,COUNTIFS($C$9:$C$1499,C1419,$H$9:$H$1499,H1419))</f>
        <v>1</v>
      </c>
    </row>
    <row r="1420" spans="1:16" ht="14.25">
      <c r="A1420" s="80"/>
      <c r="B1420" s="80"/>
      <c r="C1420" s="80"/>
      <c r="D1420" s="80"/>
      <c r="E1420" s="76" t="str">
        <f>IFERROR(VLOOKUP(C1420,$C$9:E1419,3,0),"")</f>
        <v/>
      </c>
      <c r="F1420" s="57" t="str">
        <f>IFERROR(VLOOKUP(C1420,$C$9:H1419,4,FALSE),"")</f>
        <v/>
      </c>
      <c r="G1420" s="61" t="str">
        <f>IFERROR(VLOOKUP(C1420,$C$9:G1419,5,FALSE),"")</f>
        <v/>
      </c>
      <c r="H1420" s="61" t="str">
        <f>IFERROR(VLOOKUP(C1420,$C$9:H1419,6,FALSE),"")</f>
        <v/>
      </c>
      <c r="N1420" s="46" t="e">
        <f t="shared" si="68"/>
        <v>#DIV/0!</v>
      </c>
      <c r="O1420" s="46" t="str">
        <f t="shared" si="69"/>
        <v/>
      </c>
      <c r="P1420" s="46">
        <f t="shared" si="70"/>
        <v>1</v>
      </c>
    </row>
    <row r="1421" spans="1:16" ht="14.25">
      <c r="A1421" s="80"/>
      <c r="B1421" s="80"/>
      <c r="C1421" s="80"/>
      <c r="D1421" s="80"/>
      <c r="E1421" s="76" t="str">
        <f>IFERROR(VLOOKUP(C1421,$C$9:E1420,3,0),"")</f>
        <v/>
      </c>
      <c r="F1421" s="57" t="str">
        <f>IFERROR(VLOOKUP(C1421,$C$9:H1420,4,FALSE),"")</f>
        <v/>
      </c>
      <c r="G1421" s="61" t="str">
        <f>IFERROR(VLOOKUP(C1421,$C$9:G1420,5,FALSE),"")</f>
        <v/>
      </c>
      <c r="H1421" s="61" t="str">
        <f>IFERROR(VLOOKUP(C1421,$C$9:H1420,6,FALSE),"")</f>
        <v/>
      </c>
      <c r="N1421" s="46" t="e">
        <f t="shared" si="68"/>
        <v>#DIV/0!</v>
      </c>
      <c r="O1421" s="46" t="str">
        <f t="shared" si="69"/>
        <v/>
      </c>
      <c r="P1421" s="46">
        <f t="shared" si="70"/>
        <v>1</v>
      </c>
    </row>
    <row r="1422" spans="1:16" ht="14.25">
      <c r="A1422" s="80"/>
      <c r="B1422" s="80"/>
      <c r="C1422" s="80"/>
      <c r="D1422" s="80"/>
      <c r="E1422" s="76" t="str">
        <f>IFERROR(VLOOKUP(C1422,$C$9:E1421,3,0),"")</f>
        <v/>
      </c>
      <c r="F1422" s="57" t="str">
        <f>IFERROR(VLOOKUP(C1422,$C$9:H1421,4,FALSE),"")</f>
        <v/>
      </c>
      <c r="G1422" s="61" t="str">
        <f>IFERROR(VLOOKUP(C1422,$C$9:G1421,5,FALSE),"")</f>
        <v/>
      </c>
      <c r="H1422" s="61" t="str">
        <f>IFERROR(VLOOKUP(C1422,$C$9:H1421,6,FALSE),"")</f>
        <v/>
      </c>
      <c r="N1422" s="46" t="e">
        <f t="shared" si="68"/>
        <v>#DIV/0!</v>
      </c>
      <c r="O1422" s="46" t="str">
        <f t="shared" si="69"/>
        <v/>
      </c>
      <c r="P1422" s="46">
        <f t="shared" si="70"/>
        <v>1</v>
      </c>
    </row>
    <row r="1423" spans="1:16" ht="14.25">
      <c r="A1423" s="80"/>
      <c r="B1423" s="80"/>
      <c r="C1423" s="80"/>
      <c r="D1423" s="80"/>
      <c r="E1423" s="76" t="str">
        <f>IFERROR(VLOOKUP(C1423,$C$9:E1422,3,0),"")</f>
        <v/>
      </c>
      <c r="F1423" s="57" t="str">
        <f>IFERROR(VLOOKUP(C1423,$C$9:H1422,4,FALSE),"")</f>
        <v/>
      </c>
      <c r="G1423" s="61" t="str">
        <f>IFERROR(VLOOKUP(C1423,$C$9:G1422,5,FALSE),"")</f>
        <v/>
      </c>
      <c r="H1423" s="61" t="str">
        <f>IFERROR(VLOOKUP(C1423,$C$9:H1422,6,FALSE),"")</f>
        <v/>
      </c>
      <c r="N1423" s="46" t="e">
        <f t="shared" si="68"/>
        <v>#DIV/0!</v>
      </c>
      <c r="O1423" s="46" t="str">
        <f t="shared" si="69"/>
        <v/>
      </c>
      <c r="P1423" s="46">
        <f t="shared" si="70"/>
        <v>1</v>
      </c>
    </row>
    <row r="1424" spans="1:16" ht="14.25">
      <c r="A1424" s="80"/>
      <c r="B1424" s="80"/>
      <c r="C1424" s="80"/>
      <c r="D1424" s="80"/>
      <c r="E1424" s="76" t="str">
        <f>IFERROR(VLOOKUP(C1424,$C$9:E1423,3,0),"")</f>
        <v/>
      </c>
      <c r="F1424" s="57" t="str">
        <f>IFERROR(VLOOKUP(C1424,$C$9:H1423,4,FALSE),"")</f>
        <v/>
      </c>
      <c r="G1424" s="61" t="str">
        <f>IFERROR(VLOOKUP(C1424,$C$9:G1423,5,FALSE),"")</f>
        <v/>
      </c>
      <c r="H1424" s="61" t="str">
        <f>IFERROR(VLOOKUP(C1424,$C$9:H1423,6,FALSE),"")</f>
        <v/>
      </c>
      <c r="N1424" s="46" t="e">
        <f t="shared" si="68"/>
        <v>#DIV/0!</v>
      </c>
      <c r="O1424" s="46" t="str">
        <f t="shared" si="69"/>
        <v/>
      </c>
      <c r="P1424" s="46">
        <f t="shared" si="70"/>
        <v>1</v>
      </c>
    </row>
    <row r="1425" spans="1:16" ht="14.25">
      <c r="A1425" s="80"/>
      <c r="B1425" s="80"/>
      <c r="C1425" s="80"/>
      <c r="D1425" s="80"/>
      <c r="E1425" s="76" t="str">
        <f>IFERROR(VLOOKUP(C1425,$C$9:E1424,3,0),"")</f>
        <v/>
      </c>
      <c r="F1425" s="57" t="str">
        <f>IFERROR(VLOOKUP(C1425,$C$9:H1424,4,FALSE),"")</f>
        <v/>
      </c>
      <c r="G1425" s="61" t="str">
        <f>IFERROR(VLOOKUP(C1425,$C$9:G1424,5,FALSE),"")</f>
        <v/>
      </c>
      <c r="H1425" s="61" t="str">
        <f>IFERROR(VLOOKUP(C1425,$C$9:H1424,6,FALSE),"")</f>
        <v/>
      </c>
      <c r="N1425" s="46" t="e">
        <f t="shared" si="68"/>
        <v>#DIV/0!</v>
      </c>
      <c r="O1425" s="46" t="str">
        <f t="shared" si="69"/>
        <v/>
      </c>
      <c r="P1425" s="46">
        <f t="shared" si="70"/>
        <v>1</v>
      </c>
    </row>
    <row r="1426" spans="1:16" ht="14.25">
      <c r="A1426" s="80"/>
      <c r="B1426" s="80"/>
      <c r="C1426" s="80"/>
      <c r="D1426" s="80"/>
      <c r="E1426" s="76" t="str">
        <f>IFERROR(VLOOKUP(C1426,$C$9:E1425,3,0),"")</f>
        <v/>
      </c>
      <c r="F1426" s="57" t="str">
        <f>IFERROR(VLOOKUP(C1426,$C$9:H1425,4,FALSE),"")</f>
        <v/>
      </c>
      <c r="G1426" s="61" t="str">
        <f>IFERROR(VLOOKUP(C1426,$C$9:G1425,5,FALSE),"")</f>
        <v/>
      </c>
      <c r="H1426" s="61" t="str">
        <f>IFERROR(VLOOKUP(C1426,$C$9:H1425,6,FALSE),"")</f>
        <v/>
      </c>
      <c r="N1426" s="46" t="e">
        <f t="shared" si="68"/>
        <v>#DIV/0!</v>
      </c>
      <c r="O1426" s="46" t="str">
        <f t="shared" si="69"/>
        <v/>
      </c>
      <c r="P1426" s="46">
        <f t="shared" si="70"/>
        <v>1</v>
      </c>
    </row>
    <row r="1427" spans="1:16" ht="14.25">
      <c r="A1427" s="80"/>
      <c r="B1427" s="80"/>
      <c r="C1427" s="80"/>
      <c r="D1427" s="80"/>
      <c r="E1427" s="76" t="str">
        <f>IFERROR(VLOOKUP(C1427,$C$9:E1426,3,0),"")</f>
        <v/>
      </c>
      <c r="F1427" s="57" t="str">
        <f>IFERROR(VLOOKUP(C1427,$C$9:H1426,4,FALSE),"")</f>
        <v/>
      </c>
      <c r="G1427" s="61" t="str">
        <f>IFERROR(VLOOKUP(C1427,$C$9:G1426,5,FALSE),"")</f>
        <v/>
      </c>
      <c r="H1427" s="61" t="str">
        <f>IFERROR(VLOOKUP(C1427,$C$9:H1426,6,FALSE),"")</f>
        <v/>
      </c>
      <c r="N1427" s="46" t="e">
        <f t="shared" si="68"/>
        <v>#DIV/0!</v>
      </c>
      <c r="O1427" s="46" t="str">
        <f t="shared" si="69"/>
        <v/>
      </c>
      <c r="P1427" s="46">
        <f t="shared" si="70"/>
        <v>1</v>
      </c>
    </row>
    <row r="1428" spans="1:16" ht="14.25">
      <c r="A1428" s="80"/>
      <c r="B1428" s="80"/>
      <c r="C1428" s="80"/>
      <c r="D1428" s="80"/>
      <c r="E1428" s="76" t="str">
        <f>IFERROR(VLOOKUP(C1428,$C$9:E1427,3,0),"")</f>
        <v/>
      </c>
      <c r="F1428" s="57" t="str">
        <f>IFERROR(VLOOKUP(C1428,$C$9:H1427,4,FALSE),"")</f>
        <v/>
      </c>
      <c r="G1428" s="61" t="str">
        <f>IFERROR(VLOOKUP(C1428,$C$9:G1427,5,FALSE),"")</f>
        <v/>
      </c>
      <c r="H1428" s="61" t="str">
        <f>IFERROR(VLOOKUP(C1428,$C$9:H1427,6,FALSE),"")</f>
        <v/>
      </c>
      <c r="N1428" s="46" t="e">
        <f t="shared" si="68"/>
        <v>#DIV/0!</v>
      </c>
      <c r="O1428" s="46" t="str">
        <f t="shared" si="69"/>
        <v/>
      </c>
      <c r="P1428" s="46">
        <f t="shared" si="70"/>
        <v>1</v>
      </c>
    </row>
    <row r="1429" spans="1:16" ht="14.25">
      <c r="A1429" s="80"/>
      <c r="B1429" s="80"/>
      <c r="C1429" s="80"/>
      <c r="D1429" s="80"/>
      <c r="E1429" s="76" t="str">
        <f>IFERROR(VLOOKUP(C1429,$C$9:E1428,3,0),"")</f>
        <v/>
      </c>
      <c r="F1429" s="57" t="str">
        <f>IFERROR(VLOOKUP(C1429,$C$9:H1428,4,FALSE),"")</f>
        <v/>
      </c>
      <c r="G1429" s="61" t="str">
        <f>IFERROR(VLOOKUP(C1429,$C$9:G1428,5,FALSE),"")</f>
        <v/>
      </c>
      <c r="H1429" s="61" t="str">
        <f>IFERROR(VLOOKUP(C1429,$C$9:H1428,6,FALSE),"")</f>
        <v/>
      </c>
      <c r="N1429" s="46" t="e">
        <f t="shared" si="68"/>
        <v>#DIV/0!</v>
      </c>
      <c r="O1429" s="46" t="str">
        <f t="shared" si="69"/>
        <v/>
      </c>
      <c r="P1429" s="46">
        <f t="shared" si="70"/>
        <v>1</v>
      </c>
    </row>
    <row r="1430" spans="1:16" ht="14.25">
      <c r="A1430" s="80"/>
      <c r="B1430" s="80"/>
      <c r="C1430" s="80"/>
      <c r="D1430" s="80"/>
      <c r="E1430" s="76" t="str">
        <f>IFERROR(VLOOKUP(C1430,$C$9:E1429,3,0),"")</f>
        <v/>
      </c>
      <c r="F1430" s="57" t="str">
        <f>IFERROR(VLOOKUP(C1430,$C$9:H1429,4,FALSE),"")</f>
        <v/>
      </c>
      <c r="G1430" s="61" t="str">
        <f>IFERROR(VLOOKUP(C1430,$C$9:G1429,5,FALSE),"")</f>
        <v/>
      </c>
      <c r="H1430" s="61" t="str">
        <f>IFERROR(VLOOKUP(C1430,$C$9:H1429,6,FALSE),"")</f>
        <v/>
      </c>
      <c r="N1430" s="46" t="e">
        <f t="shared" si="68"/>
        <v>#DIV/0!</v>
      </c>
      <c r="O1430" s="46" t="str">
        <f t="shared" si="69"/>
        <v/>
      </c>
      <c r="P1430" s="46">
        <f t="shared" si="70"/>
        <v>1</v>
      </c>
    </row>
    <row r="1431" spans="1:16" ht="14.25">
      <c r="A1431" s="80"/>
      <c r="B1431" s="80"/>
      <c r="C1431" s="80"/>
      <c r="D1431" s="80"/>
      <c r="E1431" s="76" t="str">
        <f>IFERROR(VLOOKUP(C1431,$C$9:E1430,3,0),"")</f>
        <v/>
      </c>
      <c r="F1431" s="57" t="str">
        <f>IFERROR(VLOOKUP(C1431,$C$9:H1430,4,FALSE),"")</f>
        <v/>
      </c>
      <c r="G1431" s="61" t="str">
        <f>IFERROR(VLOOKUP(C1431,$C$9:G1430,5,FALSE),"")</f>
        <v/>
      </c>
      <c r="H1431" s="61" t="str">
        <f>IFERROR(VLOOKUP(C1431,$C$9:H1430,6,FALSE),"")</f>
        <v/>
      </c>
      <c r="N1431" s="46" t="e">
        <f t="shared" si="68"/>
        <v>#DIV/0!</v>
      </c>
      <c r="O1431" s="46" t="str">
        <f t="shared" si="69"/>
        <v/>
      </c>
      <c r="P1431" s="46">
        <f t="shared" si="70"/>
        <v>1</v>
      </c>
    </row>
    <row r="1432" spans="1:16" ht="14.25">
      <c r="A1432" s="80"/>
      <c r="B1432" s="80"/>
      <c r="C1432" s="80"/>
      <c r="D1432" s="80"/>
      <c r="E1432" s="76" t="str">
        <f>IFERROR(VLOOKUP(C1432,$C$9:E1431,3,0),"")</f>
        <v/>
      </c>
      <c r="F1432" s="57" t="str">
        <f>IFERROR(VLOOKUP(C1432,$C$9:H1431,4,FALSE),"")</f>
        <v/>
      </c>
      <c r="G1432" s="61" t="str">
        <f>IFERROR(VLOOKUP(C1432,$C$9:G1431,5,FALSE),"")</f>
        <v/>
      </c>
      <c r="H1432" s="61" t="str">
        <f>IFERROR(VLOOKUP(C1432,$C$9:H1431,6,FALSE),"")</f>
        <v/>
      </c>
      <c r="N1432" s="46" t="e">
        <f t="shared" si="68"/>
        <v>#DIV/0!</v>
      </c>
      <c r="O1432" s="46" t="str">
        <f t="shared" si="69"/>
        <v/>
      </c>
      <c r="P1432" s="46">
        <f t="shared" si="70"/>
        <v>1</v>
      </c>
    </row>
    <row r="1433" spans="1:16" ht="14.25">
      <c r="A1433" s="80"/>
      <c r="B1433" s="80"/>
      <c r="C1433" s="80"/>
      <c r="D1433" s="80"/>
      <c r="E1433" s="76" t="str">
        <f>IFERROR(VLOOKUP(C1433,$C$9:E1432,3,0),"")</f>
        <v/>
      </c>
      <c r="F1433" s="57" t="str">
        <f>IFERROR(VLOOKUP(C1433,$C$9:H1432,4,FALSE),"")</f>
        <v/>
      </c>
      <c r="G1433" s="61" t="str">
        <f>IFERROR(VLOOKUP(C1433,$C$9:G1432,5,FALSE),"")</f>
        <v/>
      </c>
      <c r="H1433" s="61" t="str">
        <f>IFERROR(VLOOKUP(C1433,$C$9:H1432,6,FALSE),"")</f>
        <v/>
      </c>
      <c r="N1433" s="46" t="e">
        <f t="shared" si="68"/>
        <v>#DIV/0!</v>
      </c>
      <c r="O1433" s="46" t="str">
        <f t="shared" si="69"/>
        <v/>
      </c>
      <c r="P1433" s="46">
        <f t="shared" si="70"/>
        <v>1</v>
      </c>
    </row>
    <row r="1434" spans="1:16" ht="14.25">
      <c r="A1434" s="80"/>
      <c r="B1434" s="80"/>
      <c r="C1434" s="80"/>
      <c r="D1434" s="80"/>
      <c r="E1434" s="76" t="str">
        <f>IFERROR(VLOOKUP(C1434,$C$9:E1433,3,0),"")</f>
        <v/>
      </c>
      <c r="F1434" s="57" t="str">
        <f>IFERROR(VLOOKUP(C1434,$C$9:H1433,4,FALSE),"")</f>
        <v/>
      </c>
      <c r="G1434" s="61" t="str">
        <f>IFERROR(VLOOKUP(C1434,$C$9:G1433,5,FALSE),"")</f>
        <v/>
      </c>
      <c r="H1434" s="61" t="str">
        <f>IFERROR(VLOOKUP(C1434,$C$9:H1433,6,FALSE),"")</f>
        <v/>
      </c>
      <c r="N1434" s="46" t="e">
        <f t="shared" si="68"/>
        <v>#DIV/0!</v>
      </c>
      <c r="O1434" s="46" t="str">
        <f t="shared" si="69"/>
        <v/>
      </c>
      <c r="P1434" s="46">
        <f t="shared" si="70"/>
        <v>1</v>
      </c>
    </row>
    <row r="1435" spans="1:16" ht="14.25">
      <c r="A1435" s="80"/>
      <c r="B1435" s="80"/>
      <c r="C1435" s="80"/>
      <c r="D1435" s="80"/>
      <c r="E1435" s="76" t="str">
        <f>IFERROR(VLOOKUP(C1435,$C$9:E1434,3,0),"")</f>
        <v/>
      </c>
      <c r="F1435" s="57" t="str">
        <f>IFERROR(VLOOKUP(C1435,$C$9:H1434,4,FALSE),"")</f>
        <v/>
      </c>
      <c r="G1435" s="61" t="str">
        <f>IFERROR(VLOOKUP(C1435,$C$9:G1434,5,FALSE),"")</f>
        <v/>
      </c>
      <c r="H1435" s="61" t="str">
        <f>IFERROR(VLOOKUP(C1435,$C$9:H1434,6,FALSE),"")</f>
        <v/>
      </c>
      <c r="N1435" s="46" t="e">
        <f t="shared" si="68"/>
        <v>#DIV/0!</v>
      </c>
      <c r="O1435" s="46" t="str">
        <f t="shared" si="69"/>
        <v/>
      </c>
      <c r="P1435" s="46">
        <f t="shared" si="70"/>
        <v>1</v>
      </c>
    </row>
    <row r="1436" spans="1:16" ht="14.25">
      <c r="A1436" s="80"/>
      <c r="B1436" s="80"/>
      <c r="C1436" s="80"/>
      <c r="D1436" s="80"/>
      <c r="E1436" s="76" t="str">
        <f>IFERROR(VLOOKUP(C1436,$C$9:E1435,3,0),"")</f>
        <v/>
      </c>
      <c r="F1436" s="57" t="str">
        <f>IFERROR(VLOOKUP(C1436,$C$9:H1435,4,FALSE),"")</f>
        <v/>
      </c>
      <c r="G1436" s="61" t="str">
        <f>IFERROR(VLOOKUP(C1436,$C$9:G1435,5,FALSE),"")</f>
        <v/>
      </c>
      <c r="H1436" s="61" t="str">
        <f>IFERROR(VLOOKUP(C1436,$C$9:H1435,6,FALSE),"")</f>
        <v/>
      </c>
      <c r="N1436" s="46" t="e">
        <f t="shared" si="68"/>
        <v>#DIV/0!</v>
      </c>
      <c r="O1436" s="46" t="str">
        <f t="shared" si="69"/>
        <v/>
      </c>
      <c r="P1436" s="46">
        <f t="shared" si="70"/>
        <v>1</v>
      </c>
    </row>
    <row r="1437" spans="1:16" ht="14.25">
      <c r="A1437" s="80"/>
      <c r="B1437" s="80"/>
      <c r="C1437" s="80"/>
      <c r="D1437" s="80"/>
      <c r="E1437" s="76" t="str">
        <f>IFERROR(VLOOKUP(C1437,$C$9:E1436,3,0),"")</f>
        <v/>
      </c>
      <c r="F1437" s="57" t="str">
        <f>IFERROR(VLOOKUP(C1437,$C$9:H1436,4,FALSE),"")</f>
        <v/>
      </c>
      <c r="G1437" s="61" t="str">
        <f>IFERROR(VLOOKUP(C1437,$C$9:G1436,5,FALSE),"")</f>
        <v/>
      </c>
      <c r="H1437" s="61" t="str">
        <f>IFERROR(VLOOKUP(C1437,$C$9:H1436,6,FALSE),"")</f>
        <v/>
      </c>
      <c r="N1437" s="46" t="e">
        <f t="shared" si="68"/>
        <v>#DIV/0!</v>
      </c>
      <c r="O1437" s="46" t="str">
        <f t="shared" si="69"/>
        <v/>
      </c>
      <c r="P1437" s="46">
        <f t="shared" si="70"/>
        <v>1</v>
      </c>
    </row>
    <row r="1438" spans="1:16" ht="14.25">
      <c r="A1438" s="80"/>
      <c r="B1438" s="80"/>
      <c r="C1438" s="80"/>
      <c r="D1438" s="80"/>
      <c r="E1438" s="76" t="str">
        <f>IFERROR(VLOOKUP(C1438,$C$9:E1437,3,0),"")</f>
        <v/>
      </c>
      <c r="F1438" s="57" t="str">
        <f>IFERROR(VLOOKUP(C1438,$C$9:H1437,4,FALSE),"")</f>
        <v/>
      </c>
      <c r="G1438" s="61" t="str">
        <f>IFERROR(VLOOKUP(C1438,$C$9:G1437,5,FALSE),"")</f>
        <v/>
      </c>
      <c r="H1438" s="61" t="str">
        <f>IFERROR(VLOOKUP(C1438,$C$9:H1437,6,FALSE),"")</f>
        <v/>
      </c>
      <c r="N1438" s="46" t="e">
        <f t="shared" si="68"/>
        <v>#DIV/0!</v>
      </c>
      <c r="O1438" s="46" t="str">
        <f t="shared" si="69"/>
        <v/>
      </c>
      <c r="P1438" s="46">
        <f t="shared" si="70"/>
        <v>1</v>
      </c>
    </row>
    <row r="1439" spans="1:16" ht="14.25">
      <c r="A1439" s="80"/>
      <c r="B1439" s="80"/>
      <c r="C1439" s="80"/>
      <c r="D1439" s="80"/>
      <c r="E1439" s="76" t="str">
        <f>IFERROR(VLOOKUP(C1439,$C$9:E1438,3,0),"")</f>
        <v/>
      </c>
      <c r="F1439" s="57" t="str">
        <f>IFERROR(VLOOKUP(C1439,$C$9:H1438,4,FALSE),"")</f>
        <v/>
      </c>
      <c r="G1439" s="61" t="str">
        <f>IFERROR(VLOOKUP(C1439,$C$9:G1438,5,FALSE),"")</f>
        <v/>
      </c>
      <c r="H1439" s="61" t="str">
        <f>IFERROR(VLOOKUP(C1439,$C$9:H1438,6,FALSE),"")</f>
        <v/>
      </c>
      <c r="N1439" s="46" t="e">
        <f t="shared" si="68"/>
        <v>#DIV/0!</v>
      </c>
      <c r="O1439" s="46" t="str">
        <f t="shared" si="69"/>
        <v/>
      </c>
      <c r="P1439" s="46">
        <f t="shared" si="70"/>
        <v>1</v>
      </c>
    </row>
    <row r="1440" spans="1:16" ht="14.25">
      <c r="A1440" s="80"/>
      <c r="B1440" s="80"/>
      <c r="C1440" s="80"/>
      <c r="D1440" s="80"/>
      <c r="E1440" s="76" t="str">
        <f>IFERROR(VLOOKUP(C1440,$C$9:E1439,3,0),"")</f>
        <v/>
      </c>
      <c r="F1440" s="57" t="str">
        <f>IFERROR(VLOOKUP(C1440,$C$9:H1439,4,FALSE),"")</f>
        <v/>
      </c>
      <c r="G1440" s="61" t="str">
        <f>IFERROR(VLOOKUP(C1440,$C$9:G1439,5,FALSE),"")</f>
        <v/>
      </c>
      <c r="H1440" s="61" t="str">
        <f>IFERROR(VLOOKUP(C1440,$C$9:H1439,6,FALSE),"")</f>
        <v/>
      </c>
      <c r="N1440" s="46" t="e">
        <f t="shared" si="68"/>
        <v>#DIV/0!</v>
      </c>
      <c r="O1440" s="46" t="str">
        <f t="shared" si="69"/>
        <v/>
      </c>
      <c r="P1440" s="46">
        <f t="shared" si="70"/>
        <v>1</v>
      </c>
    </row>
    <row r="1441" spans="1:16" ht="14.25">
      <c r="A1441" s="80"/>
      <c r="B1441" s="80"/>
      <c r="C1441" s="80"/>
      <c r="D1441" s="80"/>
      <c r="E1441" s="76" t="str">
        <f>IFERROR(VLOOKUP(C1441,$C$9:E1440,3,0),"")</f>
        <v/>
      </c>
      <c r="F1441" s="57" t="str">
        <f>IFERROR(VLOOKUP(C1441,$C$9:H1440,4,FALSE),"")</f>
        <v/>
      </c>
      <c r="G1441" s="61" t="str">
        <f>IFERROR(VLOOKUP(C1441,$C$9:G1440,5,FALSE),"")</f>
        <v/>
      </c>
      <c r="H1441" s="61" t="str">
        <f>IFERROR(VLOOKUP(C1441,$C$9:H1440,6,FALSE),"")</f>
        <v/>
      </c>
      <c r="N1441" s="46" t="e">
        <f t="shared" si="68"/>
        <v>#DIV/0!</v>
      </c>
      <c r="O1441" s="46" t="str">
        <f t="shared" si="69"/>
        <v/>
      </c>
      <c r="P1441" s="46">
        <f t="shared" si="70"/>
        <v>1</v>
      </c>
    </row>
    <row r="1442" spans="1:16" ht="14.25">
      <c r="A1442" s="80"/>
      <c r="B1442" s="80"/>
      <c r="C1442" s="80"/>
      <c r="D1442" s="80"/>
      <c r="E1442" s="76" t="str">
        <f>IFERROR(VLOOKUP(C1442,$C$9:E1441,3,0),"")</f>
        <v/>
      </c>
      <c r="F1442" s="57" t="str">
        <f>IFERROR(VLOOKUP(C1442,$C$9:H1441,4,FALSE),"")</f>
        <v/>
      </c>
      <c r="G1442" s="61" t="str">
        <f>IFERROR(VLOOKUP(C1442,$C$9:G1441,5,FALSE),"")</f>
        <v/>
      </c>
      <c r="H1442" s="61" t="str">
        <f>IFERROR(VLOOKUP(C1442,$C$9:H1441,6,FALSE),"")</f>
        <v/>
      </c>
      <c r="N1442" s="46" t="e">
        <f t="shared" si="68"/>
        <v>#DIV/0!</v>
      </c>
      <c r="O1442" s="46" t="str">
        <f t="shared" si="69"/>
        <v/>
      </c>
      <c r="P1442" s="46">
        <f t="shared" si="70"/>
        <v>1</v>
      </c>
    </row>
    <row r="1443" spans="1:16" ht="14.25">
      <c r="A1443" s="80"/>
      <c r="B1443" s="80"/>
      <c r="C1443" s="80"/>
      <c r="D1443" s="80"/>
      <c r="E1443" s="76" t="str">
        <f>IFERROR(VLOOKUP(C1443,$C$9:E1442,3,0),"")</f>
        <v/>
      </c>
      <c r="F1443" s="57" t="str">
        <f>IFERROR(VLOOKUP(C1443,$C$9:H1442,4,FALSE),"")</f>
        <v/>
      </c>
      <c r="G1443" s="61" t="str">
        <f>IFERROR(VLOOKUP(C1443,$C$9:G1442,5,FALSE),"")</f>
        <v/>
      </c>
      <c r="H1443" s="61" t="str">
        <f>IFERROR(VLOOKUP(C1443,$C$9:H1442,6,FALSE),"")</f>
        <v/>
      </c>
      <c r="N1443" s="46" t="e">
        <f t="shared" si="68"/>
        <v>#DIV/0!</v>
      </c>
      <c r="O1443" s="46" t="str">
        <f t="shared" si="69"/>
        <v/>
      </c>
      <c r="P1443" s="46">
        <f t="shared" si="70"/>
        <v>1</v>
      </c>
    </row>
    <row r="1444" spans="1:16" ht="14.25">
      <c r="A1444" s="80"/>
      <c r="B1444" s="80"/>
      <c r="C1444" s="80"/>
      <c r="D1444" s="80"/>
      <c r="E1444" s="76" t="str">
        <f>IFERROR(VLOOKUP(C1444,$C$9:E1443,3,0),"")</f>
        <v/>
      </c>
      <c r="F1444" s="57" t="str">
        <f>IFERROR(VLOOKUP(C1444,$C$9:H1443,4,FALSE),"")</f>
        <v/>
      </c>
      <c r="G1444" s="61" t="str">
        <f>IFERROR(VLOOKUP(C1444,$C$9:G1443,5,FALSE),"")</f>
        <v/>
      </c>
      <c r="H1444" s="61" t="str">
        <f>IFERROR(VLOOKUP(C1444,$C$9:H1443,6,FALSE),"")</f>
        <v/>
      </c>
      <c r="N1444" s="46" t="e">
        <f t="shared" si="68"/>
        <v>#DIV/0!</v>
      </c>
      <c r="O1444" s="46" t="str">
        <f t="shared" si="69"/>
        <v/>
      </c>
      <c r="P1444" s="46">
        <f t="shared" si="70"/>
        <v>1</v>
      </c>
    </row>
    <row r="1445" spans="1:16" ht="14.25">
      <c r="A1445" s="80"/>
      <c r="B1445" s="80"/>
      <c r="C1445" s="80"/>
      <c r="D1445" s="80"/>
      <c r="E1445" s="76" t="str">
        <f>IFERROR(VLOOKUP(C1445,$C$9:E1444,3,0),"")</f>
        <v/>
      </c>
      <c r="F1445" s="57" t="str">
        <f>IFERROR(VLOOKUP(C1445,$C$9:H1444,4,FALSE),"")</f>
        <v/>
      </c>
      <c r="G1445" s="61" t="str">
        <f>IFERROR(VLOOKUP(C1445,$C$9:G1444,5,FALSE),"")</f>
        <v/>
      </c>
      <c r="H1445" s="61" t="str">
        <f>IFERROR(VLOOKUP(C1445,$C$9:H1444,6,FALSE),"")</f>
        <v/>
      </c>
      <c r="N1445" s="46" t="e">
        <f t="shared" si="68"/>
        <v>#DIV/0!</v>
      </c>
      <c r="O1445" s="46" t="str">
        <f t="shared" si="69"/>
        <v/>
      </c>
      <c r="P1445" s="46">
        <f t="shared" si="70"/>
        <v>1</v>
      </c>
    </row>
    <row r="1446" spans="1:16" ht="14.25">
      <c r="A1446" s="80"/>
      <c r="B1446" s="80"/>
      <c r="C1446" s="80"/>
      <c r="D1446" s="80"/>
      <c r="E1446" s="76" t="str">
        <f>IFERROR(VLOOKUP(C1446,$C$9:E1445,3,0),"")</f>
        <v/>
      </c>
      <c r="F1446" s="57" t="str">
        <f>IFERROR(VLOOKUP(C1446,$C$9:H1445,4,FALSE),"")</f>
        <v/>
      </c>
      <c r="G1446" s="61" t="str">
        <f>IFERROR(VLOOKUP(C1446,$C$9:G1445,5,FALSE),"")</f>
        <v/>
      </c>
      <c r="H1446" s="61" t="str">
        <f>IFERROR(VLOOKUP(C1446,$C$9:H1445,6,FALSE),"")</f>
        <v/>
      </c>
      <c r="N1446" s="46" t="e">
        <f t="shared" si="68"/>
        <v>#DIV/0!</v>
      </c>
      <c r="O1446" s="46" t="str">
        <f t="shared" si="69"/>
        <v/>
      </c>
      <c r="P1446" s="46">
        <f t="shared" si="70"/>
        <v>1</v>
      </c>
    </row>
    <row r="1447" spans="1:16" ht="14.25">
      <c r="A1447" s="80"/>
      <c r="B1447" s="80"/>
      <c r="C1447" s="80"/>
      <c r="D1447" s="80"/>
      <c r="E1447" s="76" t="str">
        <f>IFERROR(VLOOKUP(C1447,$C$9:E1446,3,0),"")</f>
        <v/>
      </c>
      <c r="F1447" s="57" t="str">
        <f>IFERROR(VLOOKUP(C1447,$C$9:H1446,4,FALSE),"")</f>
        <v/>
      </c>
      <c r="G1447" s="61" t="str">
        <f>IFERROR(VLOOKUP(C1447,$C$9:G1446,5,FALSE),"")</f>
        <v/>
      </c>
      <c r="H1447" s="61" t="str">
        <f>IFERROR(VLOOKUP(C1447,$C$9:H1446,6,FALSE),"")</f>
        <v/>
      </c>
      <c r="N1447" s="46" t="e">
        <f t="shared" si="68"/>
        <v>#DIV/0!</v>
      </c>
      <c r="O1447" s="46" t="str">
        <f t="shared" si="69"/>
        <v/>
      </c>
      <c r="P1447" s="46">
        <f t="shared" si="70"/>
        <v>1</v>
      </c>
    </row>
    <row r="1448" spans="1:16" ht="14.25">
      <c r="A1448" s="80"/>
      <c r="B1448" s="80"/>
      <c r="C1448" s="80"/>
      <c r="D1448" s="80"/>
      <c r="E1448" s="76" t="str">
        <f>IFERROR(VLOOKUP(C1448,$C$9:E1447,3,0),"")</f>
        <v/>
      </c>
      <c r="F1448" s="57" t="str">
        <f>IFERROR(VLOOKUP(C1448,$C$9:H1447,4,FALSE),"")</f>
        <v/>
      </c>
      <c r="G1448" s="61" t="str">
        <f>IFERROR(VLOOKUP(C1448,$C$9:G1447,5,FALSE),"")</f>
        <v/>
      </c>
      <c r="H1448" s="61" t="str">
        <f>IFERROR(VLOOKUP(C1448,$C$9:H1447,6,FALSE),"")</f>
        <v/>
      </c>
      <c r="N1448" s="46" t="e">
        <f t="shared" si="68"/>
        <v>#DIV/0!</v>
      </c>
      <c r="O1448" s="46" t="str">
        <f t="shared" si="69"/>
        <v/>
      </c>
      <c r="P1448" s="46">
        <f t="shared" si="70"/>
        <v>1</v>
      </c>
    </row>
    <row r="1449" spans="1:16" ht="14.25">
      <c r="A1449" s="80"/>
      <c r="B1449" s="80"/>
      <c r="C1449" s="80"/>
      <c r="D1449" s="80"/>
      <c r="E1449" s="76" t="str">
        <f>IFERROR(VLOOKUP(C1449,$C$9:E1448,3,0),"")</f>
        <v/>
      </c>
      <c r="F1449" s="57" t="str">
        <f>IFERROR(VLOOKUP(C1449,$C$9:H1448,4,FALSE),"")</f>
        <v/>
      </c>
      <c r="G1449" s="61" t="str">
        <f>IFERROR(VLOOKUP(C1449,$C$9:G1448,5,FALSE),"")</f>
        <v/>
      </c>
      <c r="H1449" s="61" t="str">
        <f>IFERROR(VLOOKUP(C1449,$C$9:H1448,6,FALSE),"")</f>
        <v/>
      </c>
      <c r="N1449" s="46" t="e">
        <f t="shared" si="68"/>
        <v>#DIV/0!</v>
      </c>
      <c r="O1449" s="46" t="str">
        <f t="shared" si="69"/>
        <v/>
      </c>
      <c r="P1449" s="46">
        <f t="shared" si="70"/>
        <v>1</v>
      </c>
    </row>
    <row r="1450" spans="1:16" ht="14.25">
      <c r="A1450" s="80"/>
      <c r="B1450" s="80"/>
      <c r="C1450" s="80"/>
      <c r="D1450" s="80"/>
      <c r="E1450" s="76" t="str">
        <f>IFERROR(VLOOKUP(C1450,$C$9:E1449,3,0),"")</f>
        <v/>
      </c>
      <c r="F1450" s="57" t="str">
        <f>IFERROR(VLOOKUP(C1450,$C$9:H1449,4,FALSE),"")</f>
        <v/>
      </c>
      <c r="G1450" s="61" t="str">
        <f>IFERROR(VLOOKUP(C1450,$C$9:G1449,5,FALSE),"")</f>
        <v/>
      </c>
      <c r="H1450" s="61" t="str">
        <f>IFERROR(VLOOKUP(C1450,$C$9:H1449,6,FALSE),"")</f>
        <v/>
      </c>
      <c r="N1450" s="46" t="e">
        <f t="shared" si="68"/>
        <v>#DIV/0!</v>
      </c>
      <c r="O1450" s="46" t="str">
        <f t="shared" si="69"/>
        <v/>
      </c>
      <c r="P1450" s="46">
        <f t="shared" si="70"/>
        <v>1</v>
      </c>
    </row>
    <row r="1451" spans="1:16" ht="14.25">
      <c r="A1451" s="80"/>
      <c r="B1451" s="80"/>
      <c r="C1451" s="80"/>
      <c r="D1451" s="80"/>
      <c r="E1451" s="76" t="str">
        <f>IFERROR(VLOOKUP(C1451,$C$9:E1450,3,0),"")</f>
        <v/>
      </c>
      <c r="F1451" s="57" t="str">
        <f>IFERROR(VLOOKUP(C1451,$C$9:H1450,4,FALSE),"")</f>
        <v/>
      </c>
      <c r="G1451" s="61" t="str">
        <f>IFERROR(VLOOKUP(C1451,$C$9:G1450,5,FALSE),"")</f>
        <v/>
      </c>
      <c r="H1451" s="61" t="str">
        <f>IFERROR(VLOOKUP(C1451,$C$9:H1450,6,FALSE),"")</f>
        <v/>
      </c>
      <c r="N1451" s="46" t="e">
        <f t="shared" si="68"/>
        <v>#DIV/0!</v>
      </c>
      <c r="O1451" s="46" t="str">
        <f t="shared" si="69"/>
        <v/>
      </c>
      <c r="P1451" s="46">
        <f t="shared" si="70"/>
        <v>1</v>
      </c>
    </row>
    <row r="1452" spans="1:16" ht="14.25">
      <c r="A1452" s="80"/>
      <c r="B1452" s="80"/>
      <c r="C1452" s="80"/>
      <c r="D1452" s="80"/>
      <c r="E1452" s="76" t="str">
        <f>IFERROR(VLOOKUP(C1452,$C$9:E1451,3,0),"")</f>
        <v/>
      </c>
      <c r="F1452" s="57" t="str">
        <f>IFERROR(VLOOKUP(C1452,$C$9:H1451,4,FALSE),"")</f>
        <v/>
      </c>
      <c r="G1452" s="61" t="str">
        <f>IFERROR(VLOOKUP(C1452,$C$9:G1451,5,FALSE),"")</f>
        <v/>
      </c>
      <c r="H1452" s="61" t="str">
        <f>IFERROR(VLOOKUP(C1452,$C$9:H1451,6,FALSE),"")</f>
        <v/>
      </c>
      <c r="N1452" s="46" t="e">
        <f t="shared" si="68"/>
        <v>#DIV/0!</v>
      </c>
      <c r="O1452" s="46" t="str">
        <f t="shared" si="69"/>
        <v/>
      </c>
      <c r="P1452" s="46">
        <f t="shared" si="70"/>
        <v>1</v>
      </c>
    </row>
    <row r="1453" spans="1:16" ht="14.25">
      <c r="A1453" s="80"/>
      <c r="B1453" s="80"/>
      <c r="C1453" s="80"/>
      <c r="D1453" s="80"/>
      <c r="E1453" s="76" t="str">
        <f>IFERROR(VLOOKUP(C1453,$C$9:E1452,3,0),"")</f>
        <v/>
      </c>
      <c r="F1453" s="57" t="str">
        <f>IFERROR(VLOOKUP(C1453,$C$9:H1452,4,FALSE),"")</f>
        <v/>
      </c>
      <c r="G1453" s="61" t="str">
        <f>IFERROR(VLOOKUP(C1453,$C$9:G1452,5,FALSE),"")</f>
        <v/>
      </c>
      <c r="H1453" s="61" t="str">
        <f>IFERROR(VLOOKUP(C1453,$C$9:H1452,6,FALSE),"")</f>
        <v/>
      </c>
      <c r="N1453" s="46" t="e">
        <f t="shared" si="68"/>
        <v>#DIV/0!</v>
      </c>
      <c r="O1453" s="46" t="str">
        <f t="shared" si="69"/>
        <v/>
      </c>
      <c r="P1453" s="46">
        <f t="shared" si="70"/>
        <v>1</v>
      </c>
    </row>
    <row r="1454" spans="1:16" ht="14.25">
      <c r="A1454" s="80"/>
      <c r="B1454" s="80"/>
      <c r="C1454" s="80"/>
      <c r="D1454" s="80"/>
      <c r="E1454" s="76" t="str">
        <f>IFERROR(VLOOKUP(C1454,$C$9:E1453,3,0),"")</f>
        <v/>
      </c>
      <c r="F1454" s="57" t="str">
        <f>IFERROR(VLOOKUP(C1454,$C$9:H1453,4,FALSE),"")</f>
        <v/>
      </c>
      <c r="G1454" s="61" t="str">
        <f>IFERROR(VLOOKUP(C1454,$C$9:G1453,5,FALSE),"")</f>
        <v/>
      </c>
      <c r="H1454" s="61" t="str">
        <f>IFERROR(VLOOKUP(C1454,$C$9:H1453,6,FALSE),"")</f>
        <v/>
      </c>
      <c r="N1454" s="46" t="e">
        <f t="shared" si="68"/>
        <v>#DIV/0!</v>
      </c>
      <c r="O1454" s="46" t="str">
        <f t="shared" si="69"/>
        <v/>
      </c>
      <c r="P1454" s="46">
        <f t="shared" si="70"/>
        <v>1</v>
      </c>
    </row>
    <row r="1455" spans="1:16" ht="14.25">
      <c r="A1455" s="80"/>
      <c r="B1455" s="80"/>
      <c r="C1455" s="80"/>
      <c r="D1455" s="80"/>
      <c r="E1455" s="76" t="str">
        <f>IFERROR(VLOOKUP(C1455,$C$9:E1454,3,0),"")</f>
        <v/>
      </c>
      <c r="F1455" s="57" t="str">
        <f>IFERROR(VLOOKUP(C1455,$C$9:H1454,4,FALSE),"")</f>
        <v/>
      </c>
      <c r="G1455" s="61" t="str">
        <f>IFERROR(VLOOKUP(C1455,$C$9:G1454,5,FALSE),"")</f>
        <v/>
      </c>
      <c r="H1455" s="61" t="str">
        <f>IFERROR(VLOOKUP(C1455,$C$9:H1454,6,FALSE),"")</f>
        <v/>
      </c>
      <c r="N1455" s="46" t="e">
        <f t="shared" si="68"/>
        <v>#DIV/0!</v>
      </c>
      <c r="O1455" s="46" t="str">
        <f t="shared" si="69"/>
        <v/>
      </c>
      <c r="P1455" s="46">
        <f t="shared" si="70"/>
        <v>1</v>
      </c>
    </row>
    <row r="1456" spans="1:16" ht="14.25">
      <c r="A1456" s="80"/>
      <c r="B1456" s="80"/>
      <c r="C1456" s="80"/>
      <c r="D1456" s="80"/>
      <c r="E1456" s="76" t="str">
        <f>IFERROR(VLOOKUP(C1456,$C$9:E1455,3,0),"")</f>
        <v/>
      </c>
      <c r="F1456" s="57" t="str">
        <f>IFERROR(VLOOKUP(C1456,$C$9:H1455,4,FALSE),"")</f>
        <v/>
      </c>
      <c r="G1456" s="61" t="str">
        <f>IFERROR(VLOOKUP(C1456,$C$9:G1455,5,FALSE),"")</f>
        <v/>
      </c>
      <c r="H1456" s="61" t="str">
        <f>IFERROR(VLOOKUP(C1456,$C$9:H1455,6,FALSE),"")</f>
        <v/>
      </c>
      <c r="N1456" s="46" t="e">
        <f t="shared" si="68"/>
        <v>#DIV/0!</v>
      </c>
      <c r="O1456" s="46" t="str">
        <f t="shared" si="69"/>
        <v/>
      </c>
      <c r="P1456" s="46">
        <f t="shared" si="70"/>
        <v>1</v>
      </c>
    </row>
    <row r="1457" spans="1:16" ht="14.25">
      <c r="A1457" s="80"/>
      <c r="B1457" s="80"/>
      <c r="C1457" s="80"/>
      <c r="D1457" s="80"/>
      <c r="E1457" s="76" t="str">
        <f>IFERROR(VLOOKUP(C1457,$C$9:E1456,3,0),"")</f>
        <v/>
      </c>
      <c r="F1457" s="57" t="str">
        <f>IFERROR(VLOOKUP(C1457,$C$9:H1456,4,FALSE),"")</f>
        <v/>
      </c>
      <c r="G1457" s="61" t="str">
        <f>IFERROR(VLOOKUP(C1457,$C$9:G1456,5,FALSE),"")</f>
        <v/>
      </c>
      <c r="H1457" s="61" t="str">
        <f>IFERROR(VLOOKUP(C1457,$C$9:H1456,6,FALSE),"")</f>
        <v/>
      </c>
      <c r="N1457" s="46" t="e">
        <f t="shared" si="68"/>
        <v>#DIV/0!</v>
      </c>
      <c r="O1457" s="46" t="str">
        <f t="shared" si="69"/>
        <v/>
      </c>
      <c r="P1457" s="46">
        <f t="shared" si="70"/>
        <v>1</v>
      </c>
    </row>
    <row r="1458" spans="1:16" ht="14.25">
      <c r="A1458" s="80"/>
      <c r="B1458" s="80"/>
      <c r="C1458" s="80"/>
      <c r="D1458" s="80"/>
      <c r="E1458" s="76" t="str">
        <f>IFERROR(VLOOKUP(C1458,$C$9:E1457,3,0),"")</f>
        <v/>
      </c>
      <c r="F1458" s="57" t="str">
        <f>IFERROR(VLOOKUP(C1458,$C$9:H1457,4,FALSE),"")</f>
        <v/>
      </c>
      <c r="G1458" s="61" t="str">
        <f>IFERROR(VLOOKUP(C1458,$C$9:G1457,5,FALSE),"")</f>
        <v/>
      </c>
      <c r="H1458" s="61" t="str">
        <f>IFERROR(VLOOKUP(C1458,$C$9:H1457,6,FALSE),"")</f>
        <v/>
      </c>
      <c r="N1458" s="46" t="e">
        <f t="shared" si="68"/>
        <v>#DIV/0!</v>
      </c>
      <c r="O1458" s="46" t="str">
        <f t="shared" si="69"/>
        <v/>
      </c>
      <c r="P1458" s="46">
        <f t="shared" si="70"/>
        <v>1</v>
      </c>
    </row>
    <row r="1459" spans="1:16" ht="14.25">
      <c r="A1459" s="80"/>
      <c r="B1459" s="80"/>
      <c r="C1459" s="80"/>
      <c r="D1459" s="80"/>
      <c r="E1459" s="76" t="str">
        <f>IFERROR(VLOOKUP(C1459,$C$9:E1458,3,0),"")</f>
        <v/>
      </c>
      <c r="F1459" s="57" t="str">
        <f>IFERROR(VLOOKUP(C1459,$C$9:H1458,4,FALSE),"")</f>
        <v/>
      </c>
      <c r="G1459" s="61" t="str">
        <f>IFERROR(VLOOKUP(C1459,$C$9:G1458,5,FALSE),"")</f>
        <v/>
      </c>
      <c r="H1459" s="61" t="str">
        <f>IFERROR(VLOOKUP(C1459,$C$9:H1458,6,FALSE),"")</f>
        <v/>
      </c>
      <c r="N1459" s="46" t="e">
        <f t="shared" si="68"/>
        <v>#DIV/0!</v>
      </c>
      <c r="O1459" s="46" t="str">
        <f t="shared" si="69"/>
        <v/>
      </c>
      <c r="P1459" s="46">
        <f t="shared" si="70"/>
        <v>1</v>
      </c>
    </row>
    <row r="1460" spans="1:16" ht="14.25">
      <c r="A1460" s="80"/>
      <c r="B1460" s="80"/>
      <c r="C1460" s="80"/>
      <c r="D1460" s="80"/>
      <c r="E1460" s="76" t="str">
        <f>IFERROR(VLOOKUP(C1460,$C$9:E1459,3,0),"")</f>
        <v/>
      </c>
      <c r="F1460" s="57" t="str">
        <f>IFERROR(VLOOKUP(C1460,$C$9:H1459,4,FALSE),"")</f>
        <v/>
      </c>
      <c r="G1460" s="61" t="str">
        <f>IFERROR(VLOOKUP(C1460,$C$9:G1459,5,FALSE),"")</f>
        <v/>
      </c>
      <c r="H1460" s="61" t="str">
        <f>IFERROR(VLOOKUP(C1460,$C$9:H1459,6,FALSE),"")</f>
        <v/>
      </c>
      <c r="N1460" s="46" t="e">
        <f t="shared" si="68"/>
        <v>#DIV/0!</v>
      </c>
      <c r="O1460" s="46" t="str">
        <f t="shared" si="69"/>
        <v/>
      </c>
      <c r="P1460" s="46">
        <f t="shared" si="70"/>
        <v>1</v>
      </c>
    </row>
    <row r="1461" spans="1:16" ht="14.25">
      <c r="A1461" s="80"/>
      <c r="B1461" s="80"/>
      <c r="C1461" s="80"/>
      <c r="D1461" s="80"/>
      <c r="E1461" s="76" t="str">
        <f>IFERROR(VLOOKUP(C1461,$C$9:E1460,3,0),"")</f>
        <v/>
      </c>
      <c r="F1461" s="57" t="str">
        <f>IFERROR(VLOOKUP(C1461,$C$9:H1460,4,FALSE),"")</f>
        <v/>
      </c>
      <c r="G1461" s="61" t="str">
        <f>IFERROR(VLOOKUP(C1461,$C$9:G1460,5,FALSE),"")</f>
        <v/>
      </c>
      <c r="H1461" s="61" t="str">
        <f>IFERROR(VLOOKUP(C1461,$C$9:H1460,6,FALSE),"")</f>
        <v/>
      </c>
      <c r="N1461" s="46" t="e">
        <f t="shared" si="68"/>
        <v>#DIV/0!</v>
      </c>
      <c r="O1461" s="46" t="str">
        <f t="shared" si="69"/>
        <v/>
      </c>
      <c r="P1461" s="46">
        <f t="shared" si="70"/>
        <v>1</v>
      </c>
    </row>
    <row r="1462" spans="1:16" ht="14.25">
      <c r="A1462" s="80"/>
      <c r="B1462" s="80"/>
      <c r="C1462" s="80"/>
      <c r="D1462" s="80"/>
      <c r="E1462" s="76" t="str">
        <f>IFERROR(VLOOKUP(C1462,$C$9:E1461,3,0),"")</f>
        <v/>
      </c>
      <c r="F1462" s="57" t="str">
        <f>IFERROR(VLOOKUP(C1462,$C$9:H1461,4,FALSE),"")</f>
        <v/>
      </c>
      <c r="G1462" s="61" t="str">
        <f>IFERROR(VLOOKUP(C1462,$C$9:G1461,5,FALSE),"")</f>
        <v/>
      </c>
      <c r="H1462" s="61" t="str">
        <f>IFERROR(VLOOKUP(C1462,$C$9:H1461,6,FALSE),"")</f>
        <v/>
      </c>
      <c r="N1462" s="46" t="e">
        <f t="shared" si="68"/>
        <v>#DIV/0!</v>
      </c>
      <c r="O1462" s="46" t="str">
        <f t="shared" si="69"/>
        <v/>
      </c>
      <c r="P1462" s="46">
        <f t="shared" si="70"/>
        <v>1</v>
      </c>
    </row>
    <row r="1463" spans="1:16" ht="14.25">
      <c r="A1463" s="80"/>
      <c r="B1463" s="80"/>
      <c r="C1463" s="80"/>
      <c r="D1463" s="80"/>
      <c r="E1463" s="76" t="str">
        <f>IFERROR(VLOOKUP(C1463,$C$9:E1462,3,0),"")</f>
        <v/>
      </c>
      <c r="F1463" s="57" t="str">
        <f>IFERROR(VLOOKUP(C1463,$C$9:H1462,4,FALSE),"")</f>
        <v/>
      </c>
      <c r="G1463" s="61" t="str">
        <f>IFERROR(VLOOKUP(C1463,$C$9:G1462,5,FALSE),"")</f>
        <v/>
      </c>
      <c r="H1463" s="61" t="str">
        <f>IFERROR(VLOOKUP(C1463,$C$9:H1462,6,FALSE),"")</f>
        <v/>
      </c>
      <c r="N1463" s="46" t="e">
        <f t="shared" si="68"/>
        <v>#DIV/0!</v>
      </c>
      <c r="O1463" s="46" t="str">
        <f t="shared" si="69"/>
        <v/>
      </c>
      <c r="P1463" s="46">
        <f t="shared" si="70"/>
        <v>1</v>
      </c>
    </row>
    <row r="1464" spans="1:16" ht="14.25">
      <c r="A1464" s="80"/>
      <c r="B1464" s="80"/>
      <c r="C1464" s="80"/>
      <c r="D1464" s="80"/>
      <c r="E1464" s="76" t="str">
        <f>IFERROR(VLOOKUP(C1464,$C$9:E1463,3,0),"")</f>
        <v/>
      </c>
      <c r="F1464" s="57" t="str">
        <f>IFERROR(VLOOKUP(C1464,$C$9:H1463,4,FALSE),"")</f>
        <v/>
      </c>
      <c r="G1464" s="61" t="str">
        <f>IFERROR(VLOOKUP(C1464,$C$9:G1463,5,FALSE),"")</f>
        <v/>
      </c>
      <c r="H1464" s="61" t="str">
        <f>IFERROR(VLOOKUP(C1464,$C$9:H1463,6,FALSE),"")</f>
        <v/>
      </c>
      <c r="N1464" s="46" t="e">
        <f t="shared" si="68"/>
        <v>#DIV/0!</v>
      </c>
      <c r="O1464" s="46" t="str">
        <f t="shared" si="69"/>
        <v/>
      </c>
      <c r="P1464" s="46">
        <f t="shared" si="70"/>
        <v>1</v>
      </c>
    </row>
    <row r="1465" spans="1:16" ht="14.25">
      <c r="A1465" s="80"/>
      <c r="B1465" s="80"/>
      <c r="C1465" s="80"/>
      <c r="D1465" s="80"/>
      <c r="E1465" s="76" t="str">
        <f>IFERROR(VLOOKUP(C1465,$C$9:E1464,3,0),"")</f>
        <v/>
      </c>
      <c r="F1465" s="57" t="str">
        <f>IFERROR(VLOOKUP(C1465,$C$9:H1464,4,FALSE),"")</f>
        <v/>
      </c>
      <c r="G1465" s="61" t="str">
        <f>IFERROR(VLOOKUP(C1465,$C$9:G1464,5,FALSE),"")</f>
        <v/>
      </c>
      <c r="H1465" s="61" t="str">
        <f>IFERROR(VLOOKUP(C1465,$C$9:H1464,6,FALSE),"")</f>
        <v/>
      </c>
      <c r="N1465" s="46" t="e">
        <f t="shared" si="68"/>
        <v>#DIV/0!</v>
      </c>
      <c r="O1465" s="46" t="str">
        <f t="shared" si="69"/>
        <v/>
      </c>
      <c r="P1465" s="46">
        <f t="shared" si="70"/>
        <v>1</v>
      </c>
    </row>
    <row r="1466" spans="1:16" ht="14.25">
      <c r="A1466" s="80"/>
      <c r="B1466" s="80"/>
      <c r="C1466" s="80"/>
      <c r="D1466" s="80"/>
      <c r="E1466" s="76" t="str">
        <f>IFERROR(VLOOKUP(C1466,$C$9:E1465,3,0),"")</f>
        <v/>
      </c>
      <c r="F1466" s="57" t="str">
        <f>IFERROR(VLOOKUP(C1466,$C$9:H1465,4,FALSE),"")</f>
        <v/>
      </c>
      <c r="G1466" s="61" t="str">
        <f>IFERROR(VLOOKUP(C1466,$C$9:G1465,5,FALSE),"")</f>
        <v/>
      </c>
      <c r="H1466" s="61" t="str">
        <f>IFERROR(VLOOKUP(C1466,$C$9:H1465,6,FALSE),"")</f>
        <v/>
      </c>
      <c r="N1466" s="46" t="e">
        <f t="shared" si="68"/>
        <v>#DIV/0!</v>
      </c>
      <c r="O1466" s="46" t="str">
        <f t="shared" si="69"/>
        <v/>
      </c>
      <c r="P1466" s="46">
        <f t="shared" si="70"/>
        <v>1</v>
      </c>
    </row>
    <row r="1467" spans="1:16" ht="14.25">
      <c r="A1467" s="80"/>
      <c r="B1467" s="80"/>
      <c r="C1467" s="80"/>
      <c r="D1467" s="80"/>
      <c r="E1467" s="76" t="str">
        <f>IFERROR(VLOOKUP(C1467,$C$9:E1466,3,0),"")</f>
        <v/>
      </c>
      <c r="F1467" s="57" t="str">
        <f>IFERROR(VLOOKUP(C1467,$C$9:H1466,4,FALSE),"")</f>
        <v/>
      </c>
      <c r="G1467" s="61" t="str">
        <f>IFERROR(VLOOKUP(C1467,$C$9:G1466,5,FALSE),"")</f>
        <v/>
      </c>
      <c r="H1467" s="61" t="str">
        <f>IFERROR(VLOOKUP(C1467,$C$9:H1466,6,FALSE),"")</f>
        <v/>
      </c>
      <c r="N1467" s="46" t="e">
        <f t="shared" si="68"/>
        <v>#DIV/0!</v>
      </c>
      <c r="O1467" s="46" t="str">
        <f t="shared" si="69"/>
        <v/>
      </c>
      <c r="P1467" s="46">
        <f t="shared" si="70"/>
        <v>1</v>
      </c>
    </row>
    <row r="1468" spans="1:16" ht="14.25">
      <c r="A1468" s="80"/>
      <c r="B1468" s="80"/>
      <c r="C1468" s="80"/>
      <c r="D1468" s="80"/>
      <c r="E1468" s="76" t="str">
        <f>IFERROR(VLOOKUP(C1468,$C$9:E1467,3,0),"")</f>
        <v/>
      </c>
      <c r="F1468" s="57" t="str">
        <f>IFERROR(VLOOKUP(C1468,$C$9:H1467,4,FALSE),"")</f>
        <v/>
      </c>
      <c r="G1468" s="61" t="str">
        <f>IFERROR(VLOOKUP(C1468,$C$9:G1467,5,FALSE),"")</f>
        <v/>
      </c>
      <c r="H1468" s="61" t="str">
        <f>IFERROR(VLOOKUP(C1468,$C$9:H1467,6,FALSE),"")</f>
        <v/>
      </c>
      <c r="N1468" s="46" t="e">
        <f t="shared" si="68"/>
        <v>#DIV/0!</v>
      </c>
      <c r="O1468" s="46" t="str">
        <f t="shared" si="69"/>
        <v/>
      </c>
      <c r="P1468" s="46">
        <f t="shared" si="70"/>
        <v>1</v>
      </c>
    </row>
    <row r="1469" spans="1:16" ht="14.25">
      <c r="A1469" s="80"/>
      <c r="B1469" s="80"/>
      <c r="C1469" s="80"/>
      <c r="D1469" s="80"/>
      <c r="E1469" s="76" t="str">
        <f>IFERROR(VLOOKUP(C1469,$C$9:E1468,3,0),"")</f>
        <v/>
      </c>
      <c r="F1469" s="57" t="str">
        <f>IFERROR(VLOOKUP(C1469,$C$9:H1468,4,FALSE),"")</f>
        <v/>
      </c>
      <c r="G1469" s="61" t="str">
        <f>IFERROR(VLOOKUP(C1469,$C$9:G1468,5,FALSE),"")</f>
        <v/>
      </c>
      <c r="H1469" s="61" t="str">
        <f>IFERROR(VLOOKUP(C1469,$C$9:H1468,6,FALSE),"")</f>
        <v/>
      </c>
      <c r="N1469" s="46" t="e">
        <f t="shared" si="68"/>
        <v>#DIV/0!</v>
      </c>
      <c r="O1469" s="46" t="str">
        <f t="shared" si="69"/>
        <v/>
      </c>
      <c r="P1469" s="46">
        <f t="shared" si="70"/>
        <v>1</v>
      </c>
    </row>
    <row r="1470" spans="1:16" ht="14.25">
      <c r="A1470" s="80"/>
      <c r="B1470" s="80"/>
      <c r="C1470" s="80"/>
      <c r="D1470" s="80"/>
      <c r="E1470" s="76" t="str">
        <f>IFERROR(VLOOKUP(C1470,$C$9:E1469,3,0),"")</f>
        <v/>
      </c>
      <c r="F1470" s="57" t="str">
        <f>IFERROR(VLOOKUP(C1470,$C$9:H1469,4,FALSE),"")</f>
        <v/>
      </c>
      <c r="G1470" s="61" t="str">
        <f>IFERROR(VLOOKUP(C1470,$C$9:G1469,5,FALSE),"")</f>
        <v/>
      </c>
      <c r="H1470" s="61" t="str">
        <f>IFERROR(VLOOKUP(C1470,$C$9:H1469,6,FALSE),"")</f>
        <v/>
      </c>
      <c r="N1470" s="46" t="e">
        <f t="shared" si="68"/>
        <v>#DIV/0!</v>
      </c>
      <c r="O1470" s="46" t="str">
        <f t="shared" si="69"/>
        <v/>
      </c>
      <c r="P1470" s="46">
        <f t="shared" si="70"/>
        <v>1</v>
      </c>
    </row>
    <row r="1471" spans="1:16" ht="14.25">
      <c r="A1471" s="80"/>
      <c r="B1471" s="80"/>
      <c r="C1471" s="80"/>
      <c r="D1471" s="80"/>
      <c r="E1471" s="76" t="str">
        <f>IFERROR(VLOOKUP(C1471,$C$9:E1470,3,0),"")</f>
        <v/>
      </c>
      <c r="F1471" s="57" t="str">
        <f>IFERROR(VLOOKUP(C1471,$C$9:H1470,4,FALSE),"")</f>
        <v/>
      </c>
      <c r="G1471" s="61" t="str">
        <f>IFERROR(VLOOKUP(C1471,$C$9:G1470,5,FALSE),"")</f>
        <v/>
      </c>
      <c r="H1471" s="61" t="str">
        <f>IFERROR(VLOOKUP(C1471,$C$9:H1470,6,FALSE),"")</f>
        <v/>
      </c>
      <c r="N1471" s="46" t="e">
        <f t="shared" si="68"/>
        <v>#DIV/0!</v>
      </c>
      <c r="O1471" s="46" t="str">
        <f t="shared" si="69"/>
        <v/>
      </c>
      <c r="P1471" s="46">
        <f t="shared" si="70"/>
        <v>1</v>
      </c>
    </row>
    <row r="1472" spans="1:16" ht="14.25">
      <c r="A1472" s="80"/>
      <c r="B1472" s="80"/>
      <c r="C1472" s="80"/>
      <c r="D1472" s="80"/>
      <c r="E1472" s="76" t="str">
        <f>IFERROR(VLOOKUP(C1472,$C$9:E1471,3,0),"")</f>
        <v/>
      </c>
      <c r="F1472" s="57" t="str">
        <f>IFERROR(VLOOKUP(C1472,$C$9:H1471,4,FALSE),"")</f>
        <v/>
      </c>
      <c r="G1472" s="61" t="str">
        <f>IFERROR(VLOOKUP(C1472,$C$9:G1471,5,FALSE),"")</f>
        <v/>
      </c>
      <c r="H1472" s="61" t="str">
        <f>IFERROR(VLOOKUP(C1472,$C$9:H1471,6,FALSE),"")</f>
        <v/>
      </c>
      <c r="N1472" s="46" t="e">
        <f t="shared" si="68"/>
        <v>#DIV/0!</v>
      </c>
      <c r="O1472" s="46" t="str">
        <f t="shared" si="69"/>
        <v/>
      </c>
      <c r="P1472" s="46">
        <f t="shared" si="70"/>
        <v>1</v>
      </c>
    </row>
    <row r="1473" spans="1:16" ht="14.25">
      <c r="A1473" s="80"/>
      <c r="B1473" s="80"/>
      <c r="C1473" s="80"/>
      <c r="D1473" s="80"/>
      <c r="E1473" s="76" t="str">
        <f>IFERROR(VLOOKUP(C1473,$C$9:E1472,3,0),"")</f>
        <v/>
      </c>
      <c r="F1473" s="57" t="str">
        <f>IFERROR(VLOOKUP(C1473,$C$9:H1472,4,FALSE),"")</f>
        <v/>
      </c>
      <c r="G1473" s="61" t="str">
        <f>IFERROR(VLOOKUP(C1473,$C$9:G1472,5,FALSE),"")</f>
        <v/>
      </c>
      <c r="H1473" s="61" t="str">
        <f>IFERROR(VLOOKUP(C1473,$C$9:H1472,6,FALSE),"")</f>
        <v/>
      </c>
      <c r="N1473" s="46" t="e">
        <f t="shared" si="68"/>
        <v>#DIV/0!</v>
      </c>
      <c r="O1473" s="46" t="str">
        <f t="shared" si="69"/>
        <v/>
      </c>
      <c r="P1473" s="46">
        <f t="shared" si="70"/>
        <v>1</v>
      </c>
    </row>
    <row r="1474" spans="1:16" ht="14.25">
      <c r="A1474" s="80"/>
      <c r="B1474" s="80"/>
      <c r="C1474" s="80"/>
      <c r="D1474" s="80"/>
      <c r="E1474" s="76" t="str">
        <f>IFERROR(VLOOKUP(C1474,$C$9:E1473,3,0),"")</f>
        <v/>
      </c>
      <c r="F1474" s="57" t="str">
        <f>IFERROR(VLOOKUP(C1474,$C$9:H1473,4,FALSE),"")</f>
        <v/>
      </c>
      <c r="G1474" s="61" t="str">
        <f>IFERROR(VLOOKUP(C1474,$C$9:G1473,5,FALSE),"")</f>
        <v/>
      </c>
      <c r="H1474" s="61" t="str">
        <f>IFERROR(VLOOKUP(C1474,$C$9:H1473,6,FALSE),"")</f>
        <v/>
      </c>
      <c r="N1474" s="46" t="e">
        <f t="shared" si="68"/>
        <v>#DIV/0!</v>
      </c>
      <c r="O1474" s="46" t="str">
        <f t="shared" si="69"/>
        <v/>
      </c>
      <c r="P1474" s="46">
        <f t="shared" si="70"/>
        <v>1</v>
      </c>
    </row>
    <row r="1475" spans="1:16" ht="14.25">
      <c r="A1475" s="80"/>
      <c r="B1475" s="80"/>
      <c r="C1475" s="80"/>
      <c r="D1475" s="80"/>
      <c r="E1475" s="76" t="str">
        <f>IFERROR(VLOOKUP(C1475,$C$9:E1474,3,0),"")</f>
        <v/>
      </c>
      <c r="F1475" s="57" t="str">
        <f>IFERROR(VLOOKUP(C1475,$C$9:H1474,4,FALSE),"")</f>
        <v/>
      </c>
      <c r="G1475" s="61" t="str">
        <f>IFERROR(VLOOKUP(C1475,$C$9:G1474,5,FALSE),"")</f>
        <v/>
      </c>
      <c r="H1475" s="61" t="str">
        <f>IFERROR(VLOOKUP(C1475,$C$9:H1474,6,FALSE),"")</f>
        <v/>
      </c>
      <c r="N1475" s="46" t="e">
        <f t="shared" si="68"/>
        <v>#DIV/0!</v>
      </c>
      <c r="O1475" s="46" t="str">
        <f t="shared" si="69"/>
        <v/>
      </c>
      <c r="P1475" s="46">
        <f t="shared" si="70"/>
        <v>1</v>
      </c>
    </row>
    <row r="1476" spans="1:16" ht="14.25">
      <c r="A1476" s="80"/>
      <c r="B1476" s="80"/>
      <c r="C1476" s="80"/>
      <c r="D1476" s="80"/>
      <c r="E1476" s="76" t="str">
        <f>IFERROR(VLOOKUP(C1476,$C$9:E1475,3,0),"")</f>
        <v/>
      </c>
      <c r="F1476" s="57" t="str">
        <f>IFERROR(VLOOKUP(C1476,$C$9:H1475,4,FALSE),"")</f>
        <v/>
      </c>
      <c r="G1476" s="61" t="str">
        <f>IFERROR(VLOOKUP(C1476,$C$9:G1475,5,FALSE),"")</f>
        <v/>
      </c>
      <c r="H1476" s="61" t="str">
        <f>IFERROR(VLOOKUP(C1476,$C$9:H1475,6,FALSE),"")</f>
        <v/>
      </c>
      <c r="N1476" s="46" t="e">
        <f t="shared" si="68"/>
        <v>#DIV/0!</v>
      </c>
      <c r="O1476" s="46" t="str">
        <f t="shared" si="69"/>
        <v/>
      </c>
      <c r="P1476" s="46">
        <f t="shared" si="70"/>
        <v>1</v>
      </c>
    </row>
    <row r="1477" spans="1:16" ht="14.25">
      <c r="A1477" s="80"/>
      <c r="B1477" s="80"/>
      <c r="C1477" s="80"/>
      <c r="D1477" s="80"/>
      <c r="E1477" s="76" t="str">
        <f>IFERROR(VLOOKUP(C1477,$C$9:E1476,3,0),"")</f>
        <v/>
      </c>
      <c r="F1477" s="57" t="str">
        <f>IFERROR(VLOOKUP(C1477,$C$9:H1476,4,FALSE),"")</f>
        <v/>
      </c>
      <c r="G1477" s="61" t="str">
        <f>IFERROR(VLOOKUP(C1477,$C$9:G1476,5,FALSE),"")</f>
        <v/>
      </c>
      <c r="H1477" s="61" t="str">
        <f>IFERROR(VLOOKUP(C1477,$C$9:H1476,6,FALSE),"")</f>
        <v/>
      </c>
      <c r="N1477" s="46" t="e">
        <f t="shared" si="68"/>
        <v>#DIV/0!</v>
      </c>
      <c r="O1477" s="46" t="str">
        <f t="shared" si="69"/>
        <v/>
      </c>
      <c r="P1477" s="46">
        <f t="shared" si="70"/>
        <v>1</v>
      </c>
    </row>
    <row r="1478" spans="1:16" ht="14.25">
      <c r="A1478" s="80"/>
      <c r="B1478" s="80"/>
      <c r="C1478" s="80"/>
      <c r="D1478" s="80"/>
      <c r="E1478" s="76" t="str">
        <f>IFERROR(VLOOKUP(C1478,$C$9:E1477,3,0),"")</f>
        <v/>
      </c>
      <c r="F1478" s="57" t="str">
        <f>IFERROR(VLOOKUP(C1478,$C$9:H1477,4,FALSE),"")</f>
        <v/>
      </c>
      <c r="G1478" s="61" t="str">
        <f>IFERROR(VLOOKUP(C1478,$C$9:G1477,5,FALSE),"")</f>
        <v/>
      </c>
      <c r="H1478" s="61" t="str">
        <f>IFERROR(VLOOKUP(C1478,$C$9:H1477,6,FALSE),"")</f>
        <v/>
      </c>
      <c r="N1478" s="46" t="e">
        <f t="shared" si="68"/>
        <v>#DIV/0!</v>
      </c>
      <c r="O1478" s="46" t="str">
        <f t="shared" si="69"/>
        <v/>
      </c>
      <c r="P1478" s="46">
        <f t="shared" si="70"/>
        <v>1</v>
      </c>
    </row>
    <row r="1479" spans="1:16" ht="14.25">
      <c r="A1479" s="80"/>
      <c r="B1479" s="80"/>
      <c r="C1479" s="80"/>
      <c r="D1479" s="80"/>
      <c r="E1479" s="76" t="str">
        <f>IFERROR(VLOOKUP(C1479,$C$9:E1478,3,0),"")</f>
        <v/>
      </c>
      <c r="F1479" s="57" t="str">
        <f>IFERROR(VLOOKUP(C1479,$C$9:H1478,4,FALSE),"")</f>
        <v/>
      </c>
      <c r="G1479" s="61" t="str">
        <f>IFERROR(VLOOKUP(C1479,$C$9:G1478,5,FALSE),"")</f>
        <v/>
      </c>
      <c r="H1479" s="61" t="str">
        <f>IFERROR(VLOOKUP(C1479,$C$9:H1478,6,FALSE),"")</f>
        <v/>
      </c>
      <c r="N1479" s="46" t="e">
        <f t="shared" si="68"/>
        <v>#DIV/0!</v>
      </c>
      <c r="O1479" s="46" t="str">
        <f t="shared" si="69"/>
        <v/>
      </c>
      <c r="P1479" s="46">
        <f t="shared" si="70"/>
        <v>1</v>
      </c>
    </row>
    <row r="1480" spans="1:16" ht="14.25">
      <c r="A1480" s="80"/>
      <c r="B1480" s="80"/>
      <c r="C1480" s="80"/>
      <c r="D1480" s="80"/>
      <c r="E1480" s="76" t="str">
        <f>IFERROR(VLOOKUP(C1480,$C$9:E1479,3,0),"")</f>
        <v/>
      </c>
      <c r="F1480" s="57" t="str">
        <f>IFERROR(VLOOKUP(C1480,$C$9:H1479,4,FALSE),"")</f>
        <v/>
      </c>
      <c r="G1480" s="61" t="str">
        <f>IFERROR(VLOOKUP(C1480,$C$9:G1479,5,FALSE),"")</f>
        <v/>
      </c>
      <c r="H1480" s="61" t="str">
        <f>IFERROR(VLOOKUP(C1480,$C$9:H1479,6,FALSE),"")</f>
        <v/>
      </c>
      <c r="N1480" s="46" t="e">
        <f t="shared" si="68"/>
        <v>#DIV/0!</v>
      </c>
      <c r="O1480" s="46" t="str">
        <f t="shared" si="69"/>
        <v/>
      </c>
      <c r="P1480" s="46">
        <f t="shared" si="70"/>
        <v>1</v>
      </c>
    </row>
    <row r="1481" spans="1:16" ht="14.25">
      <c r="A1481" s="80"/>
      <c r="B1481" s="80"/>
      <c r="C1481" s="80"/>
      <c r="D1481" s="80"/>
      <c r="E1481" s="76" t="str">
        <f>IFERROR(VLOOKUP(C1481,$C$9:E1480,3,0),"")</f>
        <v/>
      </c>
      <c r="F1481" s="57" t="str">
        <f>IFERROR(VLOOKUP(C1481,$C$9:H1480,4,FALSE),"")</f>
        <v/>
      </c>
      <c r="G1481" s="61" t="str">
        <f>IFERROR(VLOOKUP(C1481,$C$9:G1480,5,FALSE),"")</f>
        <v/>
      </c>
      <c r="H1481" s="61" t="str">
        <f>IFERROR(VLOOKUP(C1481,$C$9:H1480,6,FALSE),"")</f>
        <v/>
      </c>
      <c r="N1481" s="46" t="e">
        <f t="shared" si="68"/>
        <v>#DIV/0!</v>
      </c>
      <c r="O1481" s="46" t="str">
        <f t="shared" si="69"/>
        <v/>
      </c>
      <c r="P1481" s="46">
        <f t="shared" si="70"/>
        <v>1</v>
      </c>
    </row>
    <row r="1482" spans="1:16" ht="14.25">
      <c r="A1482" s="80"/>
      <c r="B1482" s="80"/>
      <c r="C1482" s="80"/>
      <c r="D1482" s="80"/>
      <c r="E1482" s="76" t="str">
        <f>IFERROR(VLOOKUP(C1482,$C$9:E1481,3,0),"")</f>
        <v/>
      </c>
      <c r="F1482" s="57" t="str">
        <f>IFERROR(VLOOKUP(C1482,$C$9:H1481,4,FALSE),"")</f>
        <v/>
      </c>
      <c r="G1482" s="61" t="str">
        <f>IFERROR(VLOOKUP(C1482,$C$9:G1481,5,FALSE),"")</f>
        <v/>
      </c>
      <c r="H1482" s="61" t="str">
        <f>IFERROR(VLOOKUP(C1482,$C$9:H1481,6,FALSE),"")</f>
        <v/>
      </c>
      <c r="N1482" s="46" t="e">
        <f t="shared" ref="N1482:N1499" si="71">IF(OR(F1482=$P$1,F1482="",F1482=0),D1482/$B$2,IF(OR(F1482=$P$2,F1482=$P$3,F1482=$P$4),D1482/(O1482*P1482),D1482/O1482))</f>
        <v>#DIV/0!</v>
      </c>
      <c r="O1482" s="46" t="str">
        <f t="shared" ref="O1482:O1499" si="72">IFERROR(VLOOKUP(F1482,$P$1:$Q$4,2,0),F1482)</f>
        <v/>
      </c>
      <c r="P1482" s="46">
        <f t="shared" si="70"/>
        <v>1</v>
      </c>
    </row>
    <row r="1483" spans="1:16" ht="14.25">
      <c r="A1483" s="80"/>
      <c r="B1483" s="80"/>
      <c r="C1483" s="80"/>
      <c r="D1483" s="80"/>
      <c r="E1483" s="76" t="str">
        <f>IFERROR(VLOOKUP(C1483,$C$9:E1482,3,0),"")</f>
        <v/>
      </c>
      <c r="F1483" s="57" t="str">
        <f>IFERROR(VLOOKUP(C1483,$C$9:H1482,4,FALSE),"")</f>
        <v/>
      </c>
      <c r="G1483" s="61" t="str">
        <f>IFERROR(VLOOKUP(C1483,$C$9:G1482,5,FALSE),"")</f>
        <v/>
      </c>
      <c r="H1483" s="61" t="str">
        <f>IFERROR(VLOOKUP(C1483,$C$9:H1482,6,FALSE),"")</f>
        <v/>
      </c>
      <c r="N1483" s="46" t="e">
        <f t="shared" si="71"/>
        <v>#DIV/0!</v>
      </c>
      <c r="O1483" s="46" t="str">
        <f t="shared" si="72"/>
        <v/>
      </c>
      <c r="P1483" s="46">
        <f t="shared" ref="P1483:P1499" si="73">IF(C1483="",1,COUNTIFS($C$9:$C$1499,C1483,$H$9:$H$1499,H1483))</f>
        <v>1</v>
      </c>
    </row>
    <row r="1484" spans="1:16" ht="14.25">
      <c r="A1484" s="80"/>
      <c r="B1484" s="80"/>
      <c r="C1484" s="80"/>
      <c r="D1484" s="80"/>
      <c r="E1484" s="76" t="str">
        <f>IFERROR(VLOOKUP(C1484,$C$9:E1483,3,0),"")</f>
        <v/>
      </c>
      <c r="F1484" s="57" t="str">
        <f>IFERROR(VLOOKUP(C1484,$C$9:H1483,4,FALSE),"")</f>
        <v/>
      </c>
      <c r="G1484" s="61" t="str">
        <f>IFERROR(VLOOKUP(C1484,$C$9:G1483,5,FALSE),"")</f>
        <v/>
      </c>
      <c r="H1484" s="61" t="str">
        <f>IFERROR(VLOOKUP(C1484,$C$9:H1483,6,FALSE),"")</f>
        <v/>
      </c>
      <c r="N1484" s="46" t="e">
        <f t="shared" si="71"/>
        <v>#DIV/0!</v>
      </c>
      <c r="O1484" s="46" t="str">
        <f t="shared" si="72"/>
        <v/>
      </c>
      <c r="P1484" s="46">
        <f t="shared" si="73"/>
        <v>1</v>
      </c>
    </row>
    <row r="1485" spans="1:16" ht="14.25">
      <c r="A1485" s="80"/>
      <c r="B1485" s="80"/>
      <c r="C1485" s="80"/>
      <c r="D1485" s="80"/>
      <c r="E1485" s="76" t="str">
        <f>IFERROR(VLOOKUP(C1485,$C$9:E1484,3,0),"")</f>
        <v/>
      </c>
      <c r="F1485" s="57" t="str">
        <f>IFERROR(VLOOKUP(C1485,$C$9:H1484,4,FALSE),"")</f>
        <v/>
      </c>
      <c r="G1485" s="61" t="str">
        <f>IFERROR(VLOOKUP(C1485,$C$9:G1484,5,FALSE),"")</f>
        <v/>
      </c>
      <c r="H1485" s="61" t="str">
        <f>IFERROR(VLOOKUP(C1485,$C$9:H1484,6,FALSE),"")</f>
        <v/>
      </c>
      <c r="N1485" s="46" t="e">
        <f t="shared" si="71"/>
        <v>#DIV/0!</v>
      </c>
      <c r="O1485" s="46" t="str">
        <f t="shared" si="72"/>
        <v/>
      </c>
      <c r="P1485" s="46">
        <f t="shared" si="73"/>
        <v>1</v>
      </c>
    </row>
    <row r="1486" spans="1:16" ht="14.25">
      <c r="A1486" s="80"/>
      <c r="B1486" s="80"/>
      <c r="C1486" s="80"/>
      <c r="D1486" s="80"/>
      <c r="E1486" s="76" t="str">
        <f>IFERROR(VLOOKUP(C1486,$C$9:E1485,3,0),"")</f>
        <v/>
      </c>
      <c r="F1486" s="57" t="str">
        <f>IFERROR(VLOOKUP(C1486,$C$9:H1485,4,FALSE),"")</f>
        <v/>
      </c>
      <c r="G1486" s="61" t="str">
        <f>IFERROR(VLOOKUP(C1486,$C$9:G1485,5,FALSE),"")</f>
        <v/>
      </c>
      <c r="H1486" s="61" t="str">
        <f>IFERROR(VLOOKUP(C1486,$C$9:H1485,6,FALSE),"")</f>
        <v/>
      </c>
      <c r="N1486" s="46" t="e">
        <f t="shared" si="71"/>
        <v>#DIV/0!</v>
      </c>
      <c r="O1486" s="46" t="str">
        <f t="shared" si="72"/>
        <v/>
      </c>
      <c r="P1486" s="46">
        <f t="shared" si="73"/>
        <v>1</v>
      </c>
    </row>
    <row r="1487" spans="1:16" ht="14.25">
      <c r="A1487" s="80"/>
      <c r="B1487" s="80"/>
      <c r="C1487" s="80"/>
      <c r="D1487" s="80"/>
      <c r="E1487" s="76" t="str">
        <f>IFERROR(VLOOKUP(C1487,$C$9:E1486,3,0),"")</f>
        <v/>
      </c>
      <c r="F1487" s="57" t="str">
        <f>IFERROR(VLOOKUP(C1487,$C$9:H1486,4,FALSE),"")</f>
        <v/>
      </c>
      <c r="G1487" s="61" t="str">
        <f>IFERROR(VLOOKUP(C1487,$C$9:G1486,5,FALSE),"")</f>
        <v/>
      </c>
      <c r="H1487" s="61" t="str">
        <f>IFERROR(VLOOKUP(C1487,$C$9:H1486,6,FALSE),"")</f>
        <v/>
      </c>
      <c r="N1487" s="46" t="e">
        <f t="shared" si="71"/>
        <v>#DIV/0!</v>
      </c>
      <c r="O1487" s="46" t="str">
        <f t="shared" si="72"/>
        <v/>
      </c>
      <c r="P1487" s="46">
        <f t="shared" si="73"/>
        <v>1</v>
      </c>
    </row>
    <row r="1488" spans="1:16" ht="14.25">
      <c r="A1488" s="80"/>
      <c r="B1488" s="80"/>
      <c r="C1488" s="80"/>
      <c r="D1488" s="80"/>
      <c r="E1488" s="76" t="str">
        <f>IFERROR(VLOOKUP(C1488,$C$9:E1487,3,0),"")</f>
        <v/>
      </c>
      <c r="F1488" s="57" t="str">
        <f>IFERROR(VLOOKUP(C1488,$C$9:H1487,4,FALSE),"")</f>
        <v/>
      </c>
      <c r="G1488" s="61" t="str">
        <f>IFERROR(VLOOKUP(C1488,$C$9:G1487,5,FALSE),"")</f>
        <v/>
      </c>
      <c r="H1488" s="61" t="str">
        <f>IFERROR(VLOOKUP(C1488,$C$9:H1487,6,FALSE),"")</f>
        <v/>
      </c>
      <c r="N1488" s="46" t="e">
        <f t="shared" si="71"/>
        <v>#DIV/0!</v>
      </c>
      <c r="O1488" s="46" t="str">
        <f t="shared" si="72"/>
        <v/>
      </c>
      <c r="P1488" s="46">
        <f t="shared" si="73"/>
        <v>1</v>
      </c>
    </row>
    <row r="1489" spans="1:16" ht="14.25">
      <c r="A1489" s="80"/>
      <c r="B1489" s="80"/>
      <c r="C1489" s="80"/>
      <c r="D1489" s="80"/>
      <c r="E1489" s="76" t="str">
        <f>IFERROR(VLOOKUP(C1489,$C$9:E1488,3,0),"")</f>
        <v/>
      </c>
      <c r="F1489" s="57" t="str">
        <f>IFERROR(VLOOKUP(C1489,$C$9:H1488,4,FALSE),"")</f>
        <v/>
      </c>
      <c r="G1489" s="61" t="str">
        <f>IFERROR(VLOOKUP(C1489,$C$9:G1488,5,FALSE),"")</f>
        <v/>
      </c>
      <c r="H1489" s="61" t="str">
        <f>IFERROR(VLOOKUP(C1489,$C$9:H1488,6,FALSE),"")</f>
        <v/>
      </c>
      <c r="N1489" s="46" t="e">
        <f t="shared" si="71"/>
        <v>#DIV/0!</v>
      </c>
      <c r="O1489" s="46" t="str">
        <f t="shared" si="72"/>
        <v/>
      </c>
      <c r="P1489" s="46">
        <f t="shared" si="73"/>
        <v>1</v>
      </c>
    </row>
    <row r="1490" spans="1:16" ht="14.25">
      <c r="A1490" s="80"/>
      <c r="B1490" s="80"/>
      <c r="C1490" s="80"/>
      <c r="D1490" s="80"/>
      <c r="E1490" s="76" t="str">
        <f>IFERROR(VLOOKUP(C1490,$C$9:E1489,3,0),"")</f>
        <v/>
      </c>
      <c r="F1490" s="57" t="str">
        <f>IFERROR(VLOOKUP(C1490,$C$9:H1489,4,FALSE),"")</f>
        <v/>
      </c>
      <c r="G1490" s="61" t="str">
        <f>IFERROR(VLOOKUP(C1490,$C$9:G1489,5,FALSE),"")</f>
        <v/>
      </c>
      <c r="H1490" s="61" t="str">
        <f>IFERROR(VLOOKUP(C1490,$C$9:H1489,6,FALSE),"")</f>
        <v/>
      </c>
      <c r="N1490" s="46" t="e">
        <f t="shared" si="71"/>
        <v>#DIV/0!</v>
      </c>
      <c r="O1490" s="46" t="str">
        <f t="shared" si="72"/>
        <v/>
      </c>
      <c r="P1490" s="46">
        <f t="shared" si="73"/>
        <v>1</v>
      </c>
    </row>
    <row r="1491" spans="1:16" ht="14.25">
      <c r="A1491" s="80"/>
      <c r="B1491" s="80"/>
      <c r="C1491" s="80"/>
      <c r="D1491" s="80"/>
      <c r="E1491" s="76" t="str">
        <f>IFERROR(VLOOKUP(C1491,$C$9:E1490,3,0),"")</f>
        <v/>
      </c>
      <c r="F1491" s="57" t="str">
        <f>IFERROR(VLOOKUP(C1491,$C$9:H1490,4,FALSE),"")</f>
        <v/>
      </c>
      <c r="G1491" s="61" t="str">
        <f>IFERROR(VLOOKUP(C1491,$C$9:G1490,5,FALSE),"")</f>
        <v/>
      </c>
      <c r="H1491" s="61" t="str">
        <f>IFERROR(VLOOKUP(C1491,$C$9:H1490,6,FALSE),"")</f>
        <v/>
      </c>
      <c r="N1491" s="46" t="e">
        <f t="shared" si="71"/>
        <v>#DIV/0!</v>
      </c>
      <c r="O1491" s="46" t="str">
        <f t="shared" si="72"/>
        <v/>
      </c>
      <c r="P1491" s="46">
        <f t="shared" si="73"/>
        <v>1</v>
      </c>
    </row>
    <row r="1492" spans="1:16" ht="14.25">
      <c r="A1492" s="80"/>
      <c r="B1492" s="80"/>
      <c r="C1492" s="80"/>
      <c r="D1492" s="80"/>
      <c r="E1492" s="76" t="str">
        <f>IFERROR(VLOOKUP(C1492,$C$9:E1491,3,0),"")</f>
        <v/>
      </c>
      <c r="F1492" s="57" t="str">
        <f>IFERROR(VLOOKUP(C1492,$C$9:H1491,4,FALSE),"")</f>
        <v/>
      </c>
      <c r="G1492" s="61" t="str">
        <f>IFERROR(VLOOKUP(C1492,$C$9:G1491,5,FALSE),"")</f>
        <v/>
      </c>
      <c r="H1492" s="61" t="str">
        <f>IFERROR(VLOOKUP(C1492,$C$9:H1491,6,FALSE),"")</f>
        <v/>
      </c>
      <c r="N1492" s="46" t="e">
        <f t="shared" si="71"/>
        <v>#DIV/0!</v>
      </c>
      <c r="O1492" s="46" t="str">
        <f t="shared" si="72"/>
        <v/>
      </c>
      <c r="P1492" s="46">
        <f t="shared" si="73"/>
        <v>1</v>
      </c>
    </row>
    <row r="1493" spans="1:16" ht="14.25">
      <c r="A1493" s="80"/>
      <c r="B1493" s="80"/>
      <c r="C1493" s="80"/>
      <c r="D1493" s="80"/>
      <c r="E1493" s="76" t="str">
        <f>IFERROR(VLOOKUP(C1493,$C$9:E1492,3,0),"")</f>
        <v/>
      </c>
      <c r="F1493" s="57" t="str">
        <f>IFERROR(VLOOKUP(C1493,$C$9:H1492,4,FALSE),"")</f>
        <v/>
      </c>
      <c r="G1493" s="61" t="str">
        <f>IFERROR(VLOOKUP(C1493,$C$9:G1492,5,FALSE),"")</f>
        <v/>
      </c>
      <c r="H1493" s="61" t="str">
        <f>IFERROR(VLOOKUP(C1493,$C$9:H1492,6,FALSE),"")</f>
        <v/>
      </c>
      <c r="N1493" s="46" t="e">
        <f t="shared" si="71"/>
        <v>#DIV/0!</v>
      </c>
      <c r="O1493" s="46" t="str">
        <f t="shared" si="72"/>
        <v/>
      </c>
      <c r="P1493" s="46">
        <f t="shared" si="73"/>
        <v>1</v>
      </c>
    </row>
    <row r="1494" spans="1:16" ht="14.25">
      <c r="A1494" s="80"/>
      <c r="B1494" s="80"/>
      <c r="C1494" s="80"/>
      <c r="D1494" s="80"/>
      <c r="E1494" s="76" t="str">
        <f>IFERROR(VLOOKUP(C1494,$C$9:E1493,3,0),"")</f>
        <v/>
      </c>
      <c r="F1494" s="57" t="str">
        <f>IFERROR(VLOOKUP(C1494,$C$9:H1493,4,FALSE),"")</f>
        <v/>
      </c>
      <c r="G1494" s="61" t="str">
        <f>IFERROR(VLOOKUP(C1494,$C$9:G1493,5,FALSE),"")</f>
        <v/>
      </c>
      <c r="H1494" s="61" t="str">
        <f>IFERROR(VLOOKUP(C1494,$C$9:H1493,6,FALSE),"")</f>
        <v/>
      </c>
      <c r="N1494" s="46" t="e">
        <f t="shared" si="71"/>
        <v>#DIV/0!</v>
      </c>
      <c r="O1494" s="46" t="str">
        <f t="shared" si="72"/>
        <v/>
      </c>
      <c r="P1494" s="46">
        <f t="shared" si="73"/>
        <v>1</v>
      </c>
    </row>
    <row r="1495" spans="1:16" ht="14.25">
      <c r="A1495" s="80"/>
      <c r="B1495" s="80"/>
      <c r="C1495" s="80"/>
      <c r="D1495" s="80"/>
      <c r="E1495" s="76" t="str">
        <f>IFERROR(VLOOKUP(C1495,$C$9:E1494,3,0),"")</f>
        <v/>
      </c>
      <c r="F1495" s="57" t="str">
        <f>IFERROR(VLOOKUP(C1495,$C$9:H1494,4,FALSE),"")</f>
        <v/>
      </c>
      <c r="G1495" s="61" t="str">
        <f>IFERROR(VLOOKUP(C1495,$C$9:G1494,5,FALSE),"")</f>
        <v/>
      </c>
      <c r="H1495" s="61" t="str">
        <f>IFERROR(VLOOKUP(C1495,$C$9:H1494,6,FALSE),"")</f>
        <v/>
      </c>
      <c r="N1495" s="46" t="e">
        <f t="shared" si="71"/>
        <v>#DIV/0!</v>
      </c>
      <c r="O1495" s="46" t="str">
        <f t="shared" si="72"/>
        <v/>
      </c>
      <c r="P1495" s="46">
        <f t="shared" si="73"/>
        <v>1</v>
      </c>
    </row>
    <row r="1496" spans="1:16" ht="14.25">
      <c r="A1496" s="80"/>
      <c r="B1496" s="80"/>
      <c r="C1496" s="80"/>
      <c r="D1496" s="80"/>
      <c r="E1496" s="76" t="str">
        <f>IFERROR(VLOOKUP(C1496,$C$9:E1495,3,0),"")</f>
        <v/>
      </c>
      <c r="F1496" s="57" t="str">
        <f>IFERROR(VLOOKUP(C1496,$C$9:H1495,4,FALSE),"")</f>
        <v/>
      </c>
      <c r="G1496" s="61" t="str">
        <f>IFERROR(VLOOKUP(C1496,$C$9:G1495,5,FALSE),"")</f>
        <v/>
      </c>
      <c r="H1496" s="61" t="str">
        <f>IFERROR(VLOOKUP(C1496,$C$9:H1495,6,FALSE),"")</f>
        <v/>
      </c>
      <c r="N1496" s="46" t="e">
        <f t="shared" si="71"/>
        <v>#DIV/0!</v>
      </c>
      <c r="O1496" s="46" t="str">
        <f t="shared" si="72"/>
        <v/>
      </c>
      <c r="P1496" s="46">
        <f t="shared" si="73"/>
        <v>1</v>
      </c>
    </row>
    <row r="1497" spans="1:16" ht="14.25">
      <c r="A1497" s="80"/>
      <c r="B1497" s="80"/>
      <c r="C1497" s="80"/>
      <c r="D1497" s="80"/>
      <c r="E1497" s="76" t="str">
        <f>IFERROR(VLOOKUP(C1497,$C$9:E1496,3,0),"")</f>
        <v/>
      </c>
      <c r="F1497" s="57" t="str">
        <f>IFERROR(VLOOKUP(C1497,$C$9:H1496,4,FALSE),"")</f>
        <v/>
      </c>
      <c r="G1497" s="61" t="str">
        <f>IFERROR(VLOOKUP(C1497,$C$9:G1496,5,FALSE),"")</f>
        <v/>
      </c>
      <c r="H1497" s="61" t="str">
        <f>IFERROR(VLOOKUP(C1497,$C$9:H1496,6,FALSE),"")</f>
        <v/>
      </c>
      <c r="N1497" s="46" t="e">
        <f t="shared" si="71"/>
        <v>#DIV/0!</v>
      </c>
      <c r="O1497" s="46" t="str">
        <f t="shared" si="72"/>
        <v/>
      </c>
      <c r="P1497" s="46">
        <f t="shared" si="73"/>
        <v>1</v>
      </c>
    </row>
    <row r="1498" spans="1:16" ht="14.25">
      <c r="A1498" s="80"/>
      <c r="B1498" s="80"/>
      <c r="C1498" s="80"/>
      <c r="D1498" s="80"/>
      <c r="E1498" s="76" t="str">
        <f>IFERROR(VLOOKUP(C1498,$C$9:E1497,3,0),"")</f>
        <v/>
      </c>
      <c r="F1498" s="57" t="str">
        <f>IFERROR(VLOOKUP(C1498,$C$9:H1497,4,FALSE),"")</f>
        <v/>
      </c>
      <c r="G1498" s="61" t="str">
        <f>IFERROR(VLOOKUP(C1498,$C$9:G1497,5,FALSE),"")</f>
        <v/>
      </c>
      <c r="H1498" s="61" t="str">
        <f>IFERROR(VLOOKUP(C1498,$C$9:H1497,6,FALSE),"")</f>
        <v/>
      </c>
      <c r="N1498" s="46" t="e">
        <f t="shared" si="71"/>
        <v>#DIV/0!</v>
      </c>
      <c r="O1498" s="46" t="str">
        <f t="shared" si="72"/>
        <v/>
      </c>
      <c r="P1498" s="46">
        <f t="shared" si="73"/>
        <v>1</v>
      </c>
    </row>
    <row r="1499" spans="1:16" ht="14.25">
      <c r="A1499" s="80"/>
      <c r="B1499" s="80"/>
      <c r="C1499" s="80"/>
      <c r="D1499" s="80"/>
      <c r="E1499" s="76" t="str">
        <f>IFERROR(VLOOKUP(C1499,$C$9:E1498,3,0),"")</f>
        <v/>
      </c>
      <c r="F1499" s="57" t="str">
        <f>IFERROR(VLOOKUP(C1499,$C$9:H1498,4,FALSE),"")</f>
        <v/>
      </c>
      <c r="G1499" s="61" t="str">
        <f>IFERROR(VLOOKUP(C1499,$C$9:G1498,5,FALSE),"")</f>
        <v/>
      </c>
      <c r="H1499" s="61" t="str">
        <f>IFERROR(VLOOKUP(C1499,$C$9:H1498,6,FALSE),"")</f>
        <v/>
      </c>
      <c r="N1499" s="46" t="e">
        <f t="shared" si="71"/>
        <v>#DIV/0!</v>
      </c>
      <c r="O1499" s="46" t="str">
        <f t="shared" si="72"/>
        <v/>
      </c>
      <c r="P1499" s="46">
        <f t="shared" si="73"/>
        <v>1</v>
      </c>
    </row>
  </sheetData>
  <sheetProtection algorithmName="SHA-512" hashValue="PQQBD4XHy/81NVmWk2q0mgcdYbl53yY+HpPxb0wg73TWI07cqslCl6ucMxkoCtDIYYBny7f5Yg5TX4GlLL1o7A==" saltValue="xaCb1RNp5XGy8E+aAYCMPA==" spinCount="100000" sheet="1" formatCells="0" formatColumns="0" formatRows="0" insertColumns="0" insertRows="0" sort="0" autoFilter="0"/>
  <autoFilter ref="A8:L8" xr:uid="{00000000-0009-0000-0000-000002000000}"/>
  <sortState xmlns:xlrd2="http://schemas.microsoft.com/office/spreadsheetml/2017/richdata2" ref="AD6:AN23">
    <sortCondition ref="AD6:AD23"/>
  </sortState>
  <dataConsolidate/>
  <mergeCells count="1">
    <mergeCell ref="AR5:AS5"/>
  </mergeCells>
  <conditionalFormatting sqref="G9:G1499">
    <cfRule type="expression" dxfId="19" priority="1">
      <formula>AND(C9&lt;&gt;"",OR(G9="",G9=0),OR(H9="",H9=0))</formula>
    </cfRule>
  </conditionalFormatting>
  <dataValidations xWindow="880" yWindow="393" count="716">
    <dataValidation type="list" allowBlank="1" showInputMessage="1" showErrorMessage="1" sqref="E9:E1499" xr:uid="{00000000-0002-0000-0200-000000000000}">
      <formula1>$O$4:$O$5</formula1>
    </dataValidation>
    <dataValidation type="list" errorStyle="warning" allowBlank="1" showInputMessage="1" showErrorMessage="1" errorTitle="הזנתם אפשרות שאינה מרשימת הבחירה" error="אם זהו מספר (עבור חלוקת הסכום ב-X), הכל בסדר. לחצו להמשיך. אחרת, לחצו 'ביטול' כדי לא לשבש את פעולת הקובץ." sqref="F9:F1499" xr:uid="{00000000-0002-0000-0200-000001000000}">
      <formula1>$P$1:$P$5</formula1>
    </dataValidation>
    <dataValidation type="whole" errorStyle="warning" allowBlank="1" showInputMessage="1" showErrorMessage="1" error="לזה התכוונתם?_x000a_בכל מקרה, חייב להיות מספר שלם!" sqref="B2" xr:uid="{00000000-0002-0000-0200-000002000000}">
      <formula1>1</formula1>
      <formula2>20</formula2>
    </dataValidation>
    <dataValidation type="list" allowBlank="1" showErrorMessage="1" promptTitle="שימו לב" prompt="הקלדה בתא זה מונעת את חישובו האוטומטי בהמשך." sqref="G15:G1499" xr:uid="{00000000-0002-0000-0200-000003000000}">
      <formula1>IF($E15=$O$5,IncMainList,ExpMainList)</formula1>
    </dataValidation>
    <dataValidation type="list" allowBlank="1" showInputMessage="1" showErrorMessage="1" promptTitle="שימו לב" prompt="אין חובה לסווג לסעיף ראשי._x000a_הסיווג בעמודה זו, מועיל רק כדי שהבחירה בעמודה הבאה (שם סעיף), תהיה מתוך רשימה מצומצמת יותר." sqref="G9:G14" xr:uid="{00000000-0002-0000-0200-000004000000}">
      <formula1>IF($E9=$O$5,IncMainList,ExpMainList)</formula1>
    </dataValidation>
    <dataValidation type="list" sqref="E9" allowBlank="true" errorStyle="stop" showDropDown="false">
      <formula1>"הוצאה,הכנסה"</formula1>
    </dataValidation>
    <dataValidation type="list" sqref="E10" allowBlank="true" errorStyle="stop" showDropDown="false">
      <formula1>"הוצאה,הכנסה"</formula1>
    </dataValidation>
    <dataValidation type="list" sqref="E11" allowBlank="true" errorStyle="stop" showDropDown="false">
      <formula1>"הוצאה,הכנסה"</formula1>
    </dataValidation>
    <dataValidation type="list" sqref="E12" allowBlank="true" errorStyle="stop" showDropDown="false">
      <formula1>"הוצאה,הכנסה"</formula1>
    </dataValidation>
    <dataValidation type="list" sqref="E13" allowBlank="true" errorStyle="stop" showDropDown="false">
      <formula1>"הוצאה,הכנסה"</formula1>
    </dataValidation>
    <dataValidation type="list" sqref="E14" allowBlank="true" errorStyle="stop" showDropDown="false">
      <formula1>"הוצאה,הכנסה"</formula1>
    </dataValidation>
    <dataValidation type="list" sqref="E15" allowBlank="true" errorStyle="stop" showDropDown="false">
      <formula1>"הוצאה,הכנסה"</formula1>
    </dataValidation>
    <dataValidation type="list" sqref="E16" allowBlank="true" errorStyle="stop" showDropDown="false">
      <formula1>"הוצאה,הכנסה"</formula1>
    </dataValidation>
    <dataValidation type="list" sqref="E17" allowBlank="true" errorStyle="stop" showDropDown="false">
      <formula1>"הוצאה,הכנסה"</formula1>
    </dataValidation>
    <dataValidation type="list" sqref="E18" allowBlank="true" errorStyle="stop" showDropDown="false">
      <formula1>"הוצאה,הכנסה"</formula1>
    </dataValidation>
    <dataValidation type="list" sqref="E19" allowBlank="true" errorStyle="stop" showDropDown="false">
      <formula1>"הוצאה,הכנסה"</formula1>
    </dataValidation>
    <dataValidation type="list" sqref="E20" allowBlank="true" errorStyle="stop" showDropDown="false">
      <formula1>"הוצאה,הכנסה"</formula1>
    </dataValidation>
    <dataValidation type="list" sqref="E21" allowBlank="true" errorStyle="stop" showDropDown="false">
      <formula1>"הוצאה,הכנסה"</formula1>
    </dataValidation>
    <dataValidation type="list" sqref="E22" allowBlank="true" errorStyle="stop" showDropDown="false">
      <formula1>"הוצאה,הכנסה"</formula1>
    </dataValidation>
    <dataValidation type="list" sqref="E23" allowBlank="true" errorStyle="stop" showDropDown="false">
      <formula1>"הוצאה,הכנסה"</formula1>
    </dataValidation>
    <dataValidation type="list" sqref="E24" allowBlank="true" errorStyle="stop" showDropDown="false">
      <formula1>"הוצאה,הכנסה"</formula1>
    </dataValidation>
    <dataValidation type="list" sqref="E25" allowBlank="true" errorStyle="stop" showDropDown="false">
      <formula1>"הוצאה,הכנסה"</formula1>
    </dataValidation>
    <dataValidation type="list" sqref="E26" allowBlank="true" errorStyle="stop" showDropDown="false">
      <formula1>"הוצאה,הכנסה"</formula1>
    </dataValidation>
    <dataValidation type="list" sqref="E27" allowBlank="true" errorStyle="stop" showDropDown="false">
      <formula1>"הוצאה,הכנסה"</formula1>
    </dataValidation>
    <dataValidation type="list" sqref="E28" allowBlank="true" errorStyle="stop" showDropDown="false">
      <formula1>"הוצאה,הכנסה"</formula1>
    </dataValidation>
    <dataValidation type="list" sqref="E29" allowBlank="true" errorStyle="stop" showDropDown="false">
      <formula1>"הוצאה,הכנסה"</formula1>
    </dataValidation>
    <dataValidation type="list" sqref="E30" allowBlank="true" errorStyle="stop" showDropDown="false">
      <formula1>"הוצאה,הכנסה"</formula1>
    </dataValidation>
    <dataValidation type="list" sqref="E31" allowBlank="true" errorStyle="stop" showDropDown="false">
      <formula1>"הוצאה,הכנסה"</formula1>
    </dataValidation>
    <dataValidation type="list" sqref="E32" allowBlank="true" errorStyle="stop" showDropDown="false">
      <formula1>"הוצאה,הכנסה"</formula1>
    </dataValidation>
    <dataValidation type="list" sqref="E33" allowBlank="true" errorStyle="stop" showDropDown="false">
      <formula1>"הוצאה,הכנסה"</formula1>
    </dataValidation>
    <dataValidation type="list" sqref="E34" allowBlank="true" errorStyle="stop" showDropDown="false">
      <formula1>"הוצאה,הכנסה"</formula1>
    </dataValidation>
    <dataValidation type="list" sqref="E35" allowBlank="true" errorStyle="stop" showDropDown="false">
      <formula1>"הוצאה,הכנסה"</formula1>
    </dataValidation>
    <dataValidation type="list" sqref="E36" allowBlank="true" errorStyle="stop" showDropDown="false">
      <formula1>"הוצאה,הכנסה"</formula1>
    </dataValidation>
    <dataValidation type="list" sqref="E37" allowBlank="true" errorStyle="stop" showDropDown="false">
      <formula1>"הוצאה,הכנסה"</formula1>
    </dataValidation>
    <dataValidation type="list" sqref="E38" allowBlank="true" errorStyle="stop" showDropDown="false">
      <formula1>"הוצאה,הכנסה"</formula1>
    </dataValidation>
    <dataValidation type="list" sqref="E39" allowBlank="true" errorStyle="stop" showDropDown="false">
      <formula1>"הוצאה,הכנסה"</formula1>
    </dataValidation>
    <dataValidation type="list" sqref="E40" allowBlank="true" errorStyle="stop" showDropDown="false">
      <formula1>"הוצאה,הכנסה"</formula1>
    </dataValidation>
    <dataValidation type="list" sqref="E41" allowBlank="true" errorStyle="stop" showDropDown="false">
      <formula1>"הוצאה,הכנסה"</formula1>
    </dataValidation>
    <dataValidation type="list" sqref="E42" allowBlank="true" errorStyle="stop" showDropDown="false">
      <formula1>"הוצאה,הכנסה"</formula1>
    </dataValidation>
    <dataValidation type="list" sqref="E43" allowBlank="true" errorStyle="stop" showDropDown="false">
      <formula1>"הוצאה,הכנסה"</formula1>
    </dataValidation>
    <dataValidation type="list" sqref="E44" allowBlank="true" errorStyle="stop" showDropDown="false">
      <formula1>"הוצאה,הכנסה"</formula1>
    </dataValidation>
    <dataValidation type="list" sqref="E45" allowBlank="true" errorStyle="stop" showDropDown="false">
      <formula1>"הוצאה,הכנסה"</formula1>
    </dataValidation>
    <dataValidation type="list" sqref="E46" allowBlank="true" errorStyle="stop" showDropDown="false">
      <formula1>"הוצאה,הכנסה"</formula1>
    </dataValidation>
    <dataValidation type="list" sqref="E47" allowBlank="true" errorStyle="stop" showDropDown="false">
      <formula1>"הוצאה,הכנסה"</formula1>
    </dataValidation>
    <dataValidation type="list" sqref="E48" allowBlank="true" errorStyle="stop" showDropDown="false">
      <formula1>"הוצאה,הכנסה"</formula1>
    </dataValidation>
    <dataValidation type="list" sqref="E49" allowBlank="true" errorStyle="stop" showDropDown="false">
      <formula1>"הוצאה,הכנסה"</formula1>
    </dataValidation>
    <dataValidation type="list" sqref="E50" allowBlank="true" errorStyle="stop" showDropDown="false">
      <formula1>"הוצאה,הכנסה"</formula1>
    </dataValidation>
    <dataValidation type="list" sqref="E51" allowBlank="true" errorStyle="stop" showDropDown="false">
      <formula1>"הוצאה,הכנסה"</formula1>
    </dataValidation>
    <dataValidation type="list" sqref="E52" allowBlank="true" errorStyle="stop" showDropDown="false">
      <formula1>"הוצאה,הכנסה"</formula1>
    </dataValidation>
    <dataValidation type="list" sqref="E53" allowBlank="true" errorStyle="stop" showDropDown="false">
      <formula1>"הוצאה,הכנסה"</formula1>
    </dataValidation>
    <dataValidation type="list" sqref="E54" allowBlank="true" errorStyle="stop" showDropDown="false">
      <formula1>"הוצאה,הכנסה"</formula1>
    </dataValidation>
    <dataValidation type="list" sqref="E55" allowBlank="true" errorStyle="stop" showDropDown="false">
      <formula1>"הוצאה,הכנסה"</formula1>
    </dataValidation>
    <dataValidation type="list" sqref="E56" allowBlank="true" errorStyle="stop" showDropDown="false">
      <formula1>"הוצאה,הכנסה"</formula1>
    </dataValidation>
    <dataValidation type="list" sqref="E57" allowBlank="true" errorStyle="stop" showDropDown="false">
      <formula1>"הוצאה,הכנסה"</formula1>
    </dataValidation>
    <dataValidation type="list" sqref="E58" allowBlank="true" errorStyle="stop" showDropDown="false">
      <formula1>"הוצאה,הכנסה"</formula1>
    </dataValidation>
    <dataValidation type="list" sqref="E59" allowBlank="true" errorStyle="stop" showDropDown="false">
      <formula1>"הוצאה,הכנסה"</formula1>
    </dataValidation>
    <dataValidation type="list" sqref="E60" allowBlank="true" errorStyle="stop" showDropDown="false">
      <formula1>"הוצאה,הכנסה"</formula1>
    </dataValidation>
    <dataValidation type="list" sqref="E61" allowBlank="true" errorStyle="stop" showDropDown="false">
      <formula1>"הוצאה,הכנסה"</formula1>
    </dataValidation>
    <dataValidation type="list" sqref="E62" allowBlank="true" errorStyle="stop" showDropDown="false">
      <formula1>"הוצאה,הכנסה"</formula1>
    </dataValidation>
    <dataValidation type="list" sqref="E63" allowBlank="true" errorStyle="stop" showDropDown="false">
      <formula1>"הוצאה,הכנסה"</formula1>
    </dataValidation>
    <dataValidation type="list" sqref="E64" allowBlank="true" errorStyle="stop" showDropDown="false">
      <formula1>"הוצאה,הכנסה"</formula1>
    </dataValidation>
    <dataValidation type="list" sqref="E65" allowBlank="true" errorStyle="stop" showDropDown="false">
      <formula1>"הוצאה,הכנסה"</formula1>
    </dataValidation>
    <dataValidation type="list" sqref="E66" allowBlank="true" errorStyle="stop" showDropDown="false">
      <formula1>"הוצאה,הכנסה"</formula1>
    </dataValidation>
    <dataValidation type="list" sqref="E67" allowBlank="true" errorStyle="stop" showDropDown="false">
      <formula1>"הוצאה,הכנסה"</formula1>
    </dataValidation>
    <dataValidation type="list" sqref="E68" allowBlank="true" errorStyle="stop" showDropDown="false">
      <formula1>"הוצאה,הכנסה"</formula1>
    </dataValidation>
    <dataValidation type="list" sqref="E69" allowBlank="true" errorStyle="stop" showDropDown="false">
      <formula1>"הוצאה,הכנסה"</formula1>
    </dataValidation>
    <dataValidation type="list" sqref="E70" allowBlank="true" errorStyle="stop" showDropDown="false">
      <formula1>"הוצאה,הכנסה"</formula1>
    </dataValidation>
    <dataValidation type="list" sqref="E71" allowBlank="true" errorStyle="stop" showDropDown="false">
      <formula1>"הוצאה,הכנסה"</formula1>
    </dataValidation>
    <dataValidation type="list" sqref="E72" allowBlank="true" errorStyle="stop" showDropDown="false">
      <formula1>"הוצאה,הכנסה"</formula1>
    </dataValidation>
    <dataValidation type="list" sqref="E73" allowBlank="true" errorStyle="stop" showDropDown="false">
      <formula1>"הוצאה,הכנסה"</formula1>
    </dataValidation>
    <dataValidation type="list" sqref="E74" allowBlank="true" errorStyle="stop" showDropDown="false">
      <formula1>"הוצאה,הכנסה"</formula1>
    </dataValidation>
    <dataValidation type="list" sqref="E75" allowBlank="true" errorStyle="stop" showDropDown="false">
      <formula1>"הוצאה,הכנסה"</formula1>
    </dataValidation>
    <dataValidation type="list" sqref="E76" allowBlank="true" errorStyle="stop" showDropDown="false">
      <formula1>"הוצאה,הכנסה"</formula1>
    </dataValidation>
    <dataValidation type="list" sqref="E77" allowBlank="true" errorStyle="stop" showDropDown="false">
      <formula1>"הוצאה,הכנסה"</formula1>
    </dataValidation>
    <dataValidation type="list" sqref="E78" allowBlank="true" errorStyle="stop" showDropDown="false">
      <formula1>"הוצאה,הכנסה"</formula1>
    </dataValidation>
    <dataValidation type="list" sqref="E79" allowBlank="true" errorStyle="stop" showDropDown="false">
      <formula1>"הוצאה,הכנסה"</formula1>
    </dataValidation>
    <dataValidation type="list" sqref="E80" allowBlank="true" errorStyle="stop" showDropDown="false">
      <formula1>"הוצאה,הכנסה"</formula1>
    </dataValidation>
    <dataValidation type="list" sqref="E81" allowBlank="true" errorStyle="stop" showDropDown="false">
      <formula1>"הוצאה,הכנסה"</formula1>
    </dataValidation>
    <dataValidation type="list" sqref="E82" allowBlank="true" errorStyle="stop" showDropDown="false">
      <formula1>"הוצאה,הכנסה"</formula1>
    </dataValidation>
    <dataValidation type="list" sqref="E83" allowBlank="true" errorStyle="stop" showDropDown="false">
      <formula1>"הוצאה,הכנסה"</formula1>
    </dataValidation>
    <dataValidation type="list" sqref="E84" allowBlank="true" errorStyle="stop" showDropDown="false">
      <formula1>"הוצאה,הכנסה"</formula1>
    </dataValidation>
    <dataValidation type="list" sqref="E85" allowBlank="true" errorStyle="stop" showDropDown="false">
      <formula1>"הוצאה,הכנסה"</formula1>
    </dataValidation>
    <dataValidation type="list" sqref="E86" allowBlank="true" errorStyle="stop" showDropDown="false">
      <formula1>"הוצאה,הכנסה"</formula1>
    </dataValidation>
    <dataValidation type="list" sqref="E87" allowBlank="true" errorStyle="stop" showDropDown="false">
      <formula1>"הוצאה,הכנסה"</formula1>
    </dataValidation>
    <dataValidation type="list" sqref="E88" allowBlank="true" errorStyle="stop" showDropDown="false">
      <formula1>"הוצאה,הכנסה"</formula1>
    </dataValidation>
    <dataValidation type="list" sqref="E89" allowBlank="true" errorStyle="stop" showDropDown="false">
      <formula1>"הוצאה,הכנסה"</formula1>
    </dataValidation>
    <dataValidation type="list" sqref="E90" allowBlank="true" errorStyle="stop" showDropDown="false">
      <formula1>"הוצאה,הכנסה"</formula1>
    </dataValidation>
    <dataValidation type="list" sqref="E91" allowBlank="true" errorStyle="stop" showDropDown="false">
      <formula1>"הוצאה,הכנסה"</formula1>
    </dataValidation>
    <dataValidation type="list" sqref="E92" allowBlank="true" errorStyle="stop" showDropDown="false">
      <formula1>"הוצאה,הכנסה"</formula1>
    </dataValidation>
    <dataValidation type="list" sqref="E93" allowBlank="true" errorStyle="stop" showDropDown="false">
      <formula1>"הוצאה,הכנסה"</formula1>
    </dataValidation>
    <dataValidation type="list" sqref="E94" allowBlank="true" errorStyle="stop" showDropDown="false">
      <formula1>"הוצאה,הכנסה"</formula1>
    </dataValidation>
    <dataValidation type="list" sqref="E95" allowBlank="true" errorStyle="stop" showDropDown="false">
      <formula1>"הוצאה,הכנסה"</formula1>
    </dataValidation>
    <dataValidation type="list" sqref="E96" allowBlank="true" errorStyle="stop" showDropDown="false">
      <formula1>"הוצאה,הכנסה"</formula1>
    </dataValidation>
    <dataValidation type="list" sqref="E97" allowBlank="true" errorStyle="stop" showDropDown="false">
      <formula1>"הוצאה,הכנסה"</formula1>
    </dataValidation>
    <dataValidation type="list" sqref="E98" allowBlank="true" errorStyle="stop" showDropDown="false">
      <formula1>"הוצאה,הכנסה"</formula1>
    </dataValidation>
    <dataValidation type="list" sqref="E99" allowBlank="true" errorStyle="stop" showDropDown="false">
      <formula1>"הוצאה,הכנסה"</formula1>
    </dataValidation>
    <dataValidation type="list" sqref="E100" allowBlank="true" errorStyle="stop" showDropDown="false">
      <formula1>"הוצאה,הכנסה"</formula1>
    </dataValidation>
    <dataValidation type="list" sqref="E101" allowBlank="true" errorStyle="stop" showDropDown="false">
      <formula1>"הוצאה,הכנסה"</formula1>
    </dataValidation>
    <dataValidation type="list" sqref="E102" allowBlank="true" errorStyle="stop" showDropDown="false">
      <formula1>"הוצאה,הכנסה"</formula1>
    </dataValidation>
    <dataValidation type="list" sqref="E103" allowBlank="true" errorStyle="stop" showDropDown="false">
      <formula1>"הוצאה,הכנסה"</formula1>
    </dataValidation>
    <dataValidation type="list" sqref="E104" allowBlank="true" errorStyle="stop" showDropDown="false">
      <formula1>"הוצאה,הכנסה"</formula1>
    </dataValidation>
    <dataValidation type="list" sqref="E105" allowBlank="true" errorStyle="stop" showDropDown="false">
      <formula1>"הוצאה,הכנסה"</formula1>
    </dataValidation>
    <dataValidation type="list" sqref="E106" allowBlank="true" errorStyle="stop" showDropDown="false">
      <formula1>"הוצאה,הכנסה"</formula1>
    </dataValidation>
    <dataValidation type="list" sqref="E107" allowBlank="true" errorStyle="stop" showDropDown="false">
      <formula1>"הוצאה,הכנסה"</formula1>
    </dataValidation>
    <dataValidation type="list" sqref="E108" allowBlank="true" errorStyle="stop" showDropDown="false">
      <formula1>"הוצאה,הכנסה"</formula1>
    </dataValidation>
    <dataValidation type="list" sqref="E109" allowBlank="true" errorStyle="stop" showDropDown="false">
      <formula1>"הוצאה,הכנסה"</formula1>
    </dataValidation>
    <dataValidation type="list" sqref="E110" allowBlank="true" errorStyle="stop" showDropDown="false">
      <formula1>"הוצאה,הכנסה"</formula1>
    </dataValidation>
    <dataValidation type="list" sqref="E111" allowBlank="true" errorStyle="stop" showDropDown="false">
      <formula1>"הוצאה,הכנסה"</formula1>
    </dataValidation>
    <dataValidation type="list" sqref="E112" allowBlank="true" errorStyle="stop" showDropDown="false">
      <formula1>"הוצאה,הכנסה"</formula1>
    </dataValidation>
    <dataValidation type="list" sqref="E113" allowBlank="true" errorStyle="stop" showDropDown="false">
      <formula1>"הוצאה,הכנסה"</formula1>
    </dataValidation>
    <dataValidation type="list" sqref="E114" allowBlank="true" errorStyle="stop" showDropDown="false">
      <formula1>"הוצאה,הכנסה"</formula1>
    </dataValidation>
    <dataValidation type="list" sqref="E115" allowBlank="true" errorStyle="stop" showDropDown="false">
      <formula1>"הוצאה,הכנסה"</formula1>
    </dataValidation>
    <dataValidation type="list" sqref="E116" allowBlank="true" errorStyle="stop" showDropDown="false">
      <formula1>"הוצאה,הכנסה"</formula1>
    </dataValidation>
    <dataValidation type="list" sqref="E117" allowBlank="true" errorStyle="stop" showDropDown="false">
      <formula1>"הוצאה,הכנסה"</formula1>
    </dataValidation>
    <dataValidation type="list" sqref="E118" allowBlank="true" errorStyle="stop" showDropDown="false">
      <formula1>"הוצאה,הכנסה"</formula1>
    </dataValidation>
    <dataValidation type="list" sqref="E119" allowBlank="true" errorStyle="stop" showDropDown="false">
      <formula1>"הוצאה,הכנסה"</formula1>
    </dataValidation>
    <dataValidation type="list" sqref="E120" allowBlank="true" errorStyle="stop" showDropDown="false">
      <formula1>"הוצאה,הכנסה"</formula1>
    </dataValidation>
    <dataValidation type="list" sqref="E121" allowBlank="true" errorStyle="stop" showDropDown="false">
      <formula1>"הוצאה,הכנסה"</formula1>
    </dataValidation>
    <dataValidation type="list" sqref="E122" allowBlank="true" errorStyle="stop" showDropDown="false">
      <formula1>"הוצאה,הכנסה"</formula1>
    </dataValidation>
    <dataValidation type="list" sqref="E123" allowBlank="true" errorStyle="stop" showDropDown="false">
      <formula1>"הוצאה,הכנסה"</formula1>
    </dataValidation>
    <dataValidation type="list" sqref="E124" allowBlank="true" errorStyle="stop" showDropDown="false">
      <formula1>"הוצאה,הכנסה"</formula1>
    </dataValidation>
    <dataValidation type="list" sqref="E125" allowBlank="true" errorStyle="stop" showDropDown="false">
      <formula1>"הוצאה,הכנסה"</formula1>
    </dataValidation>
    <dataValidation type="list" sqref="E126" allowBlank="true" errorStyle="stop" showDropDown="false">
      <formula1>"הוצאה,הכנסה"</formula1>
    </dataValidation>
    <dataValidation type="list" sqref="E127" allowBlank="true" errorStyle="stop" showDropDown="false">
      <formula1>"הוצאה,הכנסה"</formula1>
    </dataValidation>
    <dataValidation type="list" sqref="E128" allowBlank="true" errorStyle="stop" showDropDown="false">
      <formula1>"הוצאה,הכנסה"</formula1>
    </dataValidation>
    <dataValidation type="list" sqref="E129" allowBlank="true" errorStyle="stop" showDropDown="false">
      <formula1>"הוצאה,הכנסה"</formula1>
    </dataValidation>
    <dataValidation type="list" sqref="E130" allowBlank="true" errorStyle="stop" showDropDown="false">
      <formula1>"הוצאה,הכנסה"</formula1>
    </dataValidation>
    <dataValidation type="list" sqref="E131" allowBlank="true" errorStyle="stop" showDropDown="false">
      <formula1>"הוצאה,הכנסה"</formula1>
    </dataValidation>
    <dataValidation type="list" sqref="E132" allowBlank="true" errorStyle="stop" showDropDown="false">
      <formula1>"הוצאה,הכנסה"</formula1>
    </dataValidation>
    <dataValidation type="list" sqref="E133" allowBlank="true" errorStyle="stop" showDropDown="false">
      <formula1>"הוצאה,הכנסה"</formula1>
    </dataValidation>
    <dataValidation type="list" sqref="E134" allowBlank="true" errorStyle="stop" showDropDown="false">
      <formula1>"הוצאה,הכנסה"</formula1>
    </dataValidation>
    <dataValidation type="list" sqref="E135" allowBlank="true" errorStyle="stop" showDropDown="false">
      <formula1>"הוצאה,הכנסה"</formula1>
    </dataValidation>
    <dataValidation type="list" sqref="E136" allowBlank="true" errorStyle="stop" showDropDown="false">
      <formula1>"הוצאה,הכנסה"</formula1>
    </dataValidation>
    <dataValidation type="list" sqref="E137" allowBlank="true" errorStyle="stop" showDropDown="false">
      <formula1>"הוצאה,הכנסה"</formula1>
    </dataValidation>
    <dataValidation type="list" sqref="E138" allowBlank="true" errorStyle="stop" showDropDown="false">
      <formula1>"הוצאה,הכנסה"</formula1>
    </dataValidation>
    <dataValidation type="list" sqref="E139" allowBlank="true" errorStyle="stop" showDropDown="false">
      <formula1>"הוצאה,הכנסה"</formula1>
    </dataValidation>
    <dataValidation type="list" sqref="E140" allowBlank="true" errorStyle="stop" showDropDown="false">
      <formula1>"הוצאה,הכנסה"</formula1>
    </dataValidation>
    <dataValidation type="list" sqref="E141" allowBlank="true" errorStyle="stop" showDropDown="false">
      <formula1>"הוצאה,הכנסה"</formula1>
    </dataValidation>
    <dataValidation type="list" sqref="E142" allowBlank="true" errorStyle="stop" showDropDown="false">
      <formula1>"הוצאה,הכנסה"</formula1>
    </dataValidation>
    <dataValidation type="list" sqref="E143" allowBlank="true" errorStyle="stop" showDropDown="false">
      <formula1>"הוצאה,הכנסה"</formula1>
    </dataValidation>
    <dataValidation type="list" sqref="E144" allowBlank="true" errorStyle="stop" showDropDown="false">
      <formula1>"הוצאה,הכנסה"</formula1>
    </dataValidation>
    <dataValidation type="list" sqref="E145" allowBlank="true" errorStyle="stop" showDropDown="false">
      <formula1>"הוצאה,הכנסה"</formula1>
    </dataValidation>
    <dataValidation type="list" sqref="E146" allowBlank="true" errorStyle="stop" showDropDown="false">
      <formula1>"הוצאה,הכנסה"</formula1>
    </dataValidation>
    <dataValidation type="list" sqref="E147" allowBlank="true" errorStyle="stop" showDropDown="false">
      <formula1>"הוצאה,הכנסה"</formula1>
    </dataValidation>
    <dataValidation type="list" sqref="E148" allowBlank="true" errorStyle="stop" showDropDown="false">
      <formula1>"הוצאה,הכנסה"</formula1>
    </dataValidation>
    <dataValidation type="list" sqref="E149" allowBlank="true" errorStyle="stop" showDropDown="false">
      <formula1>"הוצאה,הכנסה"</formula1>
    </dataValidation>
    <dataValidation type="list" sqref="E150" allowBlank="true" errorStyle="stop" showDropDown="false">
      <formula1>"הוצאה,הכנסה"</formula1>
    </dataValidation>
    <dataValidation type="list" sqref="E151" allowBlank="true" errorStyle="stop" showDropDown="false">
      <formula1>"הוצאה,הכנסה"</formula1>
    </dataValidation>
    <dataValidation type="list" sqref="E152" allowBlank="true" errorStyle="stop" showDropDown="false">
      <formula1>"הוצאה,הכנסה"</formula1>
    </dataValidation>
    <dataValidation type="list" sqref="E153" allowBlank="true" errorStyle="stop" showDropDown="false">
      <formula1>"הוצאה,הכנסה"</formula1>
    </dataValidation>
    <dataValidation type="list" sqref="E154" allowBlank="true" errorStyle="stop" showDropDown="false">
      <formula1>"הוצאה,הכנסה"</formula1>
    </dataValidation>
    <dataValidation type="list" sqref="E155" allowBlank="true" errorStyle="stop" showDropDown="false">
      <formula1>"הוצאה,הכנסה"</formula1>
    </dataValidation>
    <dataValidation type="list" sqref="E156" allowBlank="true" errorStyle="stop" showDropDown="false">
      <formula1>"הוצאה,הכנסה"</formula1>
    </dataValidation>
    <dataValidation type="list" sqref="E157" allowBlank="true" errorStyle="stop" showDropDown="false">
      <formula1>"הוצאה,הכנסה"</formula1>
    </dataValidation>
    <dataValidation type="list" sqref="E158" allowBlank="true" errorStyle="stop" showDropDown="false">
      <formula1>"הוצאה,הכנסה"</formula1>
    </dataValidation>
    <dataValidation type="list" sqref="E159" allowBlank="true" errorStyle="stop" showDropDown="false">
      <formula1>"הוצאה,הכנסה"</formula1>
    </dataValidation>
    <dataValidation type="list" sqref="E160" allowBlank="true" errorStyle="stop" showDropDown="false">
      <formula1>"הוצאה,הכנסה"</formula1>
    </dataValidation>
    <dataValidation type="list" sqref="E161" allowBlank="true" errorStyle="stop" showDropDown="false">
      <formula1>"הוצאה,הכנסה"</formula1>
    </dataValidation>
    <dataValidation type="list" sqref="E162" allowBlank="true" errorStyle="stop" showDropDown="false">
      <formula1>"הוצאה,הכנסה"</formula1>
    </dataValidation>
    <dataValidation type="list" sqref="E163" allowBlank="true" errorStyle="stop" showDropDown="false">
      <formula1>"הוצאה,הכנסה"</formula1>
    </dataValidation>
    <dataValidation type="list" sqref="E164" allowBlank="true" errorStyle="stop" showDropDown="false">
      <formula1>"הוצאה,הכנסה"</formula1>
    </dataValidation>
    <dataValidation type="list" sqref="E165" allowBlank="true" errorStyle="stop" showDropDown="false">
      <formula1>"הוצאה,הכנסה"</formula1>
    </dataValidation>
    <dataValidation type="list" sqref="E166" allowBlank="true" errorStyle="stop" showDropDown="false">
      <formula1>"הוצאה,הכנסה"</formula1>
    </dataValidation>
    <dataValidation type="list" sqref="E167" allowBlank="true" errorStyle="stop" showDropDown="false">
      <formula1>"הוצאה,הכנסה"</formula1>
    </dataValidation>
    <dataValidation type="list" sqref="E168" allowBlank="true" errorStyle="stop" showDropDown="false">
      <formula1>"הוצאה,הכנסה"</formula1>
    </dataValidation>
    <dataValidation type="list" sqref="E169" allowBlank="true" errorStyle="stop" showDropDown="false">
      <formula1>"הוצאה,הכנסה"</formula1>
    </dataValidation>
    <dataValidation type="list" sqref="E170" allowBlank="true" errorStyle="stop" showDropDown="false">
      <formula1>"הוצאה,הכנסה"</formula1>
    </dataValidation>
    <dataValidation type="list" sqref="E171" allowBlank="true" errorStyle="stop" showDropDown="false">
      <formula1>"הוצאה,הכנסה"</formula1>
    </dataValidation>
    <dataValidation type="list" sqref="E172" allowBlank="true" errorStyle="stop" showDropDown="false">
      <formula1>"הוצאה,הכנסה"</formula1>
    </dataValidation>
    <dataValidation type="list" sqref="E173" allowBlank="true" errorStyle="stop" showDropDown="false">
      <formula1>"הוצאה,הכנסה"</formula1>
    </dataValidation>
    <dataValidation type="list" sqref="E174" allowBlank="true" errorStyle="stop" showDropDown="false">
      <formula1>"הוצאה,הכנסה"</formula1>
    </dataValidation>
    <dataValidation type="list" sqref="E175" allowBlank="true" errorStyle="stop" showDropDown="false">
      <formula1>"הוצאה,הכנסה"</formula1>
    </dataValidation>
    <dataValidation type="list" sqref="E176" allowBlank="true" errorStyle="stop" showDropDown="false">
      <formula1>"הוצאה,הכנסה"</formula1>
    </dataValidation>
    <dataValidation type="list" sqref="E177" allowBlank="true" errorStyle="stop" showDropDown="false">
      <formula1>"הוצאה,הכנסה"</formula1>
    </dataValidation>
    <dataValidation type="list" sqref="E178" allowBlank="true" errorStyle="stop" showDropDown="false">
      <formula1>"הוצאה,הכנסה"</formula1>
    </dataValidation>
    <dataValidation type="list" sqref="E179" allowBlank="true" errorStyle="stop" showDropDown="false">
      <formula1>"הוצאה,הכנסה"</formula1>
    </dataValidation>
    <dataValidation type="list" sqref="E180" allowBlank="true" errorStyle="stop" showDropDown="false">
      <formula1>"הוצאה,הכנסה"</formula1>
    </dataValidation>
    <dataValidation type="list" sqref="E181" allowBlank="true" errorStyle="stop" showDropDown="false">
      <formula1>"הוצאה,הכנסה"</formula1>
    </dataValidation>
    <dataValidation type="list" sqref="E182" allowBlank="true" errorStyle="stop" showDropDown="false">
      <formula1>"הוצאה,הכנסה"</formula1>
    </dataValidation>
    <dataValidation type="list" sqref="E183" allowBlank="true" errorStyle="stop" showDropDown="false">
      <formula1>"הוצאה,הכנסה"</formula1>
    </dataValidation>
    <dataValidation type="list" sqref="E184" allowBlank="true" errorStyle="stop" showDropDown="false">
      <formula1>"הוצאה,הכנסה"</formula1>
    </dataValidation>
    <dataValidation type="list" sqref="E185" allowBlank="true" errorStyle="stop" showDropDown="false">
      <formula1>"הוצאה,הכנסה"</formula1>
    </dataValidation>
    <dataValidation type="list" sqref="E186" allowBlank="true" errorStyle="stop" showDropDown="false">
      <formula1>"הוצאה,הכנסה"</formula1>
    </dataValidation>
    <dataValidation type="list" sqref="E187" allowBlank="true" errorStyle="stop" showDropDown="false">
      <formula1>"הוצאה,הכנסה"</formula1>
    </dataValidation>
    <dataValidation type="list" sqref="E188" allowBlank="true" errorStyle="stop" showDropDown="false">
      <formula1>"הוצאה,הכנסה"</formula1>
    </dataValidation>
    <dataValidation type="list" sqref="E189" allowBlank="true" errorStyle="stop" showDropDown="false">
      <formula1>"הוצאה,הכנסה"</formula1>
    </dataValidation>
    <dataValidation type="list" sqref="E190" allowBlank="true" errorStyle="stop" showDropDown="false">
      <formula1>"הוצאה,הכנסה"</formula1>
    </dataValidation>
    <dataValidation type="list" sqref="E191" allowBlank="true" errorStyle="stop" showDropDown="false">
      <formula1>"הוצאה,הכנסה"</formula1>
    </dataValidation>
    <dataValidation type="list" sqref="E192" allowBlank="true" errorStyle="stop" showDropDown="false">
      <formula1>"הוצאה,הכנסה"</formula1>
    </dataValidation>
    <dataValidation type="list" sqref="E193" allowBlank="true" errorStyle="stop" showDropDown="false">
      <formula1>"הוצאה,הכנסה"</formula1>
    </dataValidation>
    <dataValidation type="list" sqref="E194" allowBlank="true" errorStyle="stop" showDropDown="false">
      <formula1>"הוצאה,הכנסה"</formula1>
    </dataValidation>
    <dataValidation type="list" sqref="E195" allowBlank="true" errorStyle="stop" showDropDown="false">
      <formula1>"הוצאה,הכנסה"</formula1>
    </dataValidation>
    <dataValidation type="list" sqref="E196" allowBlank="true" errorStyle="stop" showDropDown="false">
      <formula1>"הוצאה,הכנסה"</formula1>
    </dataValidation>
    <dataValidation type="list" sqref="E197" allowBlank="true" errorStyle="stop" showDropDown="false">
      <formula1>"הוצאה,הכנסה"</formula1>
    </dataValidation>
    <dataValidation type="list" sqref="E198" allowBlank="true" errorStyle="stop" showDropDown="false">
      <formula1>"הוצאה,הכנסה"</formula1>
    </dataValidation>
    <dataValidation type="list" sqref="E199" allowBlank="true" errorStyle="stop" showDropDown="false">
      <formula1>"הוצאה,הכנסה"</formula1>
    </dataValidation>
    <dataValidation type="list" sqref="E200" allowBlank="true" errorStyle="stop" showDropDown="false">
      <formula1>"הוצאה,הכנסה"</formula1>
    </dataValidation>
    <dataValidation type="list" sqref="E201" allowBlank="true" errorStyle="stop" showDropDown="false">
      <formula1>"הוצאה,הכנסה"</formula1>
    </dataValidation>
    <dataValidation type="list" sqref="E202" allowBlank="true" errorStyle="stop" showDropDown="false">
      <formula1>"הוצאה,הכנסה"</formula1>
    </dataValidation>
    <dataValidation type="list" sqref="E203" allowBlank="true" errorStyle="stop" showDropDown="false">
      <formula1>"הוצאה,הכנסה"</formula1>
    </dataValidation>
    <dataValidation type="list" sqref="E204" allowBlank="true" errorStyle="stop" showDropDown="false">
      <formula1>"הוצאה,הכנסה"</formula1>
    </dataValidation>
    <dataValidation type="list" sqref="E205" allowBlank="true" errorStyle="stop" showDropDown="false">
      <formula1>"הוצאה,הכנסה"</formula1>
    </dataValidation>
    <dataValidation type="list" sqref="E206" allowBlank="true" errorStyle="stop" showDropDown="false">
      <formula1>"הוצאה,הכנסה"</formula1>
    </dataValidation>
    <dataValidation type="list" sqref="E207" allowBlank="true" errorStyle="stop" showDropDown="false">
      <formula1>"הוצאה,הכנסה"</formula1>
    </dataValidation>
    <dataValidation type="list" sqref="E208" allowBlank="true" errorStyle="stop" showDropDown="false">
      <formula1>"הוצאה,הכנסה"</formula1>
    </dataValidation>
    <dataValidation type="list" sqref="E209" allowBlank="true" errorStyle="stop" showDropDown="false">
      <formula1>"הוצאה,הכנסה"</formula1>
    </dataValidation>
    <dataValidation type="list" sqref="E210" allowBlank="true" errorStyle="stop" showDropDown="false">
      <formula1>"הוצאה,הכנסה"</formula1>
    </dataValidation>
    <dataValidation type="list" sqref="E211" allowBlank="true" errorStyle="stop" showDropDown="false">
      <formula1>"הוצאה,הכנסה"</formula1>
    </dataValidation>
    <dataValidation type="list" sqref="E212" allowBlank="true" errorStyle="stop" showDropDown="false">
      <formula1>"הוצאה,הכנסה"</formula1>
    </dataValidation>
    <dataValidation type="list" sqref="E213" allowBlank="true" errorStyle="stop" showDropDown="false">
      <formula1>"הוצאה,הכנסה"</formula1>
    </dataValidation>
    <dataValidation type="list" sqref="E214" allowBlank="true" errorStyle="stop" showDropDown="false">
      <formula1>"הוצאה,הכנסה"</formula1>
    </dataValidation>
    <dataValidation type="list" sqref="E215" allowBlank="true" errorStyle="stop" showDropDown="false">
      <formula1>"הוצאה,הכנסה"</formula1>
    </dataValidation>
    <dataValidation type="list" sqref="E216" allowBlank="true" errorStyle="stop" showDropDown="false">
      <formula1>"הוצאה,הכנסה"</formula1>
    </dataValidation>
    <dataValidation type="list" sqref="E217" allowBlank="true" errorStyle="stop" showDropDown="false">
      <formula1>"הוצאה,הכנסה"</formula1>
    </dataValidation>
    <dataValidation type="list" sqref="E218" allowBlank="true" errorStyle="stop" showDropDown="false">
      <formula1>"הוצאה,הכנסה"</formula1>
    </dataValidation>
    <dataValidation type="list" sqref="E219" allowBlank="true" errorStyle="stop" showDropDown="false">
      <formula1>"הוצאה,הכנסה"</formula1>
    </dataValidation>
    <dataValidation type="list" sqref="E220" allowBlank="true" errorStyle="stop" showDropDown="false">
      <formula1>"הוצאה,הכנסה"</formula1>
    </dataValidation>
    <dataValidation type="list" sqref="E221" allowBlank="true" errorStyle="stop" showDropDown="false">
      <formula1>"הוצאה,הכנסה"</formula1>
    </dataValidation>
    <dataValidation type="list" sqref="E222" allowBlank="true" errorStyle="stop" showDropDown="false">
      <formula1>"הוצאה,הכנסה"</formula1>
    </dataValidation>
    <dataValidation type="list" sqref="E223" allowBlank="true" errorStyle="stop" showDropDown="false">
      <formula1>"הוצאה,הכנסה"</formula1>
    </dataValidation>
    <dataValidation type="list" sqref="E224" allowBlank="true" errorStyle="stop" showDropDown="false">
      <formula1>"הוצאה,הכנסה"</formula1>
    </dataValidation>
    <dataValidation type="list" sqref="E225" allowBlank="true" errorStyle="stop" showDropDown="false">
      <formula1>"הוצאה,הכנסה"</formula1>
    </dataValidation>
    <dataValidation type="list" sqref="E226" allowBlank="true" errorStyle="stop" showDropDown="false">
      <formula1>"הוצאה,הכנסה"</formula1>
    </dataValidation>
    <dataValidation type="list" sqref="E227" allowBlank="true" errorStyle="stop" showDropDown="false">
      <formula1>"הוצאה,הכנסה"</formula1>
    </dataValidation>
    <dataValidation type="list" sqref="E228" allowBlank="true" errorStyle="stop" showDropDown="false">
      <formula1>"הוצאה,הכנסה"</formula1>
    </dataValidation>
    <dataValidation type="list" sqref="E229" allowBlank="true" errorStyle="stop" showDropDown="false">
      <formula1>"הוצאה,הכנסה"</formula1>
    </dataValidation>
    <dataValidation type="list" sqref="E230" allowBlank="true" errorStyle="stop" showDropDown="false">
      <formula1>"הוצאה,הכנסה"</formula1>
    </dataValidation>
    <dataValidation type="list" sqref="E231" allowBlank="true" errorStyle="stop" showDropDown="false">
      <formula1>"הוצאה,הכנסה"</formula1>
    </dataValidation>
    <dataValidation type="list" sqref="E232" allowBlank="true" errorStyle="stop" showDropDown="false">
      <formula1>"הוצאה,הכנסה"</formula1>
    </dataValidation>
    <dataValidation type="list" sqref="E233" allowBlank="true" errorStyle="stop" showDropDown="false">
      <formula1>"הוצאה,הכנסה"</formula1>
    </dataValidation>
    <dataValidation type="list" sqref="E234" allowBlank="true" errorStyle="stop" showDropDown="false">
      <formula1>"הוצאה,הכנסה"</formula1>
    </dataValidation>
    <dataValidation type="list" sqref="E235" allowBlank="true" errorStyle="stop" showDropDown="false">
      <formula1>"הוצאה,הכנסה"</formula1>
    </dataValidation>
    <dataValidation type="list" sqref="E236" allowBlank="true" errorStyle="stop" showDropDown="false">
      <formula1>"הוצאה,הכנסה"</formula1>
    </dataValidation>
    <dataValidation type="list" sqref="E237" allowBlank="true" errorStyle="stop" showDropDown="false">
      <formula1>"הוצאה,הכנסה"</formula1>
    </dataValidation>
    <dataValidation type="list" sqref="E238" allowBlank="true" errorStyle="stop" showDropDown="false">
      <formula1>"הוצאה,הכנסה"</formula1>
    </dataValidation>
    <dataValidation type="list" sqref="E239" allowBlank="true" errorStyle="stop" showDropDown="false">
      <formula1>"הוצאה,הכנסה"</formula1>
    </dataValidation>
    <dataValidation type="list" sqref="E240" allowBlank="true" errorStyle="stop" showDropDown="false">
      <formula1>"הוצאה,הכנסה"</formula1>
    </dataValidation>
    <dataValidation type="list" sqref="E241" allowBlank="true" errorStyle="stop" showDropDown="false">
      <formula1>"הוצאה,הכנסה"</formula1>
    </dataValidation>
    <dataValidation type="list" sqref="E242" allowBlank="true" errorStyle="stop" showDropDown="false">
      <formula1>"הוצאה,הכנסה"</formula1>
    </dataValidation>
    <dataValidation type="list" sqref="E243" allowBlank="true" errorStyle="stop" showDropDown="false">
      <formula1>"הוצאה,הכנסה"</formula1>
    </dataValidation>
    <dataValidation type="list" sqref="E244" allowBlank="true" errorStyle="stop" showDropDown="false">
      <formula1>"הוצאה,הכנסה"</formula1>
    </dataValidation>
    <dataValidation type="list" sqref="E245" allowBlank="true" errorStyle="stop" showDropDown="false">
      <formula1>"הוצאה,הכנסה"</formula1>
    </dataValidation>
    <dataValidation type="list" sqref="E246" allowBlank="true" errorStyle="stop" showDropDown="false">
      <formula1>"הוצאה,הכנסה"</formula1>
    </dataValidation>
    <dataValidation type="list" sqref="E247" allowBlank="true" errorStyle="stop" showDropDown="false">
      <formula1>"הוצאה,הכנסה"</formula1>
    </dataValidation>
    <dataValidation type="list" sqref="E248" allowBlank="true" errorStyle="stop" showDropDown="false">
      <formula1>"הוצאה,הכנסה"</formula1>
    </dataValidation>
    <dataValidation type="list" sqref="E249" allowBlank="true" errorStyle="stop" showDropDown="false">
      <formula1>"הוצאה,הכנסה"</formula1>
    </dataValidation>
    <dataValidation type="list" sqref="E250" allowBlank="true" errorStyle="stop" showDropDown="false">
      <formula1>"הוצאה,הכנסה"</formula1>
    </dataValidation>
    <dataValidation type="list" sqref="E251" allowBlank="true" errorStyle="stop" showDropDown="false">
      <formula1>"הוצאה,הכנסה"</formula1>
    </dataValidation>
    <dataValidation type="list" sqref="E252" allowBlank="true" errorStyle="stop" showDropDown="false">
      <formula1>"הוצאה,הכנסה"</formula1>
    </dataValidation>
    <dataValidation type="list" sqref="E253" allowBlank="true" errorStyle="stop" showDropDown="false">
      <formula1>"הוצאה,הכנסה"</formula1>
    </dataValidation>
    <dataValidation type="list" sqref="E254" allowBlank="true" errorStyle="stop" showDropDown="false">
      <formula1>"הוצאה,הכנסה"</formula1>
    </dataValidation>
    <dataValidation type="list" sqref="E255" allowBlank="true" errorStyle="stop" showDropDown="false">
      <formula1>"הוצאה,הכנסה"</formula1>
    </dataValidation>
    <dataValidation type="list" sqref="E256" allowBlank="true" errorStyle="stop" showDropDown="false">
      <formula1>"הוצאה,הכנסה"</formula1>
    </dataValidation>
    <dataValidation type="list" sqref="E257" allowBlank="true" errorStyle="stop" showDropDown="false">
      <formula1>"הוצאה,הכנסה"</formula1>
    </dataValidation>
    <dataValidation type="list" sqref="E258" allowBlank="true" errorStyle="stop" showDropDown="false">
      <formula1>"הוצאה,הכנסה"</formula1>
    </dataValidation>
    <dataValidation type="list" sqref="E259" allowBlank="true" errorStyle="stop" showDropDown="false">
      <formula1>"הוצאה,הכנסה"</formula1>
    </dataValidation>
    <dataValidation type="list" sqref="E260" allowBlank="true" errorStyle="stop" showDropDown="false">
      <formula1>"הוצאה,הכנסה"</formula1>
    </dataValidation>
    <dataValidation type="list" sqref="E261" allowBlank="true" errorStyle="stop" showDropDown="false">
      <formula1>"הוצאה,הכנסה"</formula1>
    </dataValidation>
    <dataValidation type="list" sqref="E262" allowBlank="true" errorStyle="stop" showDropDown="false">
      <formula1>"הוצאה,הכנסה"</formula1>
    </dataValidation>
    <dataValidation type="list" sqref="E263" allowBlank="true" errorStyle="stop" showDropDown="false">
      <formula1>"הוצאה,הכנסה"</formula1>
    </dataValidation>
    <dataValidation type="list" sqref="E264" allowBlank="true" errorStyle="stop" showDropDown="false">
      <formula1>"הוצאה,הכנסה"</formula1>
    </dataValidation>
    <dataValidation type="list" sqref="E265" allowBlank="true" errorStyle="stop" showDropDown="false">
      <formula1>"הוצאה,הכנסה"</formula1>
    </dataValidation>
    <dataValidation type="list" sqref="E266" allowBlank="true" errorStyle="stop" showDropDown="false">
      <formula1>"הוצאה,הכנסה"</formula1>
    </dataValidation>
    <dataValidation type="list" sqref="E267" allowBlank="true" errorStyle="stop" showDropDown="false">
      <formula1>"הוצאה,הכנסה"</formula1>
    </dataValidation>
    <dataValidation type="list" sqref="E268" allowBlank="true" errorStyle="stop" showDropDown="false">
      <formula1>"הוצאה,הכנסה"</formula1>
    </dataValidation>
    <dataValidation type="list" sqref="E269" allowBlank="true" errorStyle="stop" showDropDown="false">
      <formula1>"הוצאה,הכנסה"</formula1>
    </dataValidation>
    <dataValidation type="list" sqref="E270" allowBlank="true" errorStyle="stop" showDropDown="false">
      <formula1>"הוצאה,הכנסה"</formula1>
    </dataValidation>
    <dataValidation type="list" sqref="E271" allowBlank="true" errorStyle="stop" showDropDown="false">
      <formula1>"הוצאה,הכנסה"</formula1>
    </dataValidation>
    <dataValidation type="list" sqref="E272" allowBlank="true" errorStyle="stop" showDropDown="false">
      <formula1>"הוצאה,הכנסה"</formula1>
    </dataValidation>
    <dataValidation type="list" sqref="E273" allowBlank="true" errorStyle="stop" showDropDown="false">
      <formula1>"הוצאה,הכנסה"</formula1>
    </dataValidation>
    <dataValidation type="list" sqref="E274" allowBlank="true" errorStyle="stop" showDropDown="false">
      <formula1>"הוצאה,הכנסה"</formula1>
    </dataValidation>
    <dataValidation type="list" sqref="E275" allowBlank="true" errorStyle="stop" showDropDown="false">
      <formula1>"הוצאה,הכנסה"</formula1>
    </dataValidation>
    <dataValidation type="list" sqref="E276" allowBlank="true" errorStyle="stop" showDropDown="false">
      <formula1>"הוצאה,הכנסה"</formula1>
    </dataValidation>
    <dataValidation type="list" sqref="E277" allowBlank="true" errorStyle="stop" showDropDown="false">
      <formula1>"הוצאה,הכנסה"</formula1>
    </dataValidation>
    <dataValidation type="list" sqref="E278" allowBlank="true" errorStyle="stop" showDropDown="false">
      <formula1>"הוצאה,הכנסה"</formula1>
    </dataValidation>
    <dataValidation type="list" sqref="E279" allowBlank="true" errorStyle="stop" showDropDown="false">
      <formula1>"הוצאה,הכנסה"</formula1>
    </dataValidation>
    <dataValidation type="list" sqref="E280" allowBlank="true" errorStyle="stop" showDropDown="false">
      <formula1>"הוצאה,הכנסה"</formula1>
    </dataValidation>
    <dataValidation type="list" sqref="E281" allowBlank="true" errorStyle="stop" showDropDown="false">
      <formula1>"הוצאה,הכנסה"</formula1>
    </dataValidation>
    <dataValidation type="list" sqref="E282" allowBlank="true" errorStyle="stop" showDropDown="false">
      <formula1>"הוצאה,הכנסה"</formula1>
    </dataValidation>
    <dataValidation type="list" sqref="E283" allowBlank="true" errorStyle="stop" showDropDown="false">
      <formula1>"הוצאה,הכנסה"</formula1>
    </dataValidation>
    <dataValidation type="list" sqref="E284" allowBlank="true" errorStyle="stop" showDropDown="false">
      <formula1>"הוצאה,הכנסה"</formula1>
    </dataValidation>
    <dataValidation type="list" sqref="E285" allowBlank="true" errorStyle="stop" showDropDown="false">
      <formula1>"הוצאה,הכנסה"</formula1>
    </dataValidation>
    <dataValidation type="list" sqref="E286" allowBlank="true" errorStyle="stop" showDropDown="false">
      <formula1>"הוצאה,הכנסה"</formula1>
    </dataValidation>
    <dataValidation type="list" sqref="E287" allowBlank="true" errorStyle="stop" showDropDown="false">
      <formula1>"הוצאה,הכנסה"</formula1>
    </dataValidation>
    <dataValidation type="list" sqref="E288" allowBlank="true" errorStyle="stop" showDropDown="false">
      <formula1>"הוצאה,הכנסה"</formula1>
    </dataValidation>
    <dataValidation type="list" sqref="E289" allowBlank="true" errorStyle="stop" showDropDown="false">
      <formula1>"הוצאה,הכנסה"</formula1>
    </dataValidation>
    <dataValidation type="list" sqref="E290" allowBlank="true" errorStyle="stop" showDropDown="false">
      <formula1>"הוצאה,הכנסה"</formula1>
    </dataValidation>
    <dataValidation type="list" sqref="E291" allowBlank="true" errorStyle="stop" showDropDown="false">
      <formula1>"הוצאה,הכנסה"</formula1>
    </dataValidation>
    <dataValidation type="list" sqref="E292" allowBlank="true" errorStyle="stop" showDropDown="false">
      <formula1>"הוצאה,הכנסה"</formula1>
    </dataValidation>
    <dataValidation type="list" sqref="E293" allowBlank="true" errorStyle="stop" showDropDown="false">
      <formula1>"הוצאה,הכנסה"</formula1>
    </dataValidation>
    <dataValidation type="list" sqref="E294" allowBlank="true" errorStyle="stop" showDropDown="false">
      <formula1>"הוצאה,הכנסה"</formula1>
    </dataValidation>
    <dataValidation type="list" sqref="E295" allowBlank="true" errorStyle="stop" showDropDown="false">
      <formula1>"הוצאה,הכנסה"</formula1>
    </dataValidation>
    <dataValidation type="list" sqref="E296" allowBlank="true" errorStyle="stop" showDropDown="false">
      <formula1>"הוצאה,הכנסה"</formula1>
    </dataValidation>
    <dataValidation type="list" sqref="E297" allowBlank="true" errorStyle="stop" showDropDown="false">
      <formula1>"הוצאה,הכנסה"</formula1>
    </dataValidation>
    <dataValidation type="list" sqref="E298" allowBlank="true" errorStyle="stop" showDropDown="false">
      <formula1>"הוצאה,הכנסה"</formula1>
    </dataValidation>
    <dataValidation type="list" sqref="E299" allowBlank="true" errorStyle="stop" showDropDown="false">
      <formula1>"הוצאה,הכנסה"</formula1>
    </dataValidation>
    <dataValidation type="list" sqref="E300" allowBlank="true" errorStyle="stop" showDropDown="false">
      <formula1>"הוצאה,הכנסה"</formula1>
    </dataValidation>
    <dataValidation type="list" sqref="E301" allowBlank="true" errorStyle="stop" showDropDown="false">
      <formula1>"הוצאה,הכנסה"</formula1>
    </dataValidation>
    <dataValidation type="list" sqref="E302" allowBlank="true" errorStyle="stop" showDropDown="false">
      <formula1>"הוצאה,הכנסה"</formula1>
    </dataValidation>
    <dataValidation type="list" sqref="E303" allowBlank="true" errorStyle="stop" showDropDown="false">
      <formula1>"הוצאה,הכנסה"</formula1>
    </dataValidation>
    <dataValidation type="list" sqref="E304" allowBlank="true" errorStyle="stop" showDropDown="false">
      <formula1>"הוצאה,הכנסה"</formula1>
    </dataValidation>
    <dataValidation type="list" sqref="E305" allowBlank="true" errorStyle="stop" showDropDown="false">
      <formula1>"הוצאה,הכנסה"</formula1>
    </dataValidation>
    <dataValidation type="list" sqref="E306" allowBlank="true" errorStyle="stop" showDropDown="false">
      <formula1>"הוצאה,הכנסה"</formula1>
    </dataValidation>
    <dataValidation type="list" sqref="E307" allowBlank="true" errorStyle="stop" showDropDown="false">
      <formula1>"הוצאה,הכנסה"</formula1>
    </dataValidation>
    <dataValidation type="list" sqref="E308" allowBlank="true" errorStyle="stop" showDropDown="false">
      <formula1>"הוצאה,הכנסה"</formula1>
    </dataValidation>
    <dataValidation type="list" sqref="E309" allowBlank="true" errorStyle="stop" showDropDown="false">
      <formula1>"הוצאה,הכנסה"</formula1>
    </dataValidation>
    <dataValidation type="list" sqref="E310" allowBlank="true" errorStyle="stop" showDropDown="false">
      <formula1>"הוצאה,הכנסה"</formula1>
    </dataValidation>
    <dataValidation type="list" sqref="E311" allowBlank="true" errorStyle="stop" showDropDown="false">
      <formula1>"הוצאה,הכנסה"</formula1>
    </dataValidation>
    <dataValidation type="list" sqref="E312" allowBlank="true" errorStyle="stop" showDropDown="false">
      <formula1>"הוצאה,הכנסה"</formula1>
    </dataValidation>
    <dataValidation type="list" sqref="E313" allowBlank="true" errorStyle="stop" showDropDown="false">
      <formula1>"הוצאה,הכנסה"</formula1>
    </dataValidation>
    <dataValidation type="list" sqref="E314" allowBlank="true" errorStyle="stop" showDropDown="false">
      <formula1>"הוצאה,הכנסה"</formula1>
    </dataValidation>
    <dataValidation type="list" sqref="E315" allowBlank="true" errorStyle="stop" showDropDown="false">
      <formula1>"הוצאה,הכנסה"</formula1>
    </dataValidation>
    <dataValidation type="list" sqref="E316" allowBlank="true" errorStyle="stop" showDropDown="false">
      <formula1>"הוצאה,הכנסה"</formula1>
    </dataValidation>
    <dataValidation type="list" sqref="E317" allowBlank="true" errorStyle="stop" showDropDown="false">
      <formula1>"הוצאה,הכנסה"</formula1>
    </dataValidation>
    <dataValidation type="list" sqref="E318" allowBlank="true" errorStyle="stop" showDropDown="false">
      <formula1>"הוצאה,הכנסה"</formula1>
    </dataValidation>
    <dataValidation type="list" sqref="E319" allowBlank="true" errorStyle="stop" showDropDown="false">
      <formula1>"הוצאה,הכנסה"</formula1>
    </dataValidation>
    <dataValidation type="list" sqref="E320" allowBlank="true" errorStyle="stop" showDropDown="false">
      <formula1>"הוצאה,הכנסה"</formula1>
    </dataValidation>
    <dataValidation type="list" sqref="E321" allowBlank="true" errorStyle="stop" showDropDown="false">
      <formula1>"הוצאה,הכנסה"</formula1>
    </dataValidation>
    <dataValidation type="list" sqref="E322" allowBlank="true" errorStyle="stop" showDropDown="false">
      <formula1>"הוצאה,הכנסה"</formula1>
    </dataValidation>
    <dataValidation type="list" sqref="E323" allowBlank="true" errorStyle="stop" showDropDown="false">
      <formula1>"הוצאה,הכנסה"</formula1>
    </dataValidation>
    <dataValidation type="list" sqref="E324" allowBlank="true" errorStyle="stop" showDropDown="false">
      <formula1>"הוצאה,הכנסה"</formula1>
    </dataValidation>
    <dataValidation type="list" sqref="E325" allowBlank="true" errorStyle="stop" showDropDown="false">
      <formula1>"הוצאה,הכנסה"</formula1>
    </dataValidation>
    <dataValidation type="list" sqref="E326" allowBlank="true" errorStyle="stop" showDropDown="false">
      <formula1>"הוצאה,הכנסה"</formula1>
    </dataValidation>
    <dataValidation type="list" sqref="E327" allowBlank="true" errorStyle="stop" showDropDown="false">
      <formula1>"הוצאה,הכנסה"</formula1>
    </dataValidation>
    <dataValidation type="list" sqref="E328" allowBlank="true" errorStyle="stop" showDropDown="false">
      <formula1>"הוצאה,הכנסה"</formula1>
    </dataValidation>
    <dataValidation type="list" sqref="E329" allowBlank="true" errorStyle="stop" showDropDown="false">
      <formula1>"הוצאה,הכנסה"</formula1>
    </dataValidation>
    <dataValidation type="list" sqref="E330" allowBlank="true" errorStyle="stop" showDropDown="false">
      <formula1>"הוצאה,הכנסה"</formula1>
    </dataValidation>
    <dataValidation type="list" sqref="E331" allowBlank="true" errorStyle="stop" showDropDown="false">
      <formula1>"הוצאה,הכנסה"</formula1>
    </dataValidation>
    <dataValidation type="list" sqref="E332" allowBlank="true" errorStyle="stop" showDropDown="false">
      <formula1>"הוצאה,הכנסה"</formula1>
    </dataValidation>
    <dataValidation type="list" sqref="E333" allowBlank="true" errorStyle="stop" showDropDown="false">
      <formula1>"הוצאה,הכנסה"</formula1>
    </dataValidation>
    <dataValidation type="list" sqref="E334" allowBlank="true" errorStyle="stop" showDropDown="false">
      <formula1>"הוצאה,הכנסה"</formula1>
    </dataValidation>
    <dataValidation type="list" sqref="E335" allowBlank="true" errorStyle="stop" showDropDown="false">
      <formula1>"הוצאה,הכנסה"</formula1>
    </dataValidation>
    <dataValidation type="list" sqref="E336" allowBlank="true" errorStyle="stop" showDropDown="false">
      <formula1>"הוצאה,הכנסה"</formula1>
    </dataValidation>
    <dataValidation type="list" sqref="E337" allowBlank="true" errorStyle="stop" showDropDown="false">
      <formula1>"הוצאה,הכנסה"</formula1>
    </dataValidation>
    <dataValidation type="list" sqref="E338" allowBlank="true" errorStyle="stop" showDropDown="false">
      <formula1>"הוצאה,הכנסה"</formula1>
    </dataValidation>
    <dataValidation type="list" sqref="E339" allowBlank="true" errorStyle="stop" showDropDown="false">
      <formula1>"הוצאה,הכנסה"</formula1>
    </dataValidation>
    <dataValidation type="list" sqref="E340" allowBlank="true" errorStyle="stop" showDropDown="false">
      <formula1>"הוצאה,הכנסה"</formula1>
    </dataValidation>
    <dataValidation type="list" sqref="E341" allowBlank="true" errorStyle="stop" showDropDown="false">
      <formula1>"הוצאה,הכנסה"</formula1>
    </dataValidation>
    <dataValidation type="list" sqref="E342" allowBlank="true" errorStyle="stop" showDropDown="false">
      <formula1>"הוצאה,הכנסה"</formula1>
    </dataValidation>
    <dataValidation type="list" sqref="E343" allowBlank="true" errorStyle="stop" showDropDown="false">
      <formula1>"הוצאה,הכנסה"</formula1>
    </dataValidation>
    <dataValidation type="list" sqref="E344" allowBlank="true" errorStyle="stop" showDropDown="false">
      <formula1>"הוצאה,הכנסה"</formula1>
    </dataValidation>
    <dataValidation type="list" sqref="E345" allowBlank="true" errorStyle="stop" showDropDown="false">
      <formula1>"הוצאה,הכנסה"</formula1>
    </dataValidation>
    <dataValidation type="list" sqref="E346" allowBlank="true" errorStyle="stop" showDropDown="false">
      <formula1>"הוצאה,הכנסה"</formula1>
    </dataValidation>
    <dataValidation type="list" sqref="E347" allowBlank="true" errorStyle="stop" showDropDown="false">
      <formula1>"הוצאה,הכנסה"</formula1>
    </dataValidation>
    <dataValidation type="list" sqref="E348" allowBlank="true" errorStyle="stop" showDropDown="false">
      <formula1>"הוצאה,הכנסה"</formula1>
    </dataValidation>
    <dataValidation type="list" sqref="E349" allowBlank="true" errorStyle="stop" showDropDown="false">
      <formula1>"הוצאה,הכנסה"</formula1>
    </dataValidation>
    <dataValidation type="list" sqref="E350" allowBlank="true" errorStyle="stop" showDropDown="false">
      <formula1>"הוצאה,הכנסה"</formula1>
    </dataValidation>
    <dataValidation type="list" sqref="E351" allowBlank="true" errorStyle="stop" showDropDown="false">
      <formula1>"הוצאה,הכנסה"</formula1>
    </dataValidation>
    <dataValidation type="list" sqref="E352" allowBlank="true" errorStyle="stop" showDropDown="false">
      <formula1>"הוצאה,הכנסה"</formula1>
    </dataValidation>
    <dataValidation type="list" sqref="E353" allowBlank="true" errorStyle="stop" showDropDown="false">
      <formula1>"הוצאה,הכנסה"</formula1>
    </dataValidation>
    <dataValidation type="list" sqref="E354" allowBlank="true" errorStyle="stop" showDropDown="false">
      <formula1>"הוצאה,הכנסה"</formula1>
    </dataValidation>
    <dataValidation type="list" sqref="E355" allowBlank="true" errorStyle="stop" showDropDown="false">
      <formula1>"הוצאה,הכנסה"</formula1>
    </dataValidation>
    <dataValidation type="list" sqref="E356" allowBlank="true" errorStyle="stop" showDropDown="false">
      <formula1>"הוצאה,הכנסה"</formula1>
    </dataValidation>
    <dataValidation type="list" sqref="E357" allowBlank="true" errorStyle="stop" showDropDown="false">
      <formula1>"הוצאה,הכנסה"</formula1>
    </dataValidation>
    <dataValidation type="list" sqref="E358" allowBlank="true" errorStyle="stop" showDropDown="false">
      <formula1>"הוצאה,הכנסה"</formula1>
    </dataValidation>
    <dataValidation type="list" sqref="E359" allowBlank="true" errorStyle="stop" showDropDown="false">
      <formula1>"הוצאה,הכנסה"</formula1>
    </dataValidation>
    <dataValidation type="list" sqref="E360" allowBlank="true" errorStyle="stop" showDropDown="false">
      <formula1>"הוצאה,הכנסה"</formula1>
    </dataValidation>
    <dataValidation type="list" sqref="E361" allowBlank="true" errorStyle="stop" showDropDown="false">
      <formula1>"הוצאה,הכנסה"</formula1>
    </dataValidation>
    <dataValidation type="list" sqref="E362" allowBlank="true" errorStyle="stop" showDropDown="false">
      <formula1>"הוצאה,הכנסה"</formula1>
    </dataValidation>
    <dataValidation type="list" sqref="E363" allowBlank="true" errorStyle="stop" showDropDown="false">
      <formula1>"הוצאה,הכנסה"</formula1>
    </dataValidation>
    <dataValidation type="list" sqref="E364" allowBlank="true" errorStyle="stop" showDropDown="false">
      <formula1>"הוצאה,הכנסה"</formula1>
    </dataValidation>
    <dataValidation type="list" sqref="E365" allowBlank="true" errorStyle="stop" showDropDown="false">
      <formula1>"הוצאה,הכנסה"</formula1>
    </dataValidation>
    <dataValidation type="list" sqref="E366" allowBlank="true" errorStyle="stop" showDropDown="false">
      <formula1>"הוצאה,הכנסה"</formula1>
    </dataValidation>
    <dataValidation type="list" sqref="E367" allowBlank="true" errorStyle="stop" showDropDown="false">
      <formula1>"הוצאה,הכנסה"</formula1>
    </dataValidation>
    <dataValidation type="list" sqref="E368" allowBlank="true" errorStyle="stop" showDropDown="false">
      <formula1>"הוצאה,הכנסה"</formula1>
    </dataValidation>
    <dataValidation type="list" sqref="E369" allowBlank="true" errorStyle="stop" showDropDown="false">
      <formula1>"הוצאה,הכנסה"</formula1>
    </dataValidation>
    <dataValidation type="list" sqref="E370" allowBlank="true" errorStyle="stop" showDropDown="false">
      <formula1>"הוצאה,הכנסה"</formula1>
    </dataValidation>
    <dataValidation type="list" sqref="E371" allowBlank="true" errorStyle="stop" showDropDown="false">
      <formula1>"הוצאה,הכנסה"</formula1>
    </dataValidation>
    <dataValidation type="list" sqref="E372" allowBlank="true" errorStyle="stop" showDropDown="false">
      <formula1>"הוצאה,הכנסה"</formula1>
    </dataValidation>
    <dataValidation type="list" sqref="E373" allowBlank="true" errorStyle="stop" showDropDown="false">
      <formula1>"הוצאה,הכנסה"</formula1>
    </dataValidation>
    <dataValidation type="list" sqref="E374" allowBlank="true" errorStyle="stop" showDropDown="false">
      <formula1>"הוצאה,הכנסה"</formula1>
    </dataValidation>
    <dataValidation type="list" sqref="E375" allowBlank="true" errorStyle="stop" showDropDown="false">
      <formula1>"הוצאה,הכנסה"</formula1>
    </dataValidation>
    <dataValidation type="list" sqref="E376" allowBlank="true" errorStyle="stop" showDropDown="false">
      <formula1>"הוצאה,הכנסה"</formula1>
    </dataValidation>
    <dataValidation type="list" sqref="E377" allowBlank="true" errorStyle="stop" showDropDown="false">
      <formula1>"הוצאה,הכנסה"</formula1>
    </dataValidation>
    <dataValidation type="list" sqref="E378" allowBlank="true" errorStyle="stop" showDropDown="false">
      <formula1>"הוצאה,הכנסה"</formula1>
    </dataValidation>
    <dataValidation type="list" sqref="E379" allowBlank="true" errorStyle="stop" showDropDown="false">
      <formula1>"הוצאה,הכנסה"</formula1>
    </dataValidation>
    <dataValidation type="list" sqref="E380" allowBlank="true" errorStyle="stop" showDropDown="false">
      <formula1>"הוצאה,הכנסה"</formula1>
    </dataValidation>
    <dataValidation type="list" sqref="E381" allowBlank="true" errorStyle="stop" showDropDown="false">
      <formula1>"הוצאה,הכנסה"</formula1>
    </dataValidation>
    <dataValidation type="list" sqref="E382" allowBlank="true" errorStyle="stop" showDropDown="false">
      <formula1>"הוצאה,הכנסה"</formula1>
    </dataValidation>
    <dataValidation type="list" sqref="E383" allowBlank="true" errorStyle="stop" showDropDown="false">
      <formula1>"הוצאה,הכנסה"</formula1>
    </dataValidation>
    <dataValidation type="list" sqref="E384" allowBlank="true" errorStyle="stop" showDropDown="false">
      <formula1>"הוצאה,הכנסה"</formula1>
    </dataValidation>
    <dataValidation type="list" sqref="E385" allowBlank="true" errorStyle="stop" showDropDown="false">
      <formula1>"הוצאה,הכנסה"</formula1>
    </dataValidation>
    <dataValidation type="list" sqref="E386" allowBlank="true" errorStyle="stop" showDropDown="false">
      <formula1>"הוצאה,הכנסה"</formula1>
    </dataValidation>
    <dataValidation type="list" sqref="E387" allowBlank="true" errorStyle="stop" showDropDown="false">
      <formula1>"הוצאה,הכנסה"</formula1>
    </dataValidation>
    <dataValidation type="list" sqref="E388" allowBlank="true" errorStyle="stop" showDropDown="false">
      <formula1>"הוצאה,הכנסה"</formula1>
    </dataValidation>
    <dataValidation type="list" sqref="E389" allowBlank="true" errorStyle="stop" showDropDown="false">
      <formula1>"הוצאה,הכנסה"</formula1>
    </dataValidation>
    <dataValidation type="list" sqref="E390" allowBlank="true" errorStyle="stop" showDropDown="false">
      <formula1>"הוצאה,הכנסה"</formula1>
    </dataValidation>
    <dataValidation type="list" sqref="E391" allowBlank="true" errorStyle="stop" showDropDown="false">
      <formula1>"הוצאה,הכנסה"</formula1>
    </dataValidation>
    <dataValidation type="list" sqref="E392" allowBlank="true" errorStyle="stop" showDropDown="false">
      <formula1>"הוצאה,הכנסה"</formula1>
    </dataValidation>
    <dataValidation type="list" sqref="E393" allowBlank="true" errorStyle="stop" showDropDown="false">
      <formula1>"הוצאה,הכנסה"</formula1>
    </dataValidation>
    <dataValidation type="list" sqref="E394" allowBlank="true" errorStyle="stop" showDropDown="false">
      <formula1>"הוצאה,הכנסה"</formula1>
    </dataValidation>
    <dataValidation type="list" sqref="E395" allowBlank="true" errorStyle="stop" showDropDown="false">
      <formula1>"הוצאה,הכנסה"</formula1>
    </dataValidation>
    <dataValidation type="list" sqref="E396" allowBlank="true" errorStyle="stop" showDropDown="false">
      <formula1>"הוצאה,הכנסה"</formula1>
    </dataValidation>
    <dataValidation type="list" sqref="E397" allowBlank="true" errorStyle="stop" showDropDown="false">
      <formula1>"הוצאה,הכנסה"</formula1>
    </dataValidation>
    <dataValidation type="list" sqref="E398" allowBlank="true" errorStyle="stop" showDropDown="false">
      <formula1>"הוצאה,הכנסה"</formula1>
    </dataValidation>
    <dataValidation type="list" sqref="E399" allowBlank="true" errorStyle="stop" showDropDown="false">
      <formula1>"הוצאה,הכנסה"</formula1>
    </dataValidation>
    <dataValidation type="list" sqref="E400" allowBlank="true" errorStyle="stop" showDropDown="false">
      <formula1>"הוצאה,הכנסה"</formula1>
    </dataValidation>
    <dataValidation type="list" sqref="E401" allowBlank="true" errorStyle="stop" showDropDown="false">
      <formula1>"הוצאה,הכנסה"</formula1>
    </dataValidation>
    <dataValidation type="list" sqref="E402" allowBlank="true" errorStyle="stop" showDropDown="false">
      <formula1>"הוצאה,הכנסה"</formula1>
    </dataValidation>
    <dataValidation type="list" sqref="E403" allowBlank="true" errorStyle="stop" showDropDown="false">
      <formula1>"הוצאה,הכנסה"</formula1>
    </dataValidation>
    <dataValidation type="list" sqref="E404" allowBlank="true" errorStyle="stop" showDropDown="false">
      <formula1>"הוצאה,הכנסה"</formula1>
    </dataValidation>
    <dataValidation type="list" sqref="E405" allowBlank="true" errorStyle="stop" showDropDown="false">
      <formula1>"הוצאה,הכנסה"</formula1>
    </dataValidation>
    <dataValidation type="list" sqref="E406" allowBlank="true" errorStyle="stop" showDropDown="false">
      <formula1>"הוצאה,הכנסה"</formula1>
    </dataValidation>
    <dataValidation type="list" sqref="E407" allowBlank="true" errorStyle="stop" showDropDown="false">
      <formula1>"הוצאה,הכנסה"</formula1>
    </dataValidation>
    <dataValidation type="list" sqref="E408" allowBlank="true" errorStyle="stop" showDropDown="false">
      <formula1>"הוצאה,הכנסה"</formula1>
    </dataValidation>
    <dataValidation type="list" sqref="E409" allowBlank="true" errorStyle="stop" showDropDown="false">
      <formula1>"הוצאה,הכנסה"</formula1>
    </dataValidation>
    <dataValidation type="list" sqref="E410" allowBlank="true" errorStyle="stop" showDropDown="false">
      <formula1>"הוצאה,הכנסה"</formula1>
    </dataValidation>
    <dataValidation type="list" sqref="E411" allowBlank="true" errorStyle="stop" showDropDown="false">
      <formula1>"הוצאה,הכנסה"</formula1>
    </dataValidation>
    <dataValidation type="list" sqref="E412" allowBlank="true" errorStyle="stop" showDropDown="false">
      <formula1>"הוצאה,הכנסה"</formula1>
    </dataValidation>
    <dataValidation type="list" sqref="E413" allowBlank="true" errorStyle="stop" showDropDown="false">
      <formula1>"הוצאה,הכנסה"</formula1>
    </dataValidation>
    <dataValidation type="list" sqref="E414" allowBlank="true" errorStyle="stop" showDropDown="false">
      <formula1>"הוצאה,הכנסה"</formula1>
    </dataValidation>
    <dataValidation type="list" sqref="E415" allowBlank="true" errorStyle="stop" showDropDown="false">
      <formula1>"הוצאה,הכנסה"</formula1>
    </dataValidation>
    <dataValidation type="list" sqref="E416" allowBlank="true" errorStyle="stop" showDropDown="false">
      <formula1>"הוצאה,הכנסה"</formula1>
    </dataValidation>
    <dataValidation type="list" sqref="E417" allowBlank="true" errorStyle="stop" showDropDown="false">
      <formula1>"הוצאה,הכנסה"</formula1>
    </dataValidation>
    <dataValidation type="list" sqref="E418" allowBlank="true" errorStyle="stop" showDropDown="false">
      <formula1>"הוצאה,הכנסה"</formula1>
    </dataValidation>
    <dataValidation type="list" sqref="E419" allowBlank="true" errorStyle="stop" showDropDown="false">
      <formula1>"הוצאה,הכנסה"</formula1>
    </dataValidation>
    <dataValidation type="list" sqref="E420" allowBlank="true" errorStyle="stop" showDropDown="false">
      <formula1>"הוצאה,הכנסה"</formula1>
    </dataValidation>
    <dataValidation type="list" sqref="E421" allowBlank="true" errorStyle="stop" showDropDown="false">
      <formula1>"הוצאה,הכנסה"</formula1>
    </dataValidation>
    <dataValidation type="list" sqref="E422" allowBlank="true" errorStyle="stop" showDropDown="false">
      <formula1>"הוצאה,הכנסה"</formula1>
    </dataValidation>
    <dataValidation type="list" sqref="E423" allowBlank="true" errorStyle="stop" showDropDown="false">
      <formula1>"הוצאה,הכנסה"</formula1>
    </dataValidation>
    <dataValidation type="list" sqref="E424" allowBlank="true" errorStyle="stop" showDropDown="false">
      <formula1>"הוצאה,הכנסה"</formula1>
    </dataValidation>
    <dataValidation type="list" sqref="E425" allowBlank="true" errorStyle="stop" showDropDown="false">
      <formula1>"הוצאה,הכנסה"</formula1>
    </dataValidation>
    <dataValidation type="list" sqref="E426" allowBlank="true" errorStyle="stop" showDropDown="false">
      <formula1>"הוצאה,הכנסה"</formula1>
    </dataValidation>
    <dataValidation type="list" sqref="E427" allowBlank="true" errorStyle="stop" showDropDown="false">
      <formula1>"הוצאה,הכנסה"</formula1>
    </dataValidation>
    <dataValidation type="list" sqref="E428" allowBlank="true" errorStyle="stop" showDropDown="false">
      <formula1>"הוצאה,הכנסה"</formula1>
    </dataValidation>
    <dataValidation type="list" sqref="E429" allowBlank="true" errorStyle="stop" showDropDown="false">
      <formula1>"הוצאה,הכנסה"</formula1>
    </dataValidation>
    <dataValidation type="list" sqref="E430" allowBlank="true" errorStyle="stop" showDropDown="false">
      <formula1>"הוצאה,הכנסה"</formula1>
    </dataValidation>
    <dataValidation type="list" sqref="E431" allowBlank="true" errorStyle="stop" showDropDown="false">
      <formula1>"הוצאה,הכנסה"</formula1>
    </dataValidation>
    <dataValidation type="list" sqref="E432" allowBlank="true" errorStyle="stop" showDropDown="false">
      <formula1>"הוצאה,הכנסה"</formula1>
    </dataValidation>
    <dataValidation type="list" sqref="E433" allowBlank="true" errorStyle="stop" showDropDown="false">
      <formula1>"הוצאה,הכנסה"</formula1>
    </dataValidation>
    <dataValidation type="list" sqref="E434" allowBlank="true" errorStyle="stop" showDropDown="false">
      <formula1>"הוצאה,הכנסה"</formula1>
    </dataValidation>
    <dataValidation type="list" sqref="E435" allowBlank="true" errorStyle="stop" showDropDown="false">
      <formula1>"הוצאה,הכנסה"</formula1>
    </dataValidation>
    <dataValidation type="list" sqref="E436" allowBlank="true" errorStyle="stop" showDropDown="false">
      <formula1>"הוצאה,הכנסה"</formula1>
    </dataValidation>
    <dataValidation type="list" sqref="E437" allowBlank="true" errorStyle="stop" showDropDown="false">
      <formula1>"הוצאה,הכנסה"</formula1>
    </dataValidation>
    <dataValidation type="list" sqref="E438" allowBlank="true" errorStyle="stop" showDropDown="false">
      <formula1>"הוצאה,הכנסה"</formula1>
    </dataValidation>
    <dataValidation type="list" sqref="E439" allowBlank="true" errorStyle="stop" showDropDown="false">
      <formula1>"הוצאה,הכנסה"</formula1>
    </dataValidation>
    <dataValidation type="list" sqref="E440" allowBlank="true" errorStyle="stop" showDropDown="false">
      <formula1>"הוצאה,הכנסה"</formula1>
    </dataValidation>
    <dataValidation type="list" sqref="E441" allowBlank="true" errorStyle="stop" showDropDown="false">
      <formula1>"הוצאה,הכנסה"</formula1>
    </dataValidation>
    <dataValidation type="list" sqref="E442" allowBlank="true" errorStyle="stop" showDropDown="false">
      <formula1>"הוצאה,הכנסה"</formula1>
    </dataValidation>
    <dataValidation type="list" sqref="E443" allowBlank="true" errorStyle="stop" showDropDown="false">
      <formula1>"הוצאה,הכנסה"</formula1>
    </dataValidation>
    <dataValidation type="list" sqref="E444" allowBlank="true" errorStyle="stop" showDropDown="false">
      <formula1>"הוצאה,הכנסה"</formula1>
    </dataValidation>
    <dataValidation type="list" sqref="E445" allowBlank="true" errorStyle="stop" showDropDown="false">
      <formula1>"הוצאה,הכנסה"</formula1>
    </dataValidation>
    <dataValidation type="list" sqref="E446" allowBlank="true" errorStyle="stop" showDropDown="false">
      <formula1>"הוצאה,הכנסה"</formula1>
    </dataValidation>
    <dataValidation type="list" sqref="E447" allowBlank="true" errorStyle="stop" showDropDown="false">
      <formula1>"הוצאה,הכנסה"</formula1>
    </dataValidation>
    <dataValidation type="list" sqref="E448" allowBlank="true" errorStyle="stop" showDropDown="false">
      <formula1>"הוצאה,הכנסה"</formula1>
    </dataValidation>
    <dataValidation type="list" sqref="E449" allowBlank="true" errorStyle="stop" showDropDown="false">
      <formula1>"הוצאה,הכנסה"</formula1>
    </dataValidation>
    <dataValidation type="list" sqref="E450" allowBlank="true" errorStyle="stop" showDropDown="false">
      <formula1>"הוצאה,הכנסה"</formula1>
    </dataValidation>
    <dataValidation type="list" sqref="E451" allowBlank="true" errorStyle="stop" showDropDown="false">
      <formula1>"הוצאה,הכנסה"</formula1>
    </dataValidation>
    <dataValidation type="list" sqref="E452" allowBlank="true" errorStyle="stop" showDropDown="false">
      <formula1>"הוצאה,הכנסה"</formula1>
    </dataValidation>
    <dataValidation type="list" sqref="E453" allowBlank="true" errorStyle="stop" showDropDown="false">
      <formula1>"הוצאה,הכנסה"</formula1>
    </dataValidation>
    <dataValidation type="list" sqref="E454" allowBlank="true" errorStyle="stop" showDropDown="false">
      <formula1>"הוצאה,הכנסה"</formula1>
    </dataValidation>
    <dataValidation type="list" sqref="E455" allowBlank="true" errorStyle="stop" showDropDown="false">
      <formula1>"הוצאה,הכנסה"</formula1>
    </dataValidation>
    <dataValidation type="list" sqref="E456" allowBlank="true" errorStyle="stop" showDropDown="false">
      <formula1>"הוצאה,הכנסה"</formula1>
    </dataValidation>
    <dataValidation type="list" sqref="E457" allowBlank="true" errorStyle="stop" showDropDown="false">
      <formula1>"הוצאה,הכנסה"</formula1>
    </dataValidation>
    <dataValidation type="list" sqref="E458" allowBlank="true" errorStyle="stop" showDropDown="false">
      <formula1>"הוצאה,הכנסה"</formula1>
    </dataValidation>
    <dataValidation type="list" sqref="E459" allowBlank="true" errorStyle="stop" showDropDown="false">
      <formula1>"הוצאה,הכנסה"</formula1>
    </dataValidation>
    <dataValidation type="list" sqref="E460" allowBlank="true" errorStyle="stop" showDropDown="false">
      <formula1>"הוצאה,הכנסה"</formula1>
    </dataValidation>
    <dataValidation type="list" sqref="E461" allowBlank="true" errorStyle="stop" showDropDown="false">
      <formula1>"הוצאה,הכנסה"</formula1>
    </dataValidation>
    <dataValidation type="list" sqref="E462" allowBlank="true" errorStyle="stop" showDropDown="false">
      <formula1>"הוצאה,הכנסה"</formula1>
    </dataValidation>
    <dataValidation type="list" sqref="E463" allowBlank="true" errorStyle="stop" showDropDown="false">
      <formula1>"הוצאה,הכנסה"</formula1>
    </dataValidation>
    <dataValidation type="list" sqref="E464" allowBlank="true" errorStyle="stop" showDropDown="false">
      <formula1>"הוצאה,הכנסה"</formula1>
    </dataValidation>
    <dataValidation type="list" sqref="E465" allowBlank="true" errorStyle="stop" showDropDown="false">
      <formula1>"הוצאה,הכנסה"</formula1>
    </dataValidation>
    <dataValidation type="list" sqref="E466" allowBlank="true" errorStyle="stop" showDropDown="false">
      <formula1>"הוצאה,הכנסה"</formula1>
    </dataValidation>
    <dataValidation type="list" sqref="E467" allowBlank="true" errorStyle="stop" showDropDown="false">
      <formula1>"הוצאה,הכנסה"</formula1>
    </dataValidation>
    <dataValidation type="list" sqref="E468" allowBlank="true" errorStyle="stop" showDropDown="false">
      <formula1>"הוצאה,הכנסה"</formula1>
    </dataValidation>
    <dataValidation type="list" sqref="E469" allowBlank="true" errorStyle="stop" showDropDown="false">
      <formula1>"הוצאה,הכנסה"</formula1>
    </dataValidation>
    <dataValidation type="list" sqref="E470" allowBlank="true" errorStyle="stop" showDropDown="false">
      <formula1>"הוצאה,הכנסה"</formula1>
    </dataValidation>
    <dataValidation type="list" sqref="E471" allowBlank="true" errorStyle="stop" showDropDown="false">
      <formula1>"הוצאה,הכנסה"</formula1>
    </dataValidation>
    <dataValidation type="list" sqref="E472" allowBlank="true" errorStyle="stop" showDropDown="false">
      <formula1>"הוצאה,הכנסה"</formula1>
    </dataValidation>
    <dataValidation type="list" sqref="E473" allowBlank="true" errorStyle="stop" showDropDown="false">
      <formula1>"הוצאה,הכנסה"</formula1>
    </dataValidation>
    <dataValidation type="list" sqref="E474" allowBlank="true" errorStyle="stop" showDropDown="false">
      <formula1>"הוצאה,הכנסה"</formula1>
    </dataValidation>
    <dataValidation type="list" sqref="E475" allowBlank="true" errorStyle="stop" showDropDown="false">
      <formula1>"הוצאה,הכנסה"</formula1>
    </dataValidation>
    <dataValidation type="list" sqref="E476" allowBlank="true" errorStyle="stop" showDropDown="false">
      <formula1>"הוצאה,הכנסה"</formula1>
    </dataValidation>
    <dataValidation type="list" sqref="E477" allowBlank="true" errorStyle="stop" showDropDown="false">
      <formula1>"הוצאה,הכנסה"</formula1>
    </dataValidation>
    <dataValidation type="list" sqref="E478" allowBlank="true" errorStyle="stop" showDropDown="false">
      <formula1>"הוצאה,הכנסה"</formula1>
    </dataValidation>
    <dataValidation type="list" sqref="E479" allowBlank="true" errorStyle="stop" showDropDown="false">
      <formula1>"הוצאה,הכנסה"</formula1>
    </dataValidation>
    <dataValidation type="list" sqref="E480" allowBlank="true" errorStyle="stop" showDropDown="false">
      <formula1>"הוצאה,הכנסה"</formula1>
    </dataValidation>
    <dataValidation type="list" sqref="E481" allowBlank="true" errorStyle="stop" showDropDown="false">
      <formula1>"הוצאה,הכנסה"</formula1>
    </dataValidation>
    <dataValidation type="list" sqref="E482" allowBlank="true" errorStyle="stop" showDropDown="false">
      <formula1>"הוצאה,הכנסה"</formula1>
    </dataValidation>
    <dataValidation type="list" sqref="E483" allowBlank="true" errorStyle="stop" showDropDown="false">
      <formula1>"הוצאה,הכנסה"</formula1>
    </dataValidation>
    <dataValidation type="list" sqref="E484" allowBlank="true" errorStyle="stop" showDropDown="false">
      <formula1>"הוצאה,הכנסה"</formula1>
    </dataValidation>
    <dataValidation type="list" sqref="E485" allowBlank="true" errorStyle="stop" showDropDown="false">
      <formula1>"הוצאה,הכנסה"</formula1>
    </dataValidation>
    <dataValidation type="list" sqref="E486" allowBlank="true" errorStyle="stop" showDropDown="false">
      <formula1>"הוצאה,הכנסה"</formula1>
    </dataValidation>
    <dataValidation type="list" sqref="E487" allowBlank="true" errorStyle="stop" showDropDown="false">
      <formula1>"הוצאה,הכנסה"</formula1>
    </dataValidation>
    <dataValidation type="list" sqref="E488" allowBlank="true" errorStyle="stop" showDropDown="false">
      <formula1>"הוצאה,הכנסה"</formula1>
    </dataValidation>
    <dataValidation type="list" sqref="E489" allowBlank="true" errorStyle="stop" showDropDown="false">
      <formula1>"הוצאה,הכנסה"</formula1>
    </dataValidation>
    <dataValidation type="list" sqref="E490" allowBlank="true" errorStyle="stop" showDropDown="false">
      <formula1>"הוצאה,הכנסה"</formula1>
    </dataValidation>
    <dataValidation type="list" sqref="E491" allowBlank="true" errorStyle="stop" showDropDown="false">
      <formula1>"הוצאה,הכנסה"</formula1>
    </dataValidation>
    <dataValidation type="list" sqref="E492" allowBlank="true" errorStyle="stop" showDropDown="false">
      <formula1>"הוצאה,הכנסה"</formula1>
    </dataValidation>
    <dataValidation type="list" sqref="E493" allowBlank="true" errorStyle="stop" showDropDown="false">
      <formula1>"הוצאה,הכנסה"</formula1>
    </dataValidation>
    <dataValidation type="list" sqref="E494" allowBlank="true" errorStyle="stop" showDropDown="false">
      <formula1>"הוצאה,הכנסה"</formula1>
    </dataValidation>
    <dataValidation type="list" sqref="E495" allowBlank="true" errorStyle="stop" showDropDown="false">
      <formula1>"הוצאה,הכנסה"</formula1>
    </dataValidation>
    <dataValidation type="list" sqref="E496" allowBlank="true" errorStyle="stop" showDropDown="false">
      <formula1>"הוצאה,הכנסה"</formula1>
    </dataValidation>
    <dataValidation type="list" sqref="E497" allowBlank="true" errorStyle="stop" showDropDown="false">
      <formula1>"הוצאה,הכנסה"</formula1>
    </dataValidation>
    <dataValidation type="list" sqref="E498" allowBlank="true" errorStyle="stop" showDropDown="false">
      <formula1>"הוצאה,הכנסה"</formula1>
    </dataValidation>
    <dataValidation type="list" sqref="E499" allowBlank="true" errorStyle="stop" showDropDown="false">
      <formula1>"הוצאה,הכנסה"</formula1>
    </dataValidation>
    <dataValidation type="list" sqref="E500" allowBlank="true" errorStyle="stop" showDropDown="false">
      <formula1>"הוצאה,הכנסה"</formula1>
    </dataValidation>
    <dataValidation type="list" sqref="E501" allowBlank="true" errorStyle="stop" showDropDown="false">
      <formula1>"הוצאה,הכנסה"</formula1>
    </dataValidation>
    <dataValidation type="list" sqref="E502" allowBlank="true" errorStyle="stop" showDropDown="false">
      <formula1>"הוצאה,הכנסה"</formula1>
    </dataValidation>
    <dataValidation type="list" sqref="E503" allowBlank="true" errorStyle="stop" showDropDown="false">
      <formula1>"הוצאה,הכנסה"</formula1>
    </dataValidation>
    <dataValidation type="list" sqref="E504" allowBlank="true" errorStyle="stop" showDropDown="false">
      <formula1>"הוצאה,הכנסה"</formula1>
    </dataValidation>
    <dataValidation type="list" sqref="E505" allowBlank="true" errorStyle="stop" showDropDown="false">
      <formula1>"הוצאה,הכנסה"</formula1>
    </dataValidation>
    <dataValidation type="list" sqref="E506" allowBlank="true" errorStyle="stop" showDropDown="false">
      <formula1>"הוצאה,הכנסה"</formula1>
    </dataValidation>
    <dataValidation type="list" sqref="E507" allowBlank="true" errorStyle="stop" showDropDown="false">
      <formula1>"הוצאה,הכנסה"</formula1>
    </dataValidation>
    <dataValidation type="list" sqref="E508" allowBlank="true" errorStyle="stop" showDropDown="false">
      <formula1>"הוצאה,הכנסה"</formula1>
    </dataValidation>
    <dataValidation type="list" sqref="E509" allowBlank="true" errorStyle="stop" showDropDown="false">
      <formula1>"הוצאה,הכנסה"</formula1>
    </dataValidation>
    <dataValidation type="list" sqref="E510" allowBlank="true" errorStyle="stop" showDropDown="false">
      <formula1>"הוצאה,הכנסה"</formula1>
    </dataValidation>
    <dataValidation type="list" sqref="E511" allowBlank="true" errorStyle="stop" showDropDown="false">
      <formula1>"הוצאה,הכנסה"</formula1>
    </dataValidation>
    <dataValidation type="list" sqref="E512" allowBlank="true" errorStyle="stop" showDropDown="false">
      <formula1>"הוצאה,הכנסה"</formula1>
    </dataValidation>
    <dataValidation type="list" sqref="E513" allowBlank="true" errorStyle="stop" showDropDown="false">
      <formula1>"הוצאה,הכנסה"</formula1>
    </dataValidation>
    <dataValidation type="list" sqref="E514" allowBlank="true" errorStyle="stop" showDropDown="false">
      <formula1>"הוצאה,הכנסה"</formula1>
    </dataValidation>
    <dataValidation type="list" sqref="E515" allowBlank="true" errorStyle="stop" showDropDown="false">
      <formula1>"הוצאה,הכנסה"</formula1>
    </dataValidation>
    <dataValidation type="list" sqref="E516" allowBlank="true" errorStyle="stop" showDropDown="false">
      <formula1>"הוצאה,הכנסה"</formula1>
    </dataValidation>
    <dataValidation type="list" sqref="E517" allowBlank="true" errorStyle="stop" showDropDown="false">
      <formula1>"הוצאה,הכנסה"</formula1>
    </dataValidation>
    <dataValidation type="list" sqref="E518" allowBlank="true" errorStyle="stop" showDropDown="false">
      <formula1>"הוצאה,הכנסה"</formula1>
    </dataValidation>
    <dataValidation type="list" sqref="E519" allowBlank="true" errorStyle="stop" showDropDown="false">
      <formula1>"הוצאה,הכנסה"</formula1>
    </dataValidation>
    <dataValidation type="list" sqref="E520" allowBlank="true" errorStyle="stop" showDropDown="false">
      <formula1>"הוצאה,הכנסה"</formula1>
    </dataValidation>
    <dataValidation type="list" sqref="E521" allowBlank="true" errorStyle="stop" showDropDown="false">
      <formula1>"הוצאה,הכנסה"</formula1>
    </dataValidation>
    <dataValidation type="list" sqref="E522" allowBlank="true" errorStyle="stop" showDropDown="false">
      <formula1>"הוצאה,הכנסה"</formula1>
    </dataValidation>
    <dataValidation type="list" sqref="E523" allowBlank="true" errorStyle="stop" showDropDown="false">
      <formula1>"הוצאה,הכנסה"</formula1>
    </dataValidation>
    <dataValidation type="list" sqref="E524" allowBlank="true" errorStyle="stop" showDropDown="false">
      <formula1>"הוצאה,הכנסה"</formula1>
    </dataValidation>
    <dataValidation type="list" sqref="E525" allowBlank="true" errorStyle="stop" showDropDown="false">
      <formula1>"הוצאה,הכנסה"</formula1>
    </dataValidation>
    <dataValidation type="list" sqref="E526" allowBlank="true" errorStyle="stop" showDropDown="false">
      <formula1>"הוצאה,הכנסה"</formula1>
    </dataValidation>
    <dataValidation type="list" sqref="E527" allowBlank="true" errorStyle="stop" showDropDown="false">
      <formula1>"הוצאה,הכנסה"</formula1>
    </dataValidation>
    <dataValidation type="list" sqref="E528" allowBlank="true" errorStyle="stop" showDropDown="false">
      <formula1>"הוצאה,הכנסה"</formula1>
    </dataValidation>
    <dataValidation type="list" sqref="E529" allowBlank="true" errorStyle="stop" showDropDown="false">
      <formula1>"הוצאה,הכנסה"</formula1>
    </dataValidation>
    <dataValidation type="list" sqref="E530" allowBlank="true" errorStyle="stop" showDropDown="false">
      <formula1>"הוצאה,הכנסה"</formula1>
    </dataValidation>
    <dataValidation type="list" sqref="E531" allowBlank="true" errorStyle="stop" showDropDown="false">
      <formula1>"הוצאה,הכנסה"</formula1>
    </dataValidation>
    <dataValidation type="list" sqref="E532" allowBlank="true" errorStyle="stop" showDropDown="false">
      <formula1>"הוצאה,הכנסה"</formula1>
    </dataValidation>
    <dataValidation type="list" sqref="E533" allowBlank="true" errorStyle="stop" showDropDown="false">
      <formula1>"הוצאה,הכנסה"</formula1>
    </dataValidation>
    <dataValidation type="list" sqref="E534" allowBlank="true" errorStyle="stop" showDropDown="false">
      <formula1>"הוצאה,הכנסה"</formula1>
    </dataValidation>
    <dataValidation type="list" sqref="E535" allowBlank="true" errorStyle="stop" showDropDown="false">
      <formula1>"הוצאה,הכנסה"</formula1>
    </dataValidation>
    <dataValidation type="list" sqref="E536" allowBlank="true" errorStyle="stop" showDropDown="false">
      <formula1>"הוצאה,הכנסה"</formula1>
    </dataValidation>
    <dataValidation type="list" sqref="E537" allowBlank="true" errorStyle="stop" showDropDown="false">
      <formula1>"הוצאה,הכנסה"</formula1>
    </dataValidation>
    <dataValidation type="list" sqref="E538" allowBlank="true" errorStyle="stop" showDropDown="false">
      <formula1>"הוצאה,הכנסה"</formula1>
    </dataValidation>
    <dataValidation type="list" sqref="E539" allowBlank="true" errorStyle="stop" showDropDown="false">
      <formula1>"הוצאה,הכנסה"</formula1>
    </dataValidation>
    <dataValidation type="list" sqref="E540" allowBlank="true" errorStyle="stop" showDropDown="false">
      <formula1>"הוצאה,הכנסה"</formula1>
    </dataValidation>
    <dataValidation type="list" sqref="E541" allowBlank="true" errorStyle="stop" showDropDown="false">
      <formula1>"הוצאה,הכנסה"</formula1>
    </dataValidation>
    <dataValidation type="list" sqref="E542" allowBlank="true" errorStyle="stop" showDropDown="false">
      <formula1>"הוצאה,הכנסה"</formula1>
    </dataValidation>
    <dataValidation type="list" sqref="E543" allowBlank="true" errorStyle="stop" showDropDown="false">
      <formula1>"הוצאה,הכנסה"</formula1>
    </dataValidation>
    <dataValidation type="list" sqref="E544" allowBlank="true" errorStyle="stop" showDropDown="false">
      <formula1>"הוצאה,הכנסה"</formula1>
    </dataValidation>
    <dataValidation type="list" sqref="E545" allowBlank="true" errorStyle="stop" showDropDown="false">
      <formula1>"הוצאה,הכנסה"</formula1>
    </dataValidation>
    <dataValidation type="list" sqref="E546" allowBlank="true" errorStyle="stop" showDropDown="false">
      <formula1>"הוצאה,הכנסה"</formula1>
    </dataValidation>
    <dataValidation type="list" sqref="E547" allowBlank="true" errorStyle="stop" showDropDown="false">
      <formula1>"הוצאה,הכנסה"</formula1>
    </dataValidation>
    <dataValidation type="list" sqref="E548" allowBlank="true" errorStyle="stop" showDropDown="false">
      <formula1>"הוצאה,הכנסה"</formula1>
    </dataValidation>
    <dataValidation type="list" sqref="E549" allowBlank="true" errorStyle="stop" showDropDown="false">
      <formula1>"הוצאה,הכנסה"</formula1>
    </dataValidation>
    <dataValidation type="list" sqref="E550" allowBlank="true" errorStyle="stop" showDropDown="false">
      <formula1>"הוצאה,הכנסה"</formula1>
    </dataValidation>
    <dataValidation type="list" sqref="E551" allowBlank="true" errorStyle="stop" showDropDown="false">
      <formula1>"הוצאה,הכנסה"</formula1>
    </dataValidation>
    <dataValidation type="list" sqref="E552" allowBlank="true" errorStyle="stop" showDropDown="false">
      <formula1>"הוצאה,הכנסה"</formula1>
    </dataValidation>
    <dataValidation type="list" sqref="E553" allowBlank="true" errorStyle="stop" showDropDown="false">
      <formula1>"הוצאה,הכנסה"</formula1>
    </dataValidation>
    <dataValidation type="list" sqref="E554" allowBlank="true" errorStyle="stop" showDropDown="false">
      <formula1>"הוצאה,הכנסה"</formula1>
    </dataValidation>
    <dataValidation type="list" sqref="E555" allowBlank="true" errorStyle="stop" showDropDown="false">
      <formula1>"הוצאה,הכנסה"</formula1>
    </dataValidation>
    <dataValidation type="list" sqref="E556" allowBlank="true" errorStyle="stop" showDropDown="false">
      <formula1>"הוצאה,הכנסה"</formula1>
    </dataValidation>
    <dataValidation type="list" sqref="E557" allowBlank="true" errorStyle="stop" showDropDown="false">
      <formula1>"הוצאה,הכנסה"</formula1>
    </dataValidation>
    <dataValidation type="list" sqref="E558" allowBlank="true" errorStyle="stop" showDropDown="false">
      <formula1>"הוצאה,הכנסה"</formula1>
    </dataValidation>
    <dataValidation type="list" sqref="E559" allowBlank="true" errorStyle="stop" showDropDown="false">
      <formula1>"הוצאה,הכנסה"</formula1>
    </dataValidation>
    <dataValidation type="list" sqref="E560" allowBlank="true" errorStyle="stop" showDropDown="false">
      <formula1>"הוצאה,הכנסה"</formula1>
    </dataValidation>
    <dataValidation type="list" sqref="E561" allowBlank="true" errorStyle="stop" showDropDown="false">
      <formula1>"הוצאה,הכנסה"</formula1>
    </dataValidation>
    <dataValidation type="list" sqref="E562" allowBlank="true" errorStyle="stop" showDropDown="false">
      <formula1>"הוצאה,הכנסה"</formula1>
    </dataValidation>
    <dataValidation type="list" sqref="E563" allowBlank="true" errorStyle="stop" showDropDown="false">
      <formula1>"הוצאה,הכנסה"</formula1>
    </dataValidation>
    <dataValidation type="list" sqref="E564" allowBlank="true" errorStyle="stop" showDropDown="false">
      <formula1>"הוצאה,הכנסה"</formula1>
    </dataValidation>
    <dataValidation type="list" sqref="E565" allowBlank="true" errorStyle="stop" showDropDown="false">
      <formula1>"הוצאה,הכנסה"</formula1>
    </dataValidation>
    <dataValidation type="list" sqref="E566" allowBlank="true" errorStyle="stop" showDropDown="false">
      <formula1>"הוצאה,הכנסה"</formula1>
    </dataValidation>
    <dataValidation type="list" sqref="E567" allowBlank="true" errorStyle="stop" showDropDown="false">
      <formula1>"הוצאה,הכנסה"</formula1>
    </dataValidation>
    <dataValidation type="list" sqref="E568" allowBlank="true" errorStyle="stop" showDropDown="false">
      <formula1>"הוצאה,הכנסה"</formula1>
    </dataValidation>
    <dataValidation type="list" sqref="E569" allowBlank="true" errorStyle="stop" showDropDown="false">
      <formula1>"הוצאה,הכנסה"</formula1>
    </dataValidation>
    <dataValidation type="list" sqref="E570" allowBlank="true" errorStyle="stop" showDropDown="false">
      <formula1>"הוצאה,הכנסה"</formula1>
    </dataValidation>
    <dataValidation type="list" sqref="E571" allowBlank="true" errorStyle="stop" showDropDown="false">
      <formula1>"הוצאה,הכנסה"</formula1>
    </dataValidation>
    <dataValidation type="list" sqref="E572" allowBlank="true" errorStyle="stop" showDropDown="false">
      <formula1>"הוצאה,הכנסה"</formula1>
    </dataValidation>
    <dataValidation type="list" sqref="E573" allowBlank="true" errorStyle="stop" showDropDown="false">
      <formula1>"הוצאה,הכנסה"</formula1>
    </dataValidation>
    <dataValidation type="list" sqref="E574" allowBlank="true" errorStyle="stop" showDropDown="false">
      <formula1>"הוצאה,הכנסה"</formula1>
    </dataValidation>
    <dataValidation type="list" sqref="E575" allowBlank="true" errorStyle="stop" showDropDown="false">
      <formula1>"הוצאה,הכנסה"</formula1>
    </dataValidation>
    <dataValidation type="list" sqref="E576" allowBlank="true" errorStyle="stop" showDropDown="false">
      <formula1>"הוצאה,הכנסה"</formula1>
    </dataValidation>
    <dataValidation type="list" sqref="E577" allowBlank="true" errorStyle="stop" showDropDown="false">
      <formula1>"הוצאה,הכנסה"</formula1>
    </dataValidation>
    <dataValidation type="list" sqref="E578" allowBlank="true" errorStyle="stop" showDropDown="false">
      <formula1>"הוצאה,הכנסה"</formula1>
    </dataValidation>
    <dataValidation type="list" sqref="E579" allowBlank="true" errorStyle="stop" showDropDown="false">
      <formula1>"הוצאה,הכנסה"</formula1>
    </dataValidation>
    <dataValidation type="list" sqref="E580" allowBlank="true" errorStyle="stop" showDropDown="false">
      <formula1>"הוצאה,הכנסה"</formula1>
    </dataValidation>
    <dataValidation type="list" sqref="E581" allowBlank="true" errorStyle="stop" showDropDown="false">
      <formula1>"הוצאה,הכנסה"</formula1>
    </dataValidation>
    <dataValidation type="list" sqref="E582" allowBlank="true" errorStyle="stop" showDropDown="false">
      <formula1>"הוצאה,הכנסה"</formula1>
    </dataValidation>
    <dataValidation type="list" sqref="E583" allowBlank="true" errorStyle="stop" showDropDown="false">
      <formula1>"הוצאה,הכנסה"</formula1>
    </dataValidation>
    <dataValidation type="list" sqref="E584" allowBlank="true" errorStyle="stop" showDropDown="false">
      <formula1>"הוצאה,הכנסה"</formula1>
    </dataValidation>
    <dataValidation type="list" sqref="E585" allowBlank="true" errorStyle="stop" showDropDown="false">
      <formula1>"הוצאה,הכנסה"</formula1>
    </dataValidation>
    <dataValidation type="list" sqref="E586" allowBlank="true" errorStyle="stop" showDropDown="false">
      <formula1>"הוצאה,הכנסה"</formula1>
    </dataValidation>
    <dataValidation type="list" sqref="E587" allowBlank="true" errorStyle="stop" showDropDown="false">
      <formula1>"הוצאה,הכנסה"</formula1>
    </dataValidation>
    <dataValidation type="list" sqref="E588" allowBlank="true" errorStyle="stop" showDropDown="false">
      <formula1>"הוצאה,הכנסה"</formula1>
    </dataValidation>
    <dataValidation type="list" sqref="E589" allowBlank="true" errorStyle="stop" showDropDown="false">
      <formula1>"הוצאה,הכנסה"</formula1>
    </dataValidation>
    <dataValidation type="list" sqref="E590" allowBlank="true" errorStyle="stop" showDropDown="false">
      <formula1>"הוצאה,הכנסה"</formula1>
    </dataValidation>
    <dataValidation type="list" sqref="E591" allowBlank="true" errorStyle="stop" showDropDown="false">
      <formula1>"הוצאה,הכנסה"</formula1>
    </dataValidation>
    <dataValidation type="list" sqref="E592" allowBlank="true" errorStyle="stop" showDropDown="false">
      <formula1>"הוצאה,הכנסה"</formula1>
    </dataValidation>
    <dataValidation type="list" sqref="E593" allowBlank="true" errorStyle="stop" showDropDown="false">
      <formula1>"הוצאה,הכנסה"</formula1>
    </dataValidation>
    <dataValidation type="list" sqref="E594" allowBlank="true" errorStyle="stop" showDropDown="false">
      <formula1>"הוצאה,הכנסה"</formula1>
    </dataValidation>
    <dataValidation type="list" sqref="E595" allowBlank="true" errorStyle="stop" showDropDown="false">
      <formula1>"הוצאה,הכנסה"</formula1>
    </dataValidation>
    <dataValidation type="list" sqref="E596" allowBlank="true" errorStyle="stop" showDropDown="false">
      <formula1>"הוצאה,הכנסה"</formula1>
    </dataValidation>
    <dataValidation type="list" sqref="E597" allowBlank="true" errorStyle="stop" showDropDown="false">
      <formula1>"הוצאה,הכנסה"</formula1>
    </dataValidation>
    <dataValidation type="list" sqref="E598" allowBlank="true" errorStyle="stop" showDropDown="false">
      <formula1>"הוצאה,הכנסה"</formula1>
    </dataValidation>
    <dataValidation type="list" sqref="E599" allowBlank="true" errorStyle="stop" showDropDown="false">
      <formula1>"הוצאה,הכנסה"</formula1>
    </dataValidation>
    <dataValidation type="list" sqref="E600" allowBlank="true" errorStyle="stop" showDropDown="false">
      <formula1>"הוצאה,הכנסה"</formula1>
    </dataValidation>
    <dataValidation type="list" sqref="E601" allowBlank="true" errorStyle="stop" showDropDown="false">
      <formula1>"הוצאה,הכנסה"</formula1>
    </dataValidation>
    <dataValidation type="list" sqref="E602" allowBlank="true" errorStyle="stop" showDropDown="false">
      <formula1>"הוצאה,הכנסה"</formula1>
    </dataValidation>
    <dataValidation type="list" sqref="E603" allowBlank="true" errorStyle="stop" showDropDown="false">
      <formula1>"הוצאה,הכנסה"</formula1>
    </dataValidation>
    <dataValidation type="list" sqref="E604" allowBlank="true" errorStyle="stop" showDropDown="false">
      <formula1>"הוצאה,הכנסה"</formula1>
    </dataValidation>
    <dataValidation type="list" sqref="E605" allowBlank="true" errorStyle="stop" showDropDown="false">
      <formula1>"הוצאה,הכנסה"</formula1>
    </dataValidation>
    <dataValidation type="list" sqref="E606" allowBlank="true" errorStyle="stop" showDropDown="false">
      <formula1>"הוצאה,הכנסה"</formula1>
    </dataValidation>
    <dataValidation type="list" sqref="E607" allowBlank="true" errorStyle="stop" showDropDown="false">
      <formula1>"הוצאה,הכנסה"</formula1>
    </dataValidation>
    <dataValidation type="list" sqref="E608" allowBlank="true" errorStyle="stop" showDropDown="false">
      <formula1>"הוצאה,הכנסה"</formula1>
    </dataValidation>
    <dataValidation type="list" sqref="E609" allowBlank="true" errorStyle="stop" showDropDown="false">
      <formula1>"הוצאה,הכנסה"</formula1>
    </dataValidation>
    <dataValidation type="list" sqref="E610" allowBlank="true" errorStyle="stop" showDropDown="false">
      <formula1>"הוצאה,הכנסה"</formula1>
    </dataValidation>
    <dataValidation type="list" sqref="E611" allowBlank="true" errorStyle="stop" showDropDown="false">
      <formula1>"הוצאה,הכנסה"</formula1>
    </dataValidation>
    <dataValidation type="list" sqref="E612" allowBlank="true" errorStyle="stop" showDropDown="false">
      <formula1>"הוצאה,הכנסה"</formula1>
    </dataValidation>
    <dataValidation type="list" sqref="E613" allowBlank="true" errorStyle="stop" showDropDown="false">
      <formula1>"הוצאה,הכנסה"</formula1>
    </dataValidation>
    <dataValidation type="list" sqref="E614" allowBlank="true" errorStyle="stop" showDropDown="false">
      <formula1>"הוצאה,הכנסה"</formula1>
    </dataValidation>
    <dataValidation type="list" sqref="E615" allowBlank="true" errorStyle="stop" showDropDown="false">
      <formula1>"הוצאה,הכנסה"</formula1>
    </dataValidation>
    <dataValidation type="list" sqref="E616" allowBlank="true" errorStyle="stop" showDropDown="false">
      <formula1>"הוצאה,הכנסה"</formula1>
    </dataValidation>
    <dataValidation type="list" sqref="E617" allowBlank="true" errorStyle="stop" showDropDown="false">
      <formula1>"הוצאה,הכנסה"</formula1>
    </dataValidation>
    <dataValidation type="list" sqref="E618" allowBlank="true" errorStyle="stop" showDropDown="false">
      <formula1>"הוצאה,הכנסה"</formula1>
    </dataValidation>
    <dataValidation type="list" sqref="E619" allowBlank="true" errorStyle="stop" showDropDown="false">
      <formula1>"הוצאה,הכנסה"</formula1>
    </dataValidation>
    <dataValidation type="list" sqref="E620" allowBlank="true" errorStyle="stop" showDropDown="false">
      <formula1>"הוצאה,הכנסה"</formula1>
    </dataValidation>
    <dataValidation type="list" sqref="E621" allowBlank="true" errorStyle="stop" showDropDown="false">
      <formula1>"הוצאה,הכנסה"</formula1>
    </dataValidation>
    <dataValidation type="list" sqref="E622" allowBlank="true" errorStyle="stop" showDropDown="false">
      <formula1>"הוצאה,הכנסה"</formula1>
    </dataValidation>
    <dataValidation type="list" sqref="E623" allowBlank="true" errorStyle="stop" showDropDown="false">
      <formula1>"הוצאה,הכנסה"</formula1>
    </dataValidation>
    <dataValidation type="list" sqref="E624" allowBlank="true" errorStyle="stop" showDropDown="false">
      <formula1>"הוצאה,הכנסה"</formula1>
    </dataValidation>
    <dataValidation type="list" sqref="E625" allowBlank="true" errorStyle="stop" showDropDown="false">
      <formula1>"הוצאה,הכנסה"</formula1>
    </dataValidation>
    <dataValidation type="list" sqref="E626" allowBlank="true" errorStyle="stop" showDropDown="false">
      <formula1>"הוצאה,הכנסה"</formula1>
    </dataValidation>
    <dataValidation type="list" sqref="E627" allowBlank="true" errorStyle="stop" showDropDown="false">
      <formula1>"הוצאה,הכנסה"</formula1>
    </dataValidation>
    <dataValidation type="list" sqref="E628" allowBlank="true" errorStyle="stop" showDropDown="false">
      <formula1>"הוצאה,הכנסה"</formula1>
    </dataValidation>
    <dataValidation type="list" sqref="E629" allowBlank="true" errorStyle="stop" showDropDown="false">
      <formula1>"הוצאה,הכנסה"</formula1>
    </dataValidation>
    <dataValidation type="list" sqref="E630" allowBlank="true" errorStyle="stop" showDropDown="false">
      <formula1>"הוצאה,הכנסה"</formula1>
    </dataValidation>
    <dataValidation type="list" sqref="E631" allowBlank="true" errorStyle="stop" showDropDown="false">
      <formula1>"הוצאה,הכנסה"</formula1>
    </dataValidation>
    <dataValidation type="list" sqref="E632" allowBlank="true" errorStyle="stop" showDropDown="false">
      <formula1>"הוצאה,הכנסה"</formula1>
    </dataValidation>
    <dataValidation type="list" sqref="E633" allowBlank="true" errorStyle="stop" showDropDown="false">
      <formula1>"הוצאה,הכנסה"</formula1>
    </dataValidation>
    <dataValidation type="list" sqref="E634" allowBlank="true" errorStyle="stop" showDropDown="false">
      <formula1>"הוצאה,הכנסה"</formula1>
    </dataValidation>
    <dataValidation type="list" sqref="E635" allowBlank="true" errorStyle="stop" showDropDown="false">
      <formula1>"הוצאה,הכנסה"</formula1>
    </dataValidation>
    <dataValidation type="list" sqref="E636" allowBlank="true" errorStyle="stop" showDropDown="false">
      <formula1>"הוצאה,הכנסה"</formula1>
    </dataValidation>
    <dataValidation type="list" sqref="E637" allowBlank="true" errorStyle="stop" showDropDown="false">
      <formula1>"הוצאה,הכנסה"</formula1>
    </dataValidation>
    <dataValidation type="list" sqref="E638" allowBlank="true" errorStyle="stop" showDropDown="false">
      <formula1>"הוצאה,הכנסה"</formula1>
    </dataValidation>
    <dataValidation type="list" sqref="E639" allowBlank="true" errorStyle="stop" showDropDown="false">
      <formula1>"הוצאה,הכנסה"</formula1>
    </dataValidation>
    <dataValidation type="list" sqref="E640" allowBlank="true" errorStyle="stop" showDropDown="false">
      <formula1>"הוצאה,הכנסה"</formula1>
    </dataValidation>
    <dataValidation type="list" sqref="E641" allowBlank="true" errorStyle="stop" showDropDown="false">
      <formula1>"הוצאה,הכנסה"</formula1>
    </dataValidation>
    <dataValidation type="list" sqref="E642" allowBlank="true" errorStyle="stop" showDropDown="false">
      <formula1>"הוצאה,הכנסה"</formula1>
    </dataValidation>
    <dataValidation type="list" sqref="E643" allowBlank="true" errorStyle="stop" showDropDown="false">
      <formula1>"הוצאה,הכנסה"</formula1>
    </dataValidation>
    <dataValidation type="list" sqref="E644" allowBlank="true" errorStyle="stop" showDropDown="false">
      <formula1>"הוצאה,הכנסה"</formula1>
    </dataValidation>
    <dataValidation type="list" sqref="E645" allowBlank="true" errorStyle="stop" showDropDown="false">
      <formula1>"הוצאה,הכנסה"</formula1>
    </dataValidation>
    <dataValidation type="list" sqref="E646" allowBlank="true" errorStyle="stop" showDropDown="false">
      <formula1>"הוצאה,הכנסה"</formula1>
    </dataValidation>
    <dataValidation type="list" sqref="E647" allowBlank="true" errorStyle="stop" showDropDown="false">
      <formula1>"הוצאה,הכנסה"</formula1>
    </dataValidation>
    <dataValidation type="list" sqref="E648" allowBlank="true" errorStyle="stop" showDropDown="false">
      <formula1>"הוצאה,הכנסה"</formula1>
    </dataValidation>
    <dataValidation type="list" sqref="E649" allowBlank="true" errorStyle="stop" showDropDown="false">
      <formula1>"הוצאה,הכנסה"</formula1>
    </dataValidation>
    <dataValidation type="list" sqref="E650" allowBlank="true" errorStyle="stop" showDropDown="false">
      <formula1>"הוצאה,הכנסה"</formula1>
    </dataValidation>
    <dataValidation type="list" sqref="E651" allowBlank="true" errorStyle="stop" showDropDown="false">
      <formula1>"הוצאה,הכנסה"</formula1>
    </dataValidation>
    <dataValidation type="list" sqref="E652" allowBlank="true" errorStyle="stop" showDropDown="false">
      <formula1>"הוצאה,הכנסה"</formula1>
    </dataValidation>
    <dataValidation type="list" sqref="E653" allowBlank="true" errorStyle="stop" showDropDown="false">
      <formula1>"הוצאה,הכנסה"</formula1>
    </dataValidation>
    <dataValidation type="list" sqref="E654" allowBlank="true" errorStyle="stop" showDropDown="false">
      <formula1>"הוצאה,הכנסה"</formula1>
    </dataValidation>
    <dataValidation type="list" sqref="E655" allowBlank="true" errorStyle="stop" showDropDown="false">
      <formula1>"הוצאה,הכנסה"</formula1>
    </dataValidation>
    <dataValidation type="list" sqref="E656" allowBlank="true" errorStyle="stop" showDropDown="false">
      <formula1>"הוצאה,הכנסה"</formula1>
    </dataValidation>
    <dataValidation type="list" sqref="E657" allowBlank="true" errorStyle="stop" showDropDown="false">
      <formula1>"הוצאה,הכנסה"</formula1>
    </dataValidation>
    <dataValidation type="list" sqref="E658" allowBlank="true" errorStyle="stop" showDropDown="false">
      <formula1>"הוצאה,הכנסה"</formula1>
    </dataValidation>
    <dataValidation type="list" sqref="E659" allowBlank="true" errorStyle="stop" showDropDown="false">
      <formula1>"הוצאה,הכנסה"</formula1>
    </dataValidation>
    <dataValidation type="list" sqref="E660" allowBlank="true" errorStyle="stop" showDropDown="false">
      <formula1>"הוצאה,הכנסה"</formula1>
    </dataValidation>
    <dataValidation type="list" sqref="E661" allowBlank="true" errorStyle="stop" showDropDown="false">
      <formula1>"הוצאה,הכנסה"</formula1>
    </dataValidation>
    <dataValidation type="list" sqref="E662" allowBlank="true" errorStyle="stop" showDropDown="false">
      <formula1>"הוצאה,הכנסה"</formula1>
    </dataValidation>
    <dataValidation type="list" sqref="E663" allowBlank="true" errorStyle="stop" showDropDown="false">
      <formula1>"הוצאה,הכנסה"</formula1>
    </dataValidation>
    <dataValidation type="list" sqref="E664" allowBlank="true" errorStyle="stop" showDropDown="false">
      <formula1>"הוצאה,הכנסה"</formula1>
    </dataValidation>
    <dataValidation type="list" sqref="E665" allowBlank="true" errorStyle="stop" showDropDown="false">
      <formula1>"הוצאה,הכנסה"</formula1>
    </dataValidation>
    <dataValidation type="list" sqref="E666" allowBlank="true" errorStyle="stop" showDropDown="false">
      <formula1>"הוצאה,הכנסה"</formula1>
    </dataValidation>
    <dataValidation type="list" sqref="E667" allowBlank="true" errorStyle="stop" showDropDown="false">
      <formula1>"הוצאה,הכנסה"</formula1>
    </dataValidation>
    <dataValidation type="list" sqref="E668" allowBlank="true" errorStyle="stop" showDropDown="false">
      <formula1>"הוצאה,הכנסה"</formula1>
    </dataValidation>
    <dataValidation type="list" sqref="E669" allowBlank="true" errorStyle="stop" showDropDown="false">
      <formula1>"הוצאה,הכנסה"</formula1>
    </dataValidation>
    <dataValidation type="list" sqref="E670" allowBlank="true" errorStyle="stop" showDropDown="false">
      <formula1>"הוצאה,הכנסה"</formula1>
    </dataValidation>
    <dataValidation type="list" sqref="E671" allowBlank="true" errorStyle="stop" showDropDown="false">
      <formula1>"הוצאה,הכנסה"</formula1>
    </dataValidation>
    <dataValidation type="list" sqref="E672" allowBlank="true" errorStyle="stop" showDropDown="false">
      <formula1>"הוצאה,הכנסה"</formula1>
    </dataValidation>
    <dataValidation type="list" sqref="E673" allowBlank="true" errorStyle="stop" showDropDown="false">
      <formula1>"הוצאה,הכנסה"</formula1>
    </dataValidation>
    <dataValidation type="list" sqref="E674" allowBlank="true" errorStyle="stop" showDropDown="false">
      <formula1>"הוצאה,הכנסה"</formula1>
    </dataValidation>
    <dataValidation type="list" sqref="E675" allowBlank="true" errorStyle="stop" showDropDown="false">
      <formula1>"הוצאה,הכנסה"</formula1>
    </dataValidation>
    <dataValidation type="list" sqref="E676" allowBlank="true" errorStyle="stop" showDropDown="false">
      <formula1>"הוצאה,הכנסה"</formula1>
    </dataValidation>
    <dataValidation type="list" sqref="E677" allowBlank="true" errorStyle="stop" showDropDown="false">
      <formula1>"הוצאה,הכנסה"</formula1>
    </dataValidation>
    <dataValidation type="list" sqref="E678" allowBlank="true" errorStyle="stop" showDropDown="false">
      <formula1>"הוצאה,הכנסה"</formula1>
    </dataValidation>
    <dataValidation type="list" sqref="E679" allowBlank="true" errorStyle="stop" showDropDown="false">
      <formula1>"הוצאה,הכנסה"</formula1>
    </dataValidation>
    <dataValidation type="list" sqref="E680" allowBlank="true" errorStyle="stop" showDropDown="false">
      <formula1>"הוצאה,הכנסה"</formula1>
    </dataValidation>
    <dataValidation type="list" sqref="E681" allowBlank="true" errorStyle="stop" showDropDown="false">
      <formula1>"הוצאה,הכנסה"</formula1>
    </dataValidation>
    <dataValidation type="list" sqref="E682" allowBlank="true" errorStyle="stop" showDropDown="false">
      <formula1>"הוצאה,הכנסה"</formula1>
    </dataValidation>
    <dataValidation type="list" sqref="E683" allowBlank="true" errorStyle="stop" showDropDown="false">
      <formula1>"הוצאה,הכנסה"</formula1>
    </dataValidation>
    <dataValidation type="list" sqref="E684" allowBlank="true" errorStyle="stop" showDropDown="false">
      <formula1>"הוצאה,הכנסה"</formula1>
    </dataValidation>
    <dataValidation type="list" sqref="E685" allowBlank="true" errorStyle="stop" showDropDown="false">
      <formula1>"הוצאה,הכנסה"</formula1>
    </dataValidation>
    <dataValidation type="list" sqref="E686" allowBlank="true" errorStyle="stop" showDropDown="false">
      <formula1>"הוצאה,הכנסה"</formula1>
    </dataValidation>
    <dataValidation type="list" sqref="E687" allowBlank="true" errorStyle="stop" showDropDown="false">
      <formula1>"הוצאה,הכנסה"</formula1>
    </dataValidation>
    <dataValidation type="list" sqref="E688" allowBlank="true" errorStyle="stop" showDropDown="false">
      <formula1>"הוצאה,הכנסה"</formula1>
    </dataValidation>
    <dataValidation type="list" sqref="E689" allowBlank="true" errorStyle="stop" showDropDown="false">
      <formula1>"הוצאה,הכנסה"</formula1>
    </dataValidation>
    <dataValidation type="list" sqref="E690" allowBlank="true" errorStyle="stop" showDropDown="false">
      <formula1>"הוצאה,הכנסה"</formula1>
    </dataValidation>
    <dataValidation type="list" sqref="E691" allowBlank="true" errorStyle="stop" showDropDown="false">
      <formula1>"הוצאה,הכנסה"</formula1>
    </dataValidation>
    <dataValidation type="list" sqref="E692" allowBlank="true" errorStyle="stop" showDropDown="false">
      <formula1>"הוצאה,הכנסה"</formula1>
    </dataValidation>
    <dataValidation type="list" sqref="E693" allowBlank="true" errorStyle="stop" showDropDown="false">
      <formula1>"הוצאה,הכנסה"</formula1>
    </dataValidation>
    <dataValidation type="list" sqref="E694" allowBlank="true" errorStyle="stop" showDropDown="false">
      <formula1>"הוצאה,הכנסה"</formula1>
    </dataValidation>
    <dataValidation type="list" sqref="E695" allowBlank="true" errorStyle="stop" showDropDown="false">
      <formula1>"הוצאה,הכנסה"</formula1>
    </dataValidation>
    <dataValidation type="list" sqref="E696" allowBlank="true" errorStyle="stop" showDropDown="false">
      <formula1>"הוצאה,הכנסה"</formula1>
    </dataValidation>
    <dataValidation type="list" sqref="E697" allowBlank="true" errorStyle="stop" showDropDown="false">
      <formula1>"הוצאה,הכנסה"</formula1>
    </dataValidation>
    <dataValidation type="list" sqref="E698" allowBlank="true" errorStyle="stop" showDropDown="false">
      <formula1>"הוצאה,הכנסה"</formula1>
    </dataValidation>
    <dataValidation type="list" sqref="E699" allowBlank="true" errorStyle="stop" showDropDown="false">
      <formula1>"הוצאה,הכנסה"</formula1>
    </dataValidation>
    <dataValidation type="list" sqref="E700" allowBlank="true" errorStyle="stop" showDropDown="false">
      <formula1>"הוצאה,הכנסה"</formula1>
    </dataValidation>
    <dataValidation type="list" sqref="E701" allowBlank="true" errorStyle="stop" showDropDown="false">
      <formula1>"הוצאה,הכנסה"</formula1>
    </dataValidation>
    <dataValidation type="list" sqref="E702" allowBlank="true" errorStyle="stop" showDropDown="false">
      <formula1>"הוצאה,הכנסה"</formula1>
    </dataValidation>
    <dataValidation type="list" sqref="E703" allowBlank="true" errorStyle="stop" showDropDown="false">
      <formula1>"הוצאה,הכנסה"</formula1>
    </dataValidation>
    <dataValidation type="list" sqref="E704" allowBlank="true" errorStyle="stop" showDropDown="false">
      <formula1>"הוצאה,הכנסה"</formula1>
    </dataValidation>
    <dataValidation type="list" sqref="E705" allowBlank="true" errorStyle="stop" showDropDown="false">
      <formula1>"הוצאה,הכנסה"</formula1>
    </dataValidation>
    <dataValidation type="list" sqref="E706" allowBlank="true" errorStyle="stop" showDropDown="false">
      <formula1>"הוצאה,הכנסה"</formula1>
    </dataValidation>
    <dataValidation type="list" sqref="E707" allowBlank="true" errorStyle="stop" showDropDown="false">
      <formula1>"הוצאה,הכנסה"</formula1>
    </dataValidation>
    <dataValidation type="list" sqref="E708" allowBlank="true" errorStyle="stop" showDropDown="false">
      <formula1>"הוצאה,הכנסה"</formula1>
    </dataValidation>
    <dataValidation type="list" sqref="E709" allowBlank="true" errorStyle="stop" showDropDown="false">
      <formula1>"הוצאה,הכנסה"</formula1>
    </dataValidation>
    <dataValidation type="list" sqref="E710" allowBlank="true" errorStyle="stop" showDropDown="false">
      <formula1>"הוצאה,הכנסה"</formula1>
    </dataValidation>
    <dataValidation type="list" sqref="E711" allowBlank="true" errorStyle="stop" showDropDown="false">
      <formula1>"הוצאה,הכנסה"</formula1>
    </dataValidation>
    <dataValidation type="list" sqref="E712" allowBlank="true" errorStyle="stop" showDropDown="false">
      <formula1>"הוצאה,הכנסה"</formula1>
    </dataValidation>
    <dataValidation type="list" sqref="E713" allowBlank="true" errorStyle="stop" showDropDown="false">
      <formula1>"הוצאה,הכנסה"</formula1>
    </dataValidation>
    <dataValidation type="list" sqref="E714" allowBlank="true" errorStyle="stop" showDropDown="false">
      <formula1>"הוצאה,הכנסה"</formula1>
    </dataValidation>
    <dataValidation type="list" sqref="E715" allowBlank="true" errorStyle="stop" showDropDown="false">
      <formula1>"הוצאה,הכנסה"</formula1>
    </dataValidation>
    <dataValidation type="list" sqref="E716" allowBlank="true" errorStyle="stop" showDropDown="false">
      <formula1>"הוצאה,הכנסה"</formula1>
    </dataValidation>
    <dataValidation type="list" sqref="E717" allowBlank="true" errorStyle="stop" showDropDown="false">
      <formula1>"הוצאה,הכנסה"</formula1>
    </dataValidation>
    <dataValidation type="list" sqref="E718" allowBlank="true" errorStyle="stop" showDropDown="false">
      <formula1>"הוצאה,הכנסה"</formula1>
    </dataValidation>
    <dataValidation type="list" sqref="E719" allowBlank="true" errorStyle="stop" showDropDown="false">
      <formula1>"הוצאה,הכנסה"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uri="{78C0D931-6437-407d-A8EE-F0AAD7539E65}">
      <x14:conditionalFormattings>
        <x14:conditionalFormatting xmlns:xm="http://schemas.microsoft.com/office/excel/2006/main">
          <x14:cfRule type="expression" priority="2" id="{6EE45915-7F23-4020-A657-E1583D74037A}">
            <xm:f>AND(D9&lt;&gt;"",OR(H9="",H9=0),G9&lt;&gt;'רשימת הסעיפים'!$AG$20)</xm:f>
            <x14:dxf>
              <fill>
                <patternFill>
                  <bgColor theme="7" tint="0.79998168889431442"/>
                </patternFill>
              </fill>
            </x14:dxf>
          </x14:cfRule>
          <xm:sqref>H9:H1499</xm:sqref>
        </x14:conditionalFormatting>
      </x14:conditionalFormattings>
    </ext>
    <ext uri="{CCE6A557-97BC-4b89-ADB6-D9C93CAAB3DF}">
      <x14:dataValidations xmlns:xm="http://schemas.microsoft.com/office/excel/2006/main" xWindow="880" yWindow="393" count="2">
        <x14:dataValidation type="list" allowBlank="1" showInputMessage="1" showErrorMessage="1" xr:uid="{00000000-0002-0000-0200-000005000000}">
          <x14:formula1>
            <xm:f>'שלב א - טעינת דפי מקור'!#REF!</xm:f>
          </x14:formula1>
          <xm:sqref>M9:M1499</xm:sqref>
        </x14:dataValidation>
        <x14:dataValidation type="list" showErrorMessage="1" promptTitle="שימו לב" prompt="הקלדה בתא זה מונעת את חישובו האוטומטי בהמשך." xr:uid="{00000000-0002-0000-0200-000006000000}">
          <x14:formula1>
            <xm:f>IF(AND(G9="",E9=$O$5),NoBlanksInc,IF(G9="",NoBlanksExp,INDIRECT(VLOOKUP(G9,'רשימת הסעיפים'!$AG$4:$AH$23,2,0))))</xm:f>
          </x14:formula1>
          <xm:sqref>H9:H1499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 filterMode="1">
    <outlinePr summaryBelow="0" summaryRight="0"/>
  </sheetPr>
  <dimension ref="A1:S399"/>
  <sheetViews>
    <sheetView showZeros="0" rightToLeft="1" zoomScaleNormal="100" workbookViewId="0">
      <selection activeCell="H2" sqref="H2"/>
    </sheetView>
  </sheetViews>
  <sheetFormatPr defaultColWidth="8.75" defaultRowHeight="15" outlineLevelRow="1"/>
  <cols>
    <col min="1" max="1" bestFit="true" customWidth="true" style="140" width="31.125"/>
    <col min="2" max="2" bestFit="true" customWidth="true" style="139" width="10.0"/>
    <col min="3" max="3" customWidth="true" style="139" width="2.25"/>
    <col min="4" max="4" customWidth="true" style="141" width="19.75"/>
    <col min="5" max="5" bestFit="true" customWidth="true" style="139" width="10.0"/>
    <col min="6" max="6" customWidth="true" style="139" width="2.25"/>
    <col min="7" max="7" style="139" width="8.75"/>
    <col min="8" max="8" bestFit="true" customWidth="true" style="139" width="10.0"/>
    <col min="9" max="9" customWidth="true" style="139" width="2.25"/>
    <col min="10" max="16384" style="139" width="8.75"/>
  </cols>
  <sheetData>
    <row r="1" spans="1:19" ht="5.45" customHeight="1">
      <c r="A1" s="136"/>
      <c r="B1" s="137"/>
      <c r="C1" s="137"/>
      <c r="D1" s="138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spans="1:19" ht="21">
      <c r="A2" s="177" t="s">
        <v>386</v>
      </c>
      <c r="B2" s="178">
        <f>SUM(B4,B25,B46,B67,B88,B109,B130,B151,B172,B193,B214,B235,B256,B277,B298,B319)</f>
        <v>0</v>
      </c>
      <c r="C2" s="179"/>
      <c r="D2" s="180" t="s">
        <v>385</v>
      </c>
      <c r="E2" s="178">
        <f>SUM(E4,E25,E46)</f>
        <v>0</v>
      </c>
      <c r="F2" s="179"/>
      <c r="G2" s="181" t="s">
        <v>387</v>
      </c>
      <c r="H2" s="182">
        <f>E2-B2</f>
        <v>0</v>
      </c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</row>
    <row r="3" spans="1:19">
      <c r="A3" s="183"/>
      <c r="B3" s="184"/>
      <c r="C3" s="184"/>
      <c r="D3" s="185"/>
      <c r="E3" s="184"/>
      <c r="F3" s="184"/>
      <c r="G3" s="184"/>
      <c r="H3" s="184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</row>
    <row r="4" spans="1:19" collapsed="1">
      <c r="A4" s="186" t="str">
        <f>'רשימת הסעיפים'!A1</f>
        <v>מזון ופארמה</v>
      </c>
      <c r="B4" s="187">
        <f>SUM(B5:B24)</f>
        <v>0</v>
      </c>
      <c r="C4" s="184"/>
      <c r="D4" s="188" t="str">
        <f>'רשימת הסעיפים'!Q1</f>
        <v>שכר</v>
      </c>
      <c r="E4" s="187">
        <f>SUM(E5:E24)</f>
        <v>0</v>
      </c>
      <c r="F4" s="184"/>
      <c r="G4" s="184"/>
      <c r="H4" s="184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</row>
    <row r="5" spans="1:19" hidden="1" outlineLevel="1">
      <c r="A5" s="192" t="str">
        <f>'רשימת הסעיפים'!A2</f>
        <v>מזון</v>
      </c>
      <c r="B5" s="193">
        <f>IF(A5&lt;&gt;0,SUMIF('שלב ב - סיווג תנועות'!$H$9:$H$1499,A5,'שלב ב - סיווג תנועות'!$N$9:$N$1499),0)</f>
        <v>0</v>
      </c>
      <c r="C5" s="184"/>
      <c r="D5" s="192" t="str">
        <f>'רשימת הסעיפים'!Q2</f>
        <v>שכר עבודה 1</v>
      </c>
      <c r="E5" s="193">
        <f>IF(D5&lt;&gt;0,SUMIF('שלב ב - סיווג תנועות'!$H$9:$H$1499,D5,'שלב ב - סיווג תנועות'!$N$9:$N$1499),0)</f>
        <v>0</v>
      </c>
      <c r="F5" s="184"/>
      <c r="G5" s="184"/>
      <c r="H5" s="184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</row>
    <row r="6" spans="1:19" hidden="1" outlineLevel="1">
      <c r="A6" s="192" t="str">
        <f>'רשימת הסעיפים'!A3</f>
        <v>פארמה וטואלטיקה</v>
      </c>
      <c r="B6" s="193">
        <f>IF(A6&lt;&gt;0,SUMIF('שלב ב - סיווג תנועות'!$H$9:$H$1499,A6,'שלב ב - סיווג תנועות'!$N$9:$N$1499),0)</f>
        <v>0</v>
      </c>
      <c r="C6" s="184"/>
      <c r="D6" s="192" t="str">
        <f>'רשימת הסעיפים'!Q3</f>
        <v>שכר עבודה 2</v>
      </c>
      <c r="E6" s="193">
        <f>IF(D6&lt;&gt;0,SUMIF('שלב ב - סיווג תנועות'!$H$9:$H$1499,D6,'שלב ב - סיווג תנועות'!$N$9:$N$1499),0)</f>
        <v>0</v>
      </c>
      <c r="F6" s="184"/>
      <c r="G6" s="184"/>
      <c r="H6" s="184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</row>
    <row r="7" spans="1:19" hidden="1" outlineLevel="1">
      <c r="A7" s="192" t="str">
        <f>'רשימת הסעיפים'!A4</f>
        <v>בר מים</v>
      </c>
      <c r="B7" s="193">
        <f>IF(A7&lt;&gt;0,SUMIF('שלב ב - סיווג תנועות'!$H$9:$H$1499,A7,'שלב ב - סיווג תנועות'!$N$9:$N$1499),0)</f>
        <v>0</v>
      </c>
      <c r="C7" s="184"/>
      <c r="D7" s="192" t="str">
        <f>'רשימת הסעיפים'!Q4</f>
        <v>שכר עבודה 3</v>
      </c>
      <c r="E7" s="193">
        <f>IF(D7&lt;&gt;0,SUMIF('שלב ב - סיווג תנועות'!$H$9:$H$1499,D7,'שלב ב - סיווג תנועות'!$N$9:$N$1499),0)</f>
        <v>0</v>
      </c>
      <c r="F7" s="184"/>
      <c r="G7" s="184"/>
      <c r="H7" s="184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</row>
    <row r="8" spans="1:19" hidden="1" outlineLevel="1">
      <c r="A8" s="192" t="str">
        <f>'רשימת הסעיפים'!A5</f>
        <v>אוכל מוכן / בעבודה</v>
      </c>
      <c r="B8" s="193">
        <f>IF(A8&lt;&gt;0,SUMIF('שלב ב - סיווג תנועות'!$H$9:$H$1499,A8,'שלב ב - סיווג תנועות'!$N$9:$N$1499),0)</f>
        <v>0</v>
      </c>
      <c r="C8" s="184"/>
      <c r="D8" s="192" t="str">
        <f>'רשימת הסעיפים'!Q5</f>
        <v>שכר עבודה 4</v>
      </c>
      <c r="E8" s="193">
        <f>IF(D8&lt;&gt;0,SUMIF('שלב ב - סיווג תנועות'!$H$9:$H$1499,D8,'שלב ב - סיווג תנועות'!$N$9:$N$1499),0)</f>
        <v>0</v>
      </c>
      <c r="F8" s="184"/>
      <c r="G8" s="184"/>
      <c r="H8" s="184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</row>
    <row r="9" spans="1:19" hidden="1" outlineLevel="1">
      <c r="A9" s="192" t="str">
        <f>'רשימת הסעיפים'!A6</f>
        <v>עישון</v>
      </c>
      <c r="B9" s="193">
        <f>IF(A9&lt;&gt;0,SUMIF('שלב ב - סיווג תנועות'!$H$9:$H$1499,A9,'שלב ב - סיווג תנועות'!$N$9:$N$1499),0)</f>
        <v>0</v>
      </c>
      <c r="C9" s="184"/>
      <c r="D9" s="192" t="str">
        <f>'רשימת הסעיפים'!Q6</f>
        <v>שכר - כללי</v>
      </c>
      <c r="E9" s="193">
        <f>IF(D9&lt;&gt;0,SUMIF('שלב ב - סיווג תנועות'!$H$9:$H$1499,D9,'שלב ב - סיווג תנועות'!$N$9:$N$1499),0)</f>
        <v>0</v>
      </c>
      <c r="F9" s="184"/>
      <c r="G9" s="184"/>
      <c r="H9" s="184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</row>
    <row r="10" spans="1:19" hidden="1" outlineLevel="1">
      <c r="A10" s="192" t="str">
        <f>'רשימת הסעיפים'!A7</f>
        <v>מזון ופארמה - כללי</v>
      </c>
      <c r="B10" s="193">
        <f>IF(A10&lt;&gt;0,SUMIF('שלב ב - סיווג תנועות'!$H$9:$H$1499,A10,'שלב ב - סיווג תנועות'!$N$9:$N$1499),0)</f>
        <v>0</v>
      </c>
      <c r="C10" s="184"/>
      <c r="D10" s="192">
        <f>'רשימת הסעיפים'!Q7</f>
        <v>0</v>
      </c>
      <c r="E10" s="193">
        <f>IF(D10&lt;&gt;0,SUMIF('שלב ב - סיווג תנועות'!$H$9:$H$1499,D10,'שלב ב - סיווג תנועות'!$N$9:$N$1499),0)</f>
        <v>0</v>
      </c>
      <c r="F10" s="184"/>
      <c r="G10" s="184"/>
      <c r="H10" s="184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</row>
    <row r="11" spans="1:19" hidden="1" outlineLevel="1">
      <c r="A11" s="192">
        <f>'רשימת הסעיפים'!A8</f>
        <v>0</v>
      </c>
      <c r="B11" s="193">
        <f>IF(A11&lt;&gt;0,SUMIF('שלב ב - סיווג תנועות'!$H$9:$H$1499,A11,'שלב ב - סיווג תנועות'!$N$9:$N$1499),0)</f>
        <v>0</v>
      </c>
      <c r="C11" s="184"/>
      <c r="D11" s="192">
        <f>'רשימת הסעיפים'!Q8</f>
        <v>0</v>
      </c>
      <c r="E11" s="193">
        <f>IF(D11&lt;&gt;0,SUMIF('שלב ב - סיווג תנועות'!$H$9:$H$1499,D11,'שלב ב - סיווג תנועות'!$N$9:$N$1499),0)</f>
        <v>0</v>
      </c>
      <c r="F11" s="184"/>
      <c r="G11" s="184"/>
      <c r="H11" s="184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</row>
    <row r="12" spans="1:19" hidden="1" outlineLevel="1">
      <c r="A12" s="192">
        <f>'רשימת הסעיפים'!A9</f>
        <v>0</v>
      </c>
      <c r="B12" s="193">
        <f>IF(A12&lt;&gt;0,SUMIF('שלב ב - סיווג תנועות'!$H$9:$H$1499,A12,'שלב ב - סיווג תנועות'!$N$9:$N$1499),0)</f>
        <v>0</v>
      </c>
      <c r="C12" s="184"/>
      <c r="D12" s="192">
        <f>'רשימת הסעיפים'!Q9</f>
        <v>0</v>
      </c>
      <c r="E12" s="193">
        <f>IF(D12&lt;&gt;0,SUMIF('שלב ב - סיווג תנועות'!$H$9:$H$1499,D12,'שלב ב - סיווג תנועות'!$N$9:$N$1499),0)</f>
        <v>0</v>
      </c>
      <c r="F12" s="184"/>
      <c r="G12" s="184"/>
      <c r="H12" s="184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</row>
    <row r="13" spans="1:19" hidden="1" outlineLevel="1">
      <c r="A13" s="192">
        <f>'רשימת הסעיפים'!A10</f>
        <v>0</v>
      </c>
      <c r="B13" s="193">
        <f>IF(A13&lt;&gt;0,SUMIF('שלב ב - סיווג תנועות'!$H$9:$H$1499,A13,'שלב ב - סיווג תנועות'!$N$9:$N$1499),0)</f>
        <v>0</v>
      </c>
      <c r="C13" s="184"/>
      <c r="D13" s="192">
        <f>'רשימת הסעיפים'!Q10</f>
        <v>0</v>
      </c>
      <c r="E13" s="193">
        <f>IF(D13&lt;&gt;0,SUMIF('שלב ב - סיווג תנועות'!$H$9:$H$1499,D13,'שלב ב - סיווג תנועות'!$N$9:$N$1499),0)</f>
        <v>0</v>
      </c>
      <c r="F13" s="184"/>
      <c r="G13" s="184"/>
      <c r="H13" s="184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</row>
    <row r="14" spans="1:19" hidden="1" outlineLevel="1">
      <c r="A14" s="192">
        <f>'רשימת הסעיפים'!A11</f>
        <v>0</v>
      </c>
      <c r="B14" s="193">
        <f>IF(A14&lt;&gt;0,SUMIF('שלב ב - סיווג תנועות'!$H$9:$H$1499,A14,'שלב ב - סיווג תנועות'!$N$9:$N$1499),0)</f>
        <v>0</v>
      </c>
      <c r="C14" s="184"/>
      <c r="D14" s="192">
        <f>'רשימת הסעיפים'!Q11</f>
        <v>0</v>
      </c>
      <c r="E14" s="193">
        <f>IF(D14&lt;&gt;0,SUMIF('שלב ב - סיווג תנועות'!$H$9:$H$1499,D14,'שלב ב - סיווג תנועות'!$N$9:$N$1499),0)</f>
        <v>0</v>
      </c>
      <c r="F14" s="184"/>
      <c r="G14" s="184"/>
      <c r="H14" s="184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</row>
    <row r="15" spans="1:19" hidden="1" outlineLevel="1">
      <c r="A15" s="192">
        <f>'רשימת הסעיפים'!A12</f>
        <v>0</v>
      </c>
      <c r="B15" s="193">
        <f>IF(A15&lt;&gt;0,SUMIF('שלב ב - סיווג תנועות'!$H$9:$H$1499,A15,'שלב ב - סיווג תנועות'!$N$9:$N$1499),0)</f>
        <v>0</v>
      </c>
      <c r="C15" s="184"/>
      <c r="D15" s="192">
        <f>'רשימת הסעיפים'!Q12</f>
        <v>0</v>
      </c>
      <c r="E15" s="193">
        <f>IF(D15&lt;&gt;0,SUMIF('שלב ב - סיווג תנועות'!$H$9:$H$1499,D15,'שלב ב - סיווג תנועות'!$N$9:$N$1499),0)</f>
        <v>0</v>
      </c>
      <c r="F15" s="184"/>
      <c r="G15" s="184"/>
      <c r="H15" s="184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</row>
    <row r="16" spans="1:19" hidden="1" outlineLevel="1">
      <c r="A16" s="192">
        <f>'רשימת הסעיפים'!A13</f>
        <v>0</v>
      </c>
      <c r="B16" s="193">
        <f>IF(A16&lt;&gt;0,SUMIF('שלב ב - סיווג תנועות'!$H$9:$H$1499,A16,'שלב ב - סיווג תנועות'!$N$9:$N$1499),0)</f>
        <v>0</v>
      </c>
      <c r="C16" s="184"/>
      <c r="D16" s="192">
        <f>'רשימת הסעיפים'!Q13</f>
        <v>0</v>
      </c>
      <c r="E16" s="193">
        <f>IF(D16&lt;&gt;0,SUMIF('שלב ב - סיווג תנועות'!$H$9:$H$1499,D16,'שלב ב - סיווג תנועות'!$N$9:$N$1499),0)</f>
        <v>0</v>
      </c>
      <c r="F16" s="184"/>
      <c r="G16" s="184"/>
      <c r="H16" s="184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</row>
    <row r="17" spans="1:19" hidden="1" outlineLevel="1">
      <c r="A17" s="192">
        <f>'רשימת הסעיפים'!A14</f>
        <v>0</v>
      </c>
      <c r="B17" s="193">
        <f>IF(A17&lt;&gt;0,SUMIF('שלב ב - סיווג תנועות'!$H$9:$H$1499,A17,'שלב ב - סיווג תנועות'!$N$9:$N$1499),0)</f>
        <v>0</v>
      </c>
      <c r="C17" s="184"/>
      <c r="D17" s="192">
        <f>'רשימת הסעיפים'!Q14</f>
        <v>0</v>
      </c>
      <c r="E17" s="193">
        <f>IF(D17&lt;&gt;0,SUMIF('שלב ב - סיווג תנועות'!$H$9:$H$1499,D17,'שלב ב - סיווג תנועות'!$N$9:$N$1499),0)</f>
        <v>0</v>
      </c>
      <c r="F17" s="184"/>
      <c r="G17" s="184"/>
      <c r="H17" s="184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</row>
    <row r="18" spans="1:19" hidden="1" outlineLevel="1">
      <c r="A18" s="192">
        <f>'רשימת הסעיפים'!A15</f>
        <v>0</v>
      </c>
      <c r="B18" s="193">
        <f>IF(A18&lt;&gt;0,SUMIF('שלב ב - סיווג תנועות'!$H$9:$H$1499,A18,'שלב ב - סיווג תנועות'!$N$9:$N$1499),0)</f>
        <v>0</v>
      </c>
      <c r="C18" s="184"/>
      <c r="D18" s="192">
        <f>'רשימת הסעיפים'!Q15</f>
        <v>0</v>
      </c>
      <c r="E18" s="193">
        <f>IF(D18&lt;&gt;0,SUMIF('שלב ב - סיווג תנועות'!$H$9:$H$1499,D18,'שלב ב - סיווג תנועות'!$N$9:$N$1499),0)</f>
        <v>0</v>
      </c>
      <c r="F18" s="184"/>
      <c r="G18" s="184"/>
      <c r="H18" s="184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</row>
    <row r="19" spans="1:19" hidden="1" outlineLevel="1">
      <c r="A19" s="192">
        <f>'רשימת הסעיפים'!A16</f>
        <v>0</v>
      </c>
      <c r="B19" s="193">
        <f>IF(A19&lt;&gt;0,SUMIF('שלב ב - סיווג תנועות'!$H$9:$H$1499,A19,'שלב ב - סיווג תנועות'!$N$9:$N$1499),0)</f>
        <v>0</v>
      </c>
      <c r="C19" s="184"/>
      <c r="D19" s="192">
        <f>'רשימת הסעיפים'!Q16</f>
        <v>0</v>
      </c>
      <c r="E19" s="193">
        <f>IF(D19&lt;&gt;0,SUMIF('שלב ב - סיווג תנועות'!$H$9:$H$1499,D19,'שלב ב - סיווג תנועות'!$N$9:$N$1499),0)</f>
        <v>0</v>
      </c>
      <c r="F19" s="184"/>
      <c r="G19" s="184"/>
      <c r="H19" s="184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</row>
    <row r="20" spans="1:19" hidden="1" outlineLevel="1">
      <c r="A20" s="192">
        <f>'רשימת הסעיפים'!A17</f>
        <v>0</v>
      </c>
      <c r="B20" s="193">
        <f>IF(A20&lt;&gt;0,SUMIF('שלב ב - סיווג תנועות'!$H$9:$H$1499,A20,'שלב ב - סיווג תנועות'!$N$9:$N$1499),0)</f>
        <v>0</v>
      </c>
      <c r="C20" s="184"/>
      <c r="D20" s="192">
        <f>'רשימת הסעיפים'!Q17</f>
        <v>0</v>
      </c>
      <c r="E20" s="193">
        <f>IF(D20&lt;&gt;0,SUMIF('שלב ב - סיווג תנועות'!$H$9:$H$1499,D20,'שלב ב - סיווג תנועות'!$N$9:$N$1499),0)</f>
        <v>0</v>
      </c>
      <c r="F20" s="184"/>
      <c r="G20" s="184"/>
      <c r="H20" s="184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</row>
    <row r="21" spans="1:19" hidden="1" outlineLevel="1">
      <c r="A21" s="192">
        <f>'רשימת הסעיפים'!A18</f>
        <v>0</v>
      </c>
      <c r="B21" s="193">
        <f>IF(A21&lt;&gt;0,SUMIF('שלב ב - סיווג תנועות'!$H$9:$H$1499,A21,'שלב ב - סיווג תנועות'!$N$9:$N$1499),0)</f>
        <v>0</v>
      </c>
      <c r="C21" s="184"/>
      <c r="D21" s="192">
        <f>'רשימת הסעיפים'!Q18</f>
        <v>0</v>
      </c>
      <c r="E21" s="193">
        <f>IF(D21&lt;&gt;0,SUMIF('שלב ב - סיווג תנועות'!$H$9:$H$1499,D21,'שלב ב - סיווג תנועות'!$N$9:$N$1499),0)</f>
        <v>0</v>
      </c>
      <c r="F21" s="184"/>
      <c r="G21" s="184"/>
      <c r="H21" s="184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</row>
    <row r="22" spans="1:19" hidden="1" outlineLevel="1">
      <c r="A22" s="192">
        <f>'רשימת הסעיפים'!A19</f>
        <v>0</v>
      </c>
      <c r="B22" s="193">
        <f>IF(A22&lt;&gt;0,SUMIF('שלב ב - סיווג תנועות'!$H$9:$H$1499,A22,'שלב ב - סיווג תנועות'!$N$9:$N$1499),0)</f>
        <v>0</v>
      </c>
      <c r="C22" s="184"/>
      <c r="D22" s="192">
        <f>'רשימת הסעיפים'!Q19</f>
        <v>0</v>
      </c>
      <c r="E22" s="193">
        <f>IF(D22&lt;&gt;0,SUMIF('שלב ב - סיווג תנועות'!$H$9:$H$1499,D22,'שלב ב - סיווג תנועות'!$N$9:$N$1499),0)</f>
        <v>0</v>
      </c>
      <c r="F22" s="184"/>
      <c r="G22" s="184"/>
      <c r="H22" s="184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</row>
    <row r="23" spans="1:19" hidden="1" outlineLevel="1">
      <c r="A23" s="192">
        <f>'רשימת הסעיפים'!A20</f>
        <v>0</v>
      </c>
      <c r="B23" s="193">
        <f>IF(A23&lt;&gt;0,SUMIF('שלב ב - סיווג תנועות'!$H$9:$H$1499,A23,'שלב ב - סיווג תנועות'!$N$9:$N$1499),0)</f>
        <v>0</v>
      </c>
      <c r="C23" s="184"/>
      <c r="D23" s="192">
        <f>'רשימת הסעיפים'!Q20</f>
        <v>0</v>
      </c>
      <c r="E23" s="193">
        <f>IF(D23&lt;&gt;0,SUMIF('שלב ב - סיווג תנועות'!$H$9:$H$1499,D23,'שלב ב - סיווג תנועות'!$N$9:$N$1499),0)</f>
        <v>0</v>
      </c>
      <c r="F23" s="184"/>
      <c r="G23" s="184"/>
      <c r="H23" s="184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</row>
    <row r="24" spans="1:19" hidden="1" outlineLevel="1">
      <c r="A24" s="192">
        <f>'רשימת הסעיפים'!A21</f>
        <v>0</v>
      </c>
      <c r="B24" s="193">
        <f>IF(A24&lt;&gt;0,SUMIF('שלב ב - סיווג תנועות'!$H$9:$H$1499,A24,'שלב ב - סיווג תנועות'!$N$9:$N$1499),0)</f>
        <v>0</v>
      </c>
      <c r="C24" s="184"/>
      <c r="D24" s="192">
        <f>'רשימת הסעיפים'!Q21</f>
        <v>0</v>
      </c>
      <c r="E24" s="193">
        <f>IF(D24&lt;&gt;0,SUMIF('שלב ב - סיווג תנועות'!$H$9:$H$1499,D24,'שלב ב - סיווג תנועות'!$N$9:$N$1499),0)</f>
        <v>0</v>
      </c>
      <c r="F24" s="184"/>
      <c r="G24" s="184"/>
      <c r="H24" s="184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</row>
    <row r="25" spans="1:19" collapsed="1">
      <c r="A25" s="186" t="str">
        <f>'רשימת הסעיפים'!B1</f>
        <v>פנאי, בילוי ותחביבים</v>
      </c>
      <c r="B25" s="187">
        <f>SUM(B26:B45)</f>
        <v>0</v>
      </c>
      <c r="C25" s="184"/>
      <c r="D25" s="188" t="str">
        <f>'רשימת הסעיפים'!R1</f>
        <v>קצבאות</v>
      </c>
      <c r="E25" s="187">
        <f>SUM(E26:E45)</f>
        <v>0</v>
      </c>
      <c r="F25" s="184"/>
      <c r="G25" s="184"/>
      <c r="H25" s="184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</row>
    <row r="26" spans="1:19" hidden="1" outlineLevel="1">
      <c r="A26" s="192" t="str">
        <f>'רשימת הסעיפים'!B2</f>
        <v>מסעדה ואוכל בחוץ</v>
      </c>
      <c r="B26" s="193">
        <f>IF(A26&lt;&gt;0,SUMIF('שלב ב - סיווג תנועות'!$H$9:$H$1499,A26,'שלב ב - סיווג תנועות'!$N$9:$N$1499),0)</f>
        <v>0</v>
      </c>
      <c r="C26" s="184"/>
      <c r="D26" s="192" t="str">
        <f>'רשימת הסעיפים'!R2</f>
        <v>קצבת ילדים</v>
      </c>
      <c r="E26" s="193">
        <f>IF(D26&lt;&gt;0,SUMIF('שלב ב - סיווג תנועות'!$H$9:$H$1499,D26,'שלב ב - סיווג תנועות'!$N$9:$N$1499),0)</f>
        <v>0</v>
      </c>
      <c r="F26" s="184"/>
      <c r="G26" s="184"/>
      <c r="H26" s="184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</row>
    <row r="27" spans="1:19" hidden="1" outlineLevel="1">
      <c r="A27" s="192" t="str">
        <f>'רשימת הסעיפים'!B3</f>
        <v>ספורט</v>
      </c>
      <c r="B27" s="193">
        <f>IF(A27&lt;&gt;0,SUMIF('שלב ב - סיווג תנועות'!$H$9:$H$1499,A27,'שלב ב - סיווג תנועות'!$N$9:$N$1499),0)</f>
        <v>0</v>
      </c>
      <c r="C27" s="184"/>
      <c r="D27" s="192" t="str">
        <f>'רשימת הסעיפים'!R3</f>
        <v>קצבת נכות</v>
      </c>
      <c r="E27" s="193">
        <f>IF(D27&lt;&gt;0,SUMIF('שלב ב - סיווג תנועות'!$H$9:$H$1499,D27,'שלב ב - סיווג תנועות'!$N$9:$N$1499),0)</f>
        <v>0</v>
      </c>
      <c r="F27" s="184"/>
      <c r="G27" s="184"/>
      <c r="H27" s="184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</row>
    <row r="28" spans="1:19" hidden="1" outlineLevel="1">
      <c r="A28" s="192" t="str">
        <f>'רשימת הסעיפים'!B4</f>
        <v>חופשות</v>
      </c>
      <c r="B28" s="193">
        <f>IF(A28&lt;&gt;0,SUMIF('שלב ב - סיווג תנועות'!$H$9:$H$1499,A28,'שלב ב - סיווג תנועות'!$N$9:$N$1499),0)</f>
        <v>0</v>
      </c>
      <c r="C28" s="184"/>
      <c r="D28" s="192" t="str">
        <f>'רשימת הסעיפים'!R4</f>
        <v>סיוע בשכר דירה</v>
      </c>
      <c r="E28" s="193">
        <f>IF(D28&lt;&gt;0,SUMIF('שלב ב - סיווג תנועות'!$H$9:$H$1499,D28,'שלב ב - סיווג תנועות'!$N$9:$N$1499),0)</f>
        <v>0</v>
      </c>
      <c r="F28" s="184"/>
      <c r="G28" s="184"/>
      <c r="H28" s="184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</row>
    <row r="29" spans="1:19" hidden="1" outlineLevel="1">
      <c r="A29" s="192" t="str">
        <f>'רשימת הסעיפים'!B5</f>
        <v>בילויים ומופעים</v>
      </c>
      <c r="B29" s="193">
        <f>IF(A29&lt;&gt;0,SUMIF('שלב ב - סיווג תנועות'!$H$9:$H$1499,A29,'שלב ב - סיווג תנועות'!$N$9:$N$1499),0)</f>
        <v>0</v>
      </c>
      <c r="C29" s="184"/>
      <c r="D29" s="192" t="str">
        <f>'רשימת הסעיפים'!R5</f>
        <v>קצבת זיקנה</v>
      </c>
      <c r="E29" s="193">
        <f>IF(D29&lt;&gt;0,SUMIF('שלב ב - סיווג תנועות'!$H$9:$H$1499,D29,'שלב ב - סיווג תנועות'!$N$9:$N$1499),0)</f>
        <v>0</v>
      </c>
      <c r="F29" s="184"/>
      <c r="G29" s="184"/>
      <c r="H29" s="184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</row>
    <row r="30" spans="1:19" hidden="1" outlineLevel="1">
      <c r="A30" s="192" t="str">
        <f>'רשימת הסעיפים'!B6</f>
        <v>חיות מחמד</v>
      </c>
      <c r="B30" s="193">
        <f>IF(A30&lt;&gt;0,SUMIF('שלב ב - סיווג תנועות'!$H$9:$H$1499,A30,'שלב ב - סיווג תנועות'!$N$9:$N$1499),0)</f>
        <v>0</v>
      </c>
      <c r="C30" s="184"/>
      <c r="D30" s="192" t="str">
        <f>'רשימת הסעיפים'!R6</f>
        <v>קצבאות - כללי</v>
      </c>
      <c r="E30" s="193">
        <f>IF(D30&lt;&gt;0,SUMIF('שלב ב - סיווג תנועות'!$H$9:$H$1499,D30,'שלב ב - סיווג תנועות'!$N$9:$N$1499),0)</f>
        <v>0</v>
      </c>
      <c r="F30" s="184"/>
      <c r="G30" s="184"/>
      <c r="H30" s="184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</row>
    <row r="31" spans="1:19" hidden="1" outlineLevel="1">
      <c r="A31" s="192" t="str">
        <f>'רשימת הסעיפים'!B7</f>
        <v>חוגי מבוגרים</v>
      </c>
      <c r="B31" s="193">
        <f>IF(A31&lt;&gt;0,SUMIF('שלב ב - סיווג תנועות'!$H$9:$H$1499,A31,'שלב ב - סיווג תנועות'!$N$9:$N$1499),0)</f>
        <v>0</v>
      </c>
      <c r="C31" s="184"/>
      <c r="D31" s="192">
        <f>'רשימת הסעיפים'!R7</f>
        <v>0</v>
      </c>
      <c r="E31" s="193">
        <f>IF(D31&lt;&gt;0,SUMIF('שלב ב - סיווג תנועות'!$H$9:$H$1499,D31,'שלב ב - סיווג תנועות'!$N$9:$N$1499),0)</f>
        <v>0</v>
      </c>
      <c r="F31" s="184"/>
      <c r="G31" s="184"/>
      <c r="H31" s="184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</row>
    <row r="32" spans="1:19" hidden="1" outlineLevel="1">
      <c r="A32" s="192" t="str">
        <f>'רשימת הסעיפים'!B8</f>
        <v>בייביסיטר</v>
      </c>
      <c r="B32" s="193">
        <f>IF(A32&lt;&gt;0,SUMIF('שלב ב - סיווג תנועות'!$H$9:$H$1499,A32,'שלב ב - סיווג תנועות'!$N$9:$N$1499),0)</f>
        <v>0</v>
      </c>
      <c r="C32" s="184"/>
      <c r="D32" s="192">
        <f>'רשימת הסעיפים'!R8</f>
        <v>0</v>
      </c>
      <c r="E32" s="193">
        <f>IF(D32&lt;&gt;0,SUMIF('שלב ב - סיווג תנועות'!$H$9:$H$1499,D32,'שלב ב - סיווג תנועות'!$N$9:$N$1499),0)</f>
        <v>0</v>
      </c>
      <c r="F32" s="184"/>
      <c r="G32" s="184"/>
      <c r="H32" s="184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</row>
    <row r="33" spans="1:19" hidden="1" outlineLevel="1">
      <c r="A33" s="192" t="str">
        <f>'רשימת הסעיפים'!B9</f>
        <v>הגרלות</v>
      </c>
      <c r="B33" s="193">
        <f>IF(A33&lt;&gt;0,SUMIF('שלב ב - סיווג תנועות'!$H$9:$H$1499,A33,'שלב ב - סיווג תנועות'!$N$9:$N$1499),0)</f>
        <v>0</v>
      </c>
      <c r="C33" s="184"/>
      <c r="D33" s="192">
        <f>'רשימת הסעיפים'!R9</f>
        <v>0</v>
      </c>
      <c r="E33" s="193">
        <f>IF(D33&lt;&gt;0,SUMIF('שלב ב - סיווג תנועות'!$H$9:$H$1499,D33,'שלב ב - סיווג תנועות'!$N$9:$N$1499),0)</f>
        <v>0</v>
      </c>
      <c r="F33" s="184"/>
      <c r="G33" s="184"/>
      <c r="H33" s="184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</row>
    <row r="34" spans="1:19" hidden="1" outlineLevel="1">
      <c r="A34" s="192" t="str">
        <f>'רשימת הסעיפים'!B10</f>
        <v>פנאי - כללי</v>
      </c>
      <c r="B34" s="193">
        <f>IF(A34&lt;&gt;0,SUMIF('שלב ב - סיווג תנועות'!$H$9:$H$1499,A34,'שלב ב - סיווג תנועות'!$N$9:$N$1499),0)</f>
        <v>0</v>
      </c>
      <c r="C34" s="184"/>
      <c r="D34" s="192">
        <f>'רשימת הסעיפים'!R10</f>
        <v>0</v>
      </c>
      <c r="E34" s="193">
        <f>IF(D34&lt;&gt;0,SUMIF('שלב ב - סיווג תנועות'!$H$9:$H$1499,D34,'שלב ב - סיווג תנועות'!$N$9:$N$1499),0)</f>
        <v>0</v>
      </c>
      <c r="F34" s="184"/>
      <c r="G34" s="184"/>
      <c r="H34" s="184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</row>
    <row r="35" spans="1:19" hidden="1" outlineLevel="1">
      <c r="A35" s="192">
        <f>'רשימת הסעיפים'!B11</f>
        <v>0</v>
      </c>
      <c r="B35" s="193">
        <f>IF(A35&lt;&gt;0,SUMIF('שלב ב - סיווג תנועות'!$H$9:$H$1499,A35,'שלב ב - סיווג תנועות'!$N$9:$N$1499),0)</f>
        <v>0</v>
      </c>
      <c r="C35" s="184"/>
      <c r="D35" s="192">
        <f>'רשימת הסעיפים'!R11</f>
        <v>0</v>
      </c>
      <c r="E35" s="193">
        <f>IF(D35&lt;&gt;0,SUMIF('שלב ב - סיווג תנועות'!$H$9:$H$1499,D35,'שלב ב - סיווג תנועות'!$N$9:$N$1499),0)</f>
        <v>0</v>
      </c>
      <c r="F35" s="184"/>
      <c r="G35" s="184"/>
      <c r="H35" s="184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</row>
    <row r="36" spans="1:19" hidden="1" outlineLevel="1">
      <c r="A36" s="192">
        <f>'רשימת הסעיפים'!B12</f>
        <v>0</v>
      </c>
      <c r="B36" s="193">
        <f>IF(A36&lt;&gt;0,SUMIF('שלב ב - סיווג תנועות'!$H$9:$H$1499,A36,'שלב ב - סיווג תנועות'!$N$9:$N$1499),0)</f>
        <v>0</v>
      </c>
      <c r="C36" s="184"/>
      <c r="D36" s="192">
        <f>'רשימת הסעיפים'!R12</f>
        <v>0</v>
      </c>
      <c r="E36" s="193">
        <f>IF(D36&lt;&gt;0,SUMIF('שלב ב - סיווג תנועות'!$H$9:$H$1499,D36,'שלב ב - סיווג תנועות'!$N$9:$N$1499),0)</f>
        <v>0</v>
      </c>
      <c r="F36" s="184"/>
      <c r="G36" s="184"/>
      <c r="H36" s="184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</row>
    <row r="37" spans="1:19" hidden="1" outlineLevel="1">
      <c r="A37" s="192">
        <f>'רשימת הסעיפים'!B13</f>
        <v>0</v>
      </c>
      <c r="B37" s="193">
        <f>IF(A37&lt;&gt;0,SUMIF('שלב ב - סיווג תנועות'!$H$9:$H$1499,A37,'שלב ב - סיווג תנועות'!$N$9:$N$1499),0)</f>
        <v>0</v>
      </c>
      <c r="C37" s="184"/>
      <c r="D37" s="192">
        <f>'רשימת הסעיפים'!R13</f>
        <v>0</v>
      </c>
      <c r="E37" s="193">
        <f>IF(D37&lt;&gt;0,SUMIF('שלב ב - סיווג תנועות'!$H$9:$H$1499,D37,'שלב ב - סיווג תנועות'!$N$9:$N$1499),0)</f>
        <v>0</v>
      </c>
      <c r="F37" s="184"/>
      <c r="G37" s="184"/>
      <c r="H37" s="184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</row>
    <row r="38" spans="1:19" hidden="1" outlineLevel="1">
      <c r="A38" s="192">
        <f>'רשימת הסעיפים'!B14</f>
        <v>0</v>
      </c>
      <c r="B38" s="193">
        <f>IF(A38&lt;&gt;0,SUMIF('שלב ב - סיווג תנועות'!$H$9:$H$1499,A38,'שלב ב - סיווג תנועות'!$N$9:$N$1499),0)</f>
        <v>0</v>
      </c>
      <c r="C38" s="184"/>
      <c r="D38" s="192">
        <f>'רשימת הסעיפים'!R14</f>
        <v>0</v>
      </c>
      <c r="E38" s="193">
        <f>IF(D38&lt;&gt;0,SUMIF('שלב ב - סיווג תנועות'!$H$9:$H$1499,D38,'שלב ב - סיווג תנועות'!$N$9:$N$1499),0)</f>
        <v>0</v>
      </c>
      <c r="F38" s="184"/>
      <c r="G38" s="184"/>
      <c r="H38" s="184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</row>
    <row r="39" spans="1:19" hidden="1" outlineLevel="1">
      <c r="A39" s="189">
        <f>'רשימת הסעיפים'!B15</f>
        <v>0</v>
      </c>
      <c r="B39" s="193">
        <f>IF(A39&lt;&gt;0,SUMIF('שלב ב - סיווג תנועות'!$H$9:$H$1499,A39,'שלב ב - סיווג תנועות'!$N$9:$N$1499),0)</f>
        <v>0</v>
      </c>
      <c r="C39" s="184"/>
      <c r="D39" s="192">
        <f>'רשימת הסעיפים'!R15</f>
        <v>0</v>
      </c>
      <c r="E39" s="193">
        <f>IF(D39&lt;&gt;0,SUMIF('שלב ב - סיווג תנועות'!$H$9:$H$1499,D39,'שלב ב - סיווג תנועות'!$N$9:$N$1499),0)</f>
        <v>0</v>
      </c>
      <c r="F39" s="184"/>
      <c r="G39" s="184"/>
      <c r="H39" s="184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</row>
    <row r="40" spans="1:19" hidden="1" outlineLevel="1">
      <c r="A40" s="189">
        <f>'רשימת הסעיפים'!B16</f>
        <v>0</v>
      </c>
      <c r="B40" s="193">
        <f>IF(A40&lt;&gt;0,SUMIF('שלב ב - סיווג תנועות'!$H$9:$H$1499,A40,'שלב ב - סיווג תנועות'!$N$9:$N$1499),0)</f>
        <v>0</v>
      </c>
      <c r="C40" s="184"/>
      <c r="D40" s="192">
        <f>'רשימת הסעיפים'!R16</f>
        <v>0</v>
      </c>
      <c r="E40" s="193">
        <f>IF(D40&lt;&gt;0,SUMIF('שלב ב - סיווג תנועות'!$H$9:$H$1499,D40,'שלב ב - סיווג תנועות'!$N$9:$N$1499),0)</f>
        <v>0</v>
      </c>
      <c r="F40" s="184"/>
      <c r="G40" s="184"/>
      <c r="H40" s="184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</row>
    <row r="41" spans="1:19" hidden="1" outlineLevel="1">
      <c r="A41" s="189">
        <f>'רשימת הסעיפים'!B17</f>
        <v>0</v>
      </c>
      <c r="B41" s="193">
        <f>IF(A41&lt;&gt;0,SUMIF('שלב ב - סיווג תנועות'!$H$9:$H$1499,A41,'שלב ב - סיווג תנועות'!$N$9:$N$1499),0)</f>
        <v>0</v>
      </c>
      <c r="C41" s="184"/>
      <c r="D41" s="192">
        <f>'רשימת הסעיפים'!R17</f>
        <v>0</v>
      </c>
      <c r="E41" s="193">
        <f>IF(D41&lt;&gt;0,SUMIF('שלב ב - סיווג תנועות'!$H$9:$H$1499,D41,'שלב ב - סיווג תנועות'!$N$9:$N$1499),0)</f>
        <v>0</v>
      </c>
      <c r="F41" s="184"/>
      <c r="G41" s="184"/>
      <c r="H41" s="184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</row>
    <row r="42" spans="1:19" hidden="1" outlineLevel="1">
      <c r="A42" s="189">
        <f>'רשימת הסעיפים'!B18</f>
        <v>0</v>
      </c>
      <c r="B42" s="193">
        <f>IF(A42&lt;&gt;0,SUMIF('שלב ב - סיווג תנועות'!$H$9:$H$1499,A42,'שלב ב - סיווג תנועות'!$N$9:$N$1499),0)</f>
        <v>0</v>
      </c>
      <c r="C42" s="184"/>
      <c r="D42" s="192">
        <f>'רשימת הסעיפים'!R18</f>
        <v>0</v>
      </c>
      <c r="E42" s="193">
        <f>IF(D42&lt;&gt;0,SUMIF('שלב ב - סיווג תנועות'!$H$9:$H$1499,D42,'שלב ב - סיווג תנועות'!$N$9:$N$1499),0)</f>
        <v>0</v>
      </c>
      <c r="F42" s="184"/>
      <c r="G42" s="184"/>
      <c r="H42" s="184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</row>
    <row r="43" spans="1:19" hidden="1" outlineLevel="1">
      <c r="A43" s="189">
        <f>'רשימת הסעיפים'!B19</f>
        <v>0</v>
      </c>
      <c r="B43" s="193">
        <f>IF(A43&lt;&gt;0,SUMIF('שלב ב - סיווג תנועות'!$H$9:$H$1499,A43,'שלב ב - סיווג תנועות'!$N$9:$N$1499),0)</f>
        <v>0</v>
      </c>
      <c r="C43" s="184"/>
      <c r="D43" s="192">
        <f>'רשימת הסעיפים'!R19</f>
        <v>0</v>
      </c>
      <c r="E43" s="193">
        <f>IF(D43&lt;&gt;0,SUMIF('שלב ב - סיווג תנועות'!$H$9:$H$1499,D43,'שלב ב - סיווג תנועות'!$N$9:$N$1499),0)</f>
        <v>0</v>
      </c>
      <c r="F43" s="184"/>
      <c r="G43" s="184"/>
      <c r="H43" s="184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</row>
    <row r="44" spans="1:19" hidden="1" outlineLevel="1">
      <c r="A44" s="189">
        <f>'רשימת הסעיפים'!B20</f>
        <v>0</v>
      </c>
      <c r="B44" s="193">
        <f>IF(A44&lt;&gt;0,SUMIF('שלב ב - סיווג תנועות'!$H$9:$H$1499,A44,'שלב ב - סיווג תנועות'!$N$9:$N$1499),0)</f>
        <v>0</v>
      </c>
      <c r="C44" s="184"/>
      <c r="D44" s="192">
        <f>'רשימת הסעיפים'!R20</f>
        <v>0</v>
      </c>
      <c r="E44" s="193">
        <f>IF(D44&lt;&gt;0,SUMIF('שלב ב - סיווג תנועות'!$H$9:$H$1499,D44,'שלב ב - סיווג תנועות'!$N$9:$N$1499),0)</f>
        <v>0</v>
      </c>
      <c r="F44" s="184"/>
      <c r="G44" s="184"/>
      <c r="H44" s="184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</row>
    <row r="45" spans="1:19" hidden="1" outlineLevel="1">
      <c r="A45" s="189">
        <f>'רשימת הסעיפים'!B21</f>
        <v>0</v>
      </c>
      <c r="B45" s="193">
        <f>IF(A45&lt;&gt;0,SUMIF('שלב ב - סיווג תנועות'!$H$9:$H$1499,A45,'שלב ב - סיווג תנועות'!$N$9:$N$1499),0)</f>
        <v>0</v>
      </c>
      <c r="C45" s="184"/>
      <c r="D45" s="192">
        <f>'רשימת הסעיפים'!R21</f>
        <v>0</v>
      </c>
      <c r="E45" s="193">
        <f>IF(D45&lt;&gt;0,SUMIF('שלב ב - סיווג תנועות'!$H$9:$H$1499,D45,'שלב ב - סיווג תנועות'!$N$9:$N$1499),0)</f>
        <v>0</v>
      </c>
      <c r="F45" s="184"/>
      <c r="G45" s="184"/>
      <c r="H45" s="184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</row>
    <row r="46" spans="1:19" collapsed="1">
      <c r="A46" s="186" t="str">
        <f>'רשימת הסעיפים'!C1</f>
        <v>ביגוד והנעלה</v>
      </c>
      <c r="B46" s="187">
        <f>SUM(B47:B66)</f>
        <v>0</v>
      </c>
      <c r="C46" s="184"/>
      <c r="D46" s="188" t="str">
        <f>'רשימת הסעיפים'!S1</f>
        <v>הכנסות שונות</v>
      </c>
      <c r="E46" s="187">
        <f>SUM(E47:E66)</f>
        <v>0</v>
      </c>
      <c r="F46" s="184"/>
      <c r="G46" s="184"/>
      <c r="H46" s="184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</row>
    <row r="47" spans="1:19" hidden="1" outlineLevel="1">
      <c r="A47" s="192" t="str">
        <f>'רשימת הסעיפים'!C2</f>
        <v>ביגוד הורים</v>
      </c>
      <c r="B47" s="193">
        <f>IF(A47&lt;&gt;0,SUMIF('שלב ב - סיווג תנועות'!$H$9:$H$1499,A47,'שלב ב - סיווג תנועות'!$N$9:$N$1499),0)</f>
        <v>0</v>
      </c>
      <c r="C47" s="184"/>
      <c r="D47" s="192" t="str">
        <f>'רשימת הסעיפים'!S2</f>
        <v>קבלת מזונות</v>
      </c>
      <c r="E47" s="193">
        <f>IF(D47&lt;&gt;0,SUMIF('שלב ב - סיווג תנועות'!$H$9:$H$1499,D47,'שלב ב - סיווג תנועות'!$N$9:$N$1499),0)</f>
        <v>0</v>
      </c>
      <c r="F47" s="184"/>
      <c r="G47" s="184"/>
      <c r="H47" s="184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</row>
    <row r="48" spans="1:19" hidden="1" outlineLevel="1">
      <c r="A48" s="192" t="str">
        <f>'רשימת הסעיפים'!C3</f>
        <v>ביגוד ילדים</v>
      </c>
      <c r="B48" s="193">
        <f>IF(A48&lt;&gt;0,SUMIF('שלב ב - סיווג תנועות'!$H$9:$H$1499,A48,'שלב ב - סיווג תנועות'!$N$9:$N$1499),0)</f>
        <v>0</v>
      </c>
      <c r="C48" s="184"/>
      <c r="D48" s="192" t="str">
        <f>'רשימת הסעיפים'!S3</f>
        <v>הכנסה מנכס</v>
      </c>
      <c r="E48" s="193">
        <f>IF(D48&lt;&gt;0,SUMIF('שלב ב - סיווג תנועות'!$H$9:$H$1499,D48,'שלב ב - סיווג תנועות'!$N$9:$N$1499),0)</f>
        <v>0</v>
      </c>
      <c r="F48" s="184"/>
      <c r="G48" s="184"/>
      <c r="H48" s="184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</row>
    <row r="49" spans="1:19" hidden="1" outlineLevel="1">
      <c r="A49" s="192" t="str">
        <f>'רשימת הסעיפים'!C4</f>
        <v>נעליים</v>
      </c>
      <c r="B49" s="193">
        <f>IF(A49&lt;&gt;0,SUMIF('שלב ב - סיווג תנועות'!$H$9:$H$1499,A49,'שלב ב - סיווג תנועות'!$N$9:$N$1499),0)</f>
        <v>0</v>
      </c>
      <c r="C49" s="184"/>
      <c r="D49" s="192" t="str">
        <f>'רשימת הסעיפים'!S4</f>
        <v>עזרה מההורים</v>
      </c>
      <c r="E49" s="193">
        <f>IF(D49&lt;&gt;0,SUMIF('שלב ב - סיווג תנועות'!$H$9:$H$1499,D49,'שלב ב - סיווג תנועות'!$N$9:$N$1499),0)</f>
        <v>0</v>
      </c>
      <c r="F49" s="184"/>
      <c r="G49" s="184"/>
      <c r="H49" s="184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</row>
    <row r="50" spans="1:19" hidden="1" outlineLevel="1">
      <c r="A50" s="192" t="str">
        <f>'רשימת הסעיפים'!C5</f>
        <v>ביגוד והנעלה - כללי</v>
      </c>
      <c r="B50" s="193">
        <f>IF(A50&lt;&gt;0,SUMIF('שלב ב - סיווג תנועות'!$H$9:$H$1499,A50,'שלב ב - סיווג תנועות'!$N$9:$N$1499),0)</f>
        <v>0</v>
      </c>
      <c r="C50" s="184"/>
      <c r="D50" s="192" t="str">
        <f>'רשימת הסעיפים'!S5</f>
        <v>הכנסות שונות - כללי</v>
      </c>
      <c r="E50" s="193">
        <f>IF(D50&lt;&gt;0,SUMIF('שלב ב - סיווג תנועות'!$H$9:$H$1499,D50,'שלב ב - סיווג תנועות'!$N$9:$N$1499),0)</f>
        <v>0</v>
      </c>
      <c r="F50" s="184"/>
      <c r="G50" s="184"/>
      <c r="H50" s="184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</row>
    <row r="51" spans="1:19" hidden="1" outlineLevel="1">
      <c r="A51" s="189">
        <f>'רשימת הסעיפים'!C6</f>
        <v>0</v>
      </c>
      <c r="B51" s="193">
        <f>IF(A51&lt;&gt;0,SUMIF('שלב ב - סיווג תנועות'!$H$9:$H$1499,A51,'שלב ב - סיווג תנועות'!$N$9:$N$1499),0)</f>
        <v>0</v>
      </c>
      <c r="C51" s="184"/>
      <c r="D51" s="192">
        <f>'רשימת הסעיפים'!S6</f>
        <v>0</v>
      </c>
      <c r="E51" s="193">
        <f>IF(D51&lt;&gt;0,SUMIF('שלב ב - סיווג תנועות'!$H$9:$H$1499,D51,'שלב ב - סיווג תנועות'!$N$9:$N$1499),0)</f>
        <v>0</v>
      </c>
      <c r="F51" s="184"/>
      <c r="G51" s="184"/>
      <c r="H51" s="184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</row>
    <row r="52" spans="1:19" hidden="1" outlineLevel="1">
      <c r="A52" s="189">
        <f>'רשימת הסעיפים'!C7</f>
        <v>0</v>
      </c>
      <c r="B52" s="193">
        <f>IF(A52&lt;&gt;0,SUMIF('שלב ב - סיווג תנועות'!$H$9:$H$1499,A52,'שלב ב - סיווג תנועות'!$N$9:$N$1499),0)</f>
        <v>0</v>
      </c>
      <c r="C52" s="184"/>
      <c r="D52" s="192">
        <f>'רשימת הסעיפים'!S7</f>
        <v>0</v>
      </c>
      <c r="E52" s="193">
        <f>IF(D52&lt;&gt;0,SUMIF('שלב ב - סיווג תנועות'!$H$9:$H$1499,D52,'שלב ב - סיווג תנועות'!$N$9:$N$1499),0)</f>
        <v>0</v>
      </c>
      <c r="F52" s="184"/>
      <c r="G52" s="184"/>
      <c r="H52" s="184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</row>
    <row r="53" spans="1:19" hidden="1" outlineLevel="1">
      <c r="A53" s="189">
        <f>'רשימת הסעיפים'!C8</f>
        <v>0</v>
      </c>
      <c r="B53" s="193">
        <f>IF(A53&lt;&gt;0,SUMIF('שלב ב - סיווג תנועות'!$H$9:$H$1499,A53,'שלב ב - סיווג תנועות'!$N$9:$N$1499),0)</f>
        <v>0</v>
      </c>
      <c r="C53" s="184"/>
      <c r="D53" s="192">
        <f>'רשימת הסעיפים'!S8</f>
        <v>0</v>
      </c>
      <c r="E53" s="193">
        <f>IF(D53&lt;&gt;0,SUMIF('שלב ב - סיווג תנועות'!$H$9:$H$1499,D53,'שלב ב - סיווג תנועות'!$N$9:$N$1499),0)</f>
        <v>0</v>
      </c>
      <c r="F53" s="184"/>
      <c r="G53" s="184"/>
      <c r="H53" s="184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</row>
    <row r="54" spans="1:19" hidden="1" outlineLevel="1">
      <c r="A54" s="189">
        <f>'רשימת הסעיפים'!C9</f>
        <v>0</v>
      </c>
      <c r="B54" s="193">
        <f>IF(A54&lt;&gt;0,SUMIF('שלב ב - סיווג תנועות'!$H$9:$H$1499,A54,'שלב ב - סיווג תנועות'!$N$9:$N$1499),0)</f>
        <v>0</v>
      </c>
      <c r="C54" s="184"/>
      <c r="D54" s="192">
        <f>'רשימת הסעיפים'!S9</f>
        <v>0</v>
      </c>
      <c r="E54" s="193">
        <f>IF(D54&lt;&gt;0,SUMIF('שלב ב - סיווג תנועות'!$H$9:$H$1499,D54,'שלב ב - סיווג תנועות'!$N$9:$N$1499),0)</f>
        <v>0</v>
      </c>
      <c r="F54" s="184"/>
      <c r="G54" s="184"/>
      <c r="H54" s="184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</row>
    <row r="55" spans="1:19" hidden="1" outlineLevel="1">
      <c r="A55" s="189">
        <f>'רשימת הסעיפים'!C10</f>
        <v>0</v>
      </c>
      <c r="B55" s="193">
        <f>IF(A55&lt;&gt;0,SUMIF('שלב ב - סיווג תנועות'!$H$9:$H$1499,A55,'שלב ב - סיווג תנועות'!$N$9:$N$1499),0)</f>
        <v>0</v>
      </c>
      <c r="C55" s="184"/>
      <c r="D55" s="192">
        <f>'רשימת הסעיפים'!S10</f>
        <v>0</v>
      </c>
      <c r="E55" s="193">
        <f>IF(D55&lt;&gt;0,SUMIF('שלב ב - סיווג תנועות'!$H$9:$H$1499,D55,'שלב ב - סיווג תנועות'!$N$9:$N$1499),0)</f>
        <v>0</v>
      </c>
      <c r="F55" s="184"/>
      <c r="G55" s="184"/>
      <c r="H55" s="184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</row>
    <row r="56" spans="1:19" hidden="1" outlineLevel="1">
      <c r="A56" s="189">
        <f>'רשימת הסעיפים'!C11</f>
        <v>0</v>
      </c>
      <c r="B56" s="193">
        <f>IF(A56&lt;&gt;0,SUMIF('שלב ב - סיווג תנועות'!$H$9:$H$1499,A56,'שלב ב - סיווג תנועות'!$N$9:$N$1499),0)</f>
        <v>0</v>
      </c>
      <c r="C56" s="184"/>
      <c r="D56" s="192">
        <f>'רשימת הסעיפים'!S11</f>
        <v>0</v>
      </c>
      <c r="E56" s="193">
        <f>IF(D56&lt;&gt;0,SUMIF('שלב ב - סיווג תנועות'!$H$9:$H$1499,D56,'שלב ב - סיווג תנועות'!$N$9:$N$1499),0)</f>
        <v>0</v>
      </c>
      <c r="F56" s="184"/>
      <c r="G56" s="184"/>
      <c r="H56" s="184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</row>
    <row r="57" spans="1:19" hidden="1" outlineLevel="1">
      <c r="A57" s="189">
        <f>'רשימת הסעיפים'!C12</f>
        <v>0</v>
      </c>
      <c r="B57" s="193">
        <f>IF(A57&lt;&gt;0,SUMIF('שלב ב - סיווג תנועות'!$H$9:$H$1499,A57,'שלב ב - סיווג תנועות'!$N$9:$N$1499),0)</f>
        <v>0</v>
      </c>
      <c r="C57" s="184"/>
      <c r="D57" s="192">
        <f>'רשימת הסעיפים'!S12</f>
        <v>0</v>
      </c>
      <c r="E57" s="193">
        <f>IF(D57&lt;&gt;0,SUMIF('שלב ב - סיווג תנועות'!$H$9:$H$1499,D57,'שלב ב - סיווג תנועות'!$N$9:$N$1499),0)</f>
        <v>0</v>
      </c>
      <c r="F57" s="184"/>
      <c r="G57" s="184"/>
      <c r="H57" s="184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</row>
    <row r="58" spans="1:19" hidden="1" outlineLevel="1">
      <c r="A58" s="189">
        <f>'רשימת הסעיפים'!C13</f>
        <v>0</v>
      </c>
      <c r="B58" s="193">
        <f>IF(A58&lt;&gt;0,SUMIF('שלב ב - סיווג תנועות'!$H$9:$H$1499,A58,'שלב ב - סיווג תנועות'!$N$9:$N$1499),0)</f>
        <v>0</v>
      </c>
      <c r="C58" s="184"/>
      <c r="D58" s="192">
        <f>'רשימת הסעיפים'!S13</f>
        <v>0</v>
      </c>
      <c r="E58" s="193">
        <f>IF(D58&lt;&gt;0,SUMIF('שלב ב - סיווג תנועות'!$H$9:$H$1499,D58,'שלב ב - סיווג תנועות'!$N$9:$N$1499),0)</f>
        <v>0</v>
      </c>
      <c r="F58" s="184"/>
      <c r="G58" s="184"/>
      <c r="H58" s="184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</row>
    <row r="59" spans="1:19" hidden="1" outlineLevel="1">
      <c r="A59" s="189">
        <f>'רשימת הסעיפים'!C14</f>
        <v>0</v>
      </c>
      <c r="B59" s="193">
        <f>IF(A59&lt;&gt;0,SUMIF('שלב ב - סיווג תנועות'!$H$9:$H$1499,A59,'שלב ב - סיווג תנועות'!$N$9:$N$1499),0)</f>
        <v>0</v>
      </c>
      <c r="C59" s="184"/>
      <c r="D59" s="192">
        <f>'רשימת הסעיפים'!S14</f>
        <v>0</v>
      </c>
      <c r="E59" s="193">
        <f>IF(D59&lt;&gt;0,SUMIF('שלב ב - סיווג תנועות'!$H$9:$H$1499,D59,'שלב ב - סיווג תנועות'!$N$9:$N$1499),0)</f>
        <v>0</v>
      </c>
      <c r="F59" s="184"/>
      <c r="G59" s="184"/>
      <c r="H59" s="184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</row>
    <row r="60" spans="1:19" hidden="1" outlineLevel="1">
      <c r="A60" s="189">
        <f>'רשימת הסעיפים'!C15</f>
        <v>0</v>
      </c>
      <c r="B60" s="193">
        <f>IF(A60&lt;&gt;0,SUMIF('שלב ב - סיווג תנועות'!$H$9:$H$1499,A60,'שלב ב - סיווג תנועות'!$N$9:$N$1499),0)</f>
        <v>0</v>
      </c>
      <c r="C60" s="184"/>
      <c r="D60" s="192">
        <f>'רשימת הסעיפים'!S15</f>
        <v>0</v>
      </c>
      <c r="E60" s="193">
        <f>IF(D60&lt;&gt;0,SUMIF('שלב ב - סיווג תנועות'!$H$9:$H$1499,D60,'שלב ב - סיווג תנועות'!$N$9:$N$1499),0)</f>
        <v>0</v>
      </c>
      <c r="F60" s="184"/>
      <c r="G60" s="184"/>
      <c r="H60" s="184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</row>
    <row r="61" spans="1:19" hidden="1" outlineLevel="1">
      <c r="A61" s="189">
        <f>'רשימת הסעיפים'!C16</f>
        <v>0</v>
      </c>
      <c r="B61" s="193">
        <f>IF(A61&lt;&gt;0,SUMIF('שלב ב - סיווג תנועות'!$H$9:$H$1499,A61,'שלב ב - סיווג תנועות'!$N$9:$N$1499),0)</f>
        <v>0</v>
      </c>
      <c r="C61" s="184"/>
      <c r="D61" s="192">
        <f>'רשימת הסעיפים'!S16</f>
        <v>0</v>
      </c>
      <c r="E61" s="193">
        <f>IF(D61&lt;&gt;0,SUMIF('שלב ב - סיווג תנועות'!$H$9:$H$1499,D61,'שלב ב - סיווג תנועות'!$N$9:$N$1499),0)</f>
        <v>0</v>
      </c>
      <c r="F61" s="184"/>
      <c r="G61" s="184"/>
      <c r="H61" s="184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</row>
    <row r="62" spans="1:19" hidden="1" outlineLevel="1">
      <c r="A62" s="189">
        <f>'רשימת הסעיפים'!C17</f>
        <v>0</v>
      </c>
      <c r="B62" s="193">
        <f>IF(A62&lt;&gt;0,SUMIF('שלב ב - סיווג תנועות'!$H$9:$H$1499,A62,'שלב ב - סיווג תנועות'!$N$9:$N$1499),0)</f>
        <v>0</v>
      </c>
      <c r="C62" s="184"/>
      <c r="D62" s="192">
        <f>'רשימת הסעיפים'!S17</f>
        <v>0</v>
      </c>
      <c r="E62" s="193">
        <f>IF(D62&lt;&gt;0,SUMIF('שלב ב - סיווג תנועות'!$H$9:$H$1499,D62,'שלב ב - סיווג תנועות'!$N$9:$N$1499),0)</f>
        <v>0</v>
      </c>
      <c r="F62" s="184"/>
      <c r="G62" s="184"/>
      <c r="H62" s="184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</row>
    <row r="63" spans="1:19" hidden="1" outlineLevel="1">
      <c r="A63" s="189">
        <f>'רשימת הסעיפים'!C18</f>
        <v>0</v>
      </c>
      <c r="B63" s="193">
        <f>IF(A63&lt;&gt;0,SUMIF('שלב ב - סיווג תנועות'!$H$9:$H$1499,A63,'שלב ב - סיווג תנועות'!$N$9:$N$1499),0)</f>
        <v>0</v>
      </c>
      <c r="C63" s="184"/>
      <c r="D63" s="192">
        <f>'רשימת הסעיפים'!S18</f>
        <v>0</v>
      </c>
      <c r="E63" s="193">
        <f>IF(D63&lt;&gt;0,SUMIF('שלב ב - סיווג תנועות'!$H$9:$H$1499,D63,'שלב ב - סיווג תנועות'!$N$9:$N$1499),0)</f>
        <v>0</v>
      </c>
      <c r="F63" s="184"/>
      <c r="G63" s="184"/>
      <c r="H63" s="184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</row>
    <row r="64" spans="1:19" hidden="1" outlineLevel="1">
      <c r="A64" s="189">
        <f>'רשימת הסעיפים'!C19</f>
        <v>0</v>
      </c>
      <c r="B64" s="193">
        <f>IF(A64&lt;&gt;0,SUMIF('שלב ב - סיווג תנועות'!$H$9:$H$1499,A64,'שלב ב - סיווג תנועות'!$N$9:$N$1499),0)</f>
        <v>0</v>
      </c>
      <c r="C64" s="184"/>
      <c r="D64" s="192">
        <f>'רשימת הסעיפים'!S19</f>
        <v>0</v>
      </c>
      <c r="E64" s="193">
        <f>IF(D64&lt;&gt;0,SUMIF('שלב ב - סיווג תנועות'!$H$9:$H$1499,D64,'שלב ב - סיווג תנועות'!$N$9:$N$1499),0)</f>
        <v>0</v>
      </c>
      <c r="F64" s="184"/>
      <c r="G64" s="184"/>
      <c r="H64" s="184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</row>
    <row r="65" spans="1:19" hidden="1" outlineLevel="1">
      <c r="A65" s="189">
        <f>'רשימת הסעיפים'!C20</f>
        <v>0</v>
      </c>
      <c r="B65" s="193">
        <f>IF(A65&lt;&gt;0,SUMIF('שלב ב - סיווג תנועות'!$H$9:$H$1499,A65,'שלב ב - סיווג תנועות'!$N$9:$N$1499),0)</f>
        <v>0</v>
      </c>
      <c r="C65" s="184"/>
      <c r="D65" s="192">
        <f>'רשימת הסעיפים'!S20</f>
        <v>0</v>
      </c>
      <c r="E65" s="193">
        <f>IF(D65&lt;&gt;0,SUMIF('שלב ב - סיווג תנועות'!$H$9:$H$1499,D65,'שלב ב - סיווג תנועות'!$N$9:$N$1499),0)</f>
        <v>0</v>
      </c>
      <c r="F65" s="184"/>
      <c r="G65" s="184"/>
      <c r="H65" s="184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</row>
    <row r="66" spans="1:19" hidden="1" outlineLevel="1">
      <c r="A66" s="189">
        <f>'רשימת הסעיפים'!C21</f>
        <v>0</v>
      </c>
      <c r="B66" s="193">
        <f>IF(A66&lt;&gt;0,SUMIF('שלב ב - סיווג תנועות'!$H$9:$H$1499,A66,'שלב ב - סיווג תנועות'!$N$9:$N$1499),0)</f>
        <v>0</v>
      </c>
      <c r="C66" s="184"/>
      <c r="D66" s="189">
        <f>'רשימת הסעיפים'!S21</f>
        <v>0</v>
      </c>
      <c r="E66" s="193">
        <f>IF(D66&lt;&gt;0,SUMIF('שלב ב - סיווג תנועות'!$H$9:$H$1499,D66,'שלב ב - סיווג תנועות'!$N$9:$N$1499),0)</f>
        <v>0</v>
      </c>
      <c r="F66" s="184"/>
      <c r="G66" s="184"/>
      <c r="H66" s="184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</row>
    <row r="67" spans="1:19" collapsed="1">
      <c r="A67" s="186" t="str">
        <f>'רשימת הסעיפים'!D1</f>
        <v>תכולת בית</v>
      </c>
      <c r="B67" s="187">
        <f>SUM(B68:B87)</f>
        <v>0</v>
      </c>
      <c r="C67" s="184"/>
      <c r="D67" s="189"/>
      <c r="E67" s="190"/>
      <c r="F67" s="184"/>
      <c r="G67" s="184"/>
      <c r="H67" s="184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</row>
    <row r="68" spans="1:19" hidden="1" outlineLevel="1">
      <c r="A68" s="192" t="str">
        <f>'רשימת הסעיפים'!D2</f>
        <v>ריהוט</v>
      </c>
      <c r="B68" s="193">
        <f>IF(A68&lt;&gt;0,SUMIF('שלב ב - סיווג תנועות'!$H$9:$H$1499,A68,'שלב ב - סיווג תנועות'!$N$9:$N$1499),0)</f>
        <v>0</v>
      </c>
      <c r="C68" s="184"/>
      <c r="D68" s="185"/>
      <c r="E68" s="190"/>
      <c r="F68" s="184"/>
      <c r="G68" s="184"/>
      <c r="H68" s="184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</row>
    <row r="69" spans="1:19" hidden="1" outlineLevel="1">
      <c r="A69" s="192" t="str">
        <f>'רשימת הסעיפים'!D3</f>
        <v>מוצרי חשמל ואלקטרוניקה</v>
      </c>
      <c r="B69" s="193">
        <f>IF(A69&lt;&gt;0,SUMIF('שלב ב - סיווג תנועות'!$H$9:$H$1499,A69,'שלב ב - סיווג תנועות'!$N$9:$N$1499),0)</f>
        <v>0</v>
      </c>
      <c r="C69" s="184"/>
      <c r="D69" s="185"/>
      <c r="E69" s="190"/>
      <c r="F69" s="184"/>
      <c r="G69" s="184"/>
      <c r="H69" s="184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</row>
    <row r="70" spans="1:19" hidden="1" outlineLevel="1">
      <c r="A70" s="192" t="str">
        <f>'רשימת הסעיפים'!D4</f>
        <v>משחקים, צעצועים וספרים</v>
      </c>
      <c r="B70" s="193">
        <f>IF(A70&lt;&gt;0,SUMIF('שלב ב - סיווג תנועות'!$H$9:$H$1499,A70,'שלב ב - סיווג תנועות'!$N$9:$N$1499),0)</f>
        <v>0</v>
      </c>
      <c r="C70" s="184"/>
      <c r="D70" s="185"/>
      <c r="E70" s="190"/>
      <c r="F70" s="184"/>
      <c r="G70" s="184"/>
      <c r="H70" s="184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</row>
    <row r="71" spans="1:19" hidden="1" outlineLevel="1">
      <c r="A71" s="192" t="str">
        <f>'רשימת הסעיפים'!D5</f>
        <v>כלי בית</v>
      </c>
      <c r="B71" s="193">
        <f>IF(A71&lt;&gt;0,SUMIF('שלב ב - סיווג תנועות'!$H$9:$H$1499,A71,'שלב ב - סיווג תנועות'!$N$9:$N$1499),0)</f>
        <v>0</v>
      </c>
      <c r="C71" s="184"/>
      <c r="D71" s="185"/>
      <c r="E71" s="190"/>
      <c r="F71" s="184"/>
      <c r="G71" s="184"/>
      <c r="H71" s="184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</row>
    <row r="72" spans="1:19" hidden="1" outlineLevel="1">
      <c r="A72" s="192" t="str">
        <f>'רשימת הסעיפים'!D6</f>
        <v>תכולת בית - כללי</v>
      </c>
      <c r="B72" s="193">
        <f>IF(A72&lt;&gt;0,SUMIF('שלב ב - סיווג תנועות'!$H$9:$H$1499,A72,'שלב ב - סיווג תנועות'!$N$9:$N$1499),0)</f>
        <v>0</v>
      </c>
      <c r="C72" s="184"/>
      <c r="D72" s="185"/>
      <c r="E72" s="190"/>
      <c r="F72" s="184"/>
      <c r="G72" s="184"/>
      <c r="H72" s="184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</row>
    <row r="73" spans="1:19" hidden="1" outlineLevel="1">
      <c r="A73" s="192">
        <f>'רשימת הסעיפים'!D7</f>
        <v>0</v>
      </c>
      <c r="B73" s="193">
        <f>IF(A73&lt;&gt;0,SUMIF('שלב ב - סיווג תנועות'!$H$9:$H$1499,A73,'שלב ב - סיווג תנועות'!$N$9:$N$1499),0)</f>
        <v>0</v>
      </c>
      <c r="C73" s="184"/>
      <c r="D73" s="185"/>
      <c r="E73" s="190"/>
      <c r="F73" s="184"/>
      <c r="G73" s="184"/>
      <c r="H73" s="184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</row>
    <row r="74" spans="1:19" hidden="1" outlineLevel="1">
      <c r="A74" s="192">
        <f>'רשימת הסעיפים'!D8</f>
        <v>0</v>
      </c>
      <c r="B74" s="193">
        <f>IF(A74&lt;&gt;0,SUMIF('שלב ב - סיווג תנועות'!$H$9:$H$1499,A74,'שלב ב - סיווג תנועות'!$N$9:$N$1499),0)</f>
        <v>0</v>
      </c>
      <c r="C74" s="184"/>
      <c r="D74" s="185"/>
      <c r="E74" s="190"/>
      <c r="F74" s="184"/>
      <c r="G74" s="184"/>
      <c r="H74" s="184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</row>
    <row r="75" spans="1:19" hidden="1" outlineLevel="1">
      <c r="A75" s="192">
        <f>'רשימת הסעיפים'!D9</f>
        <v>0</v>
      </c>
      <c r="B75" s="193">
        <f>IF(A75&lt;&gt;0,SUMIF('שלב ב - סיווג תנועות'!$H$9:$H$1499,A75,'שלב ב - סיווג תנועות'!$N$9:$N$1499),0)</f>
        <v>0</v>
      </c>
      <c r="C75" s="184"/>
      <c r="D75" s="185"/>
      <c r="E75" s="190"/>
      <c r="F75" s="184"/>
      <c r="G75" s="184"/>
      <c r="H75" s="184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</row>
    <row r="76" spans="1:19" hidden="1" outlineLevel="1">
      <c r="A76" s="192">
        <f>'רשימת הסעיפים'!D10</f>
        <v>0</v>
      </c>
      <c r="B76" s="193">
        <f>IF(A76&lt;&gt;0,SUMIF('שלב ב - סיווג תנועות'!$H$9:$H$1499,A76,'שלב ב - סיווג תנועות'!$N$9:$N$1499),0)</f>
        <v>0</v>
      </c>
      <c r="C76" s="184"/>
      <c r="D76" s="185"/>
      <c r="E76" s="190"/>
      <c r="F76" s="184"/>
      <c r="G76" s="184"/>
      <c r="H76" s="184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</row>
    <row r="77" spans="1:19" hidden="1" outlineLevel="1">
      <c r="A77" s="192">
        <f>'רשימת הסעיפים'!D11</f>
        <v>0</v>
      </c>
      <c r="B77" s="193">
        <f>IF(A77&lt;&gt;0,SUMIF('שלב ב - סיווג תנועות'!$H$9:$H$1499,A77,'שלב ב - סיווג תנועות'!$N$9:$N$1499),0)</f>
        <v>0</v>
      </c>
      <c r="C77" s="184"/>
      <c r="D77" s="185"/>
      <c r="E77" s="190"/>
      <c r="F77" s="184"/>
      <c r="G77" s="184"/>
      <c r="H77" s="184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</row>
    <row r="78" spans="1:19" hidden="1" outlineLevel="1">
      <c r="A78" s="189">
        <f>'רשימת הסעיפים'!D12</f>
        <v>0</v>
      </c>
      <c r="B78" s="193">
        <f>IF(A78&lt;&gt;0,SUMIF('שלב ב - סיווג תנועות'!$H$9:$H$1499,A78,'שלב ב - סיווג תנועות'!$N$9:$N$1499),0)</f>
        <v>0</v>
      </c>
      <c r="C78" s="184"/>
      <c r="D78" s="185"/>
      <c r="E78" s="190"/>
      <c r="F78" s="184"/>
      <c r="G78" s="184"/>
      <c r="H78" s="184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</row>
    <row r="79" spans="1:19" hidden="1" outlineLevel="1">
      <c r="A79" s="189">
        <f>'רשימת הסעיפים'!D13</f>
        <v>0</v>
      </c>
      <c r="B79" s="193">
        <f>IF(A79&lt;&gt;0,SUMIF('שלב ב - סיווג תנועות'!$H$9:$H$1499,A79,'שלב ב - סיווג תנועות'!$N$9:$N$1499),0)</f>
        <v>0</v>
      </c>
      <c r="C79" s="184"/>
      <c r="D79" s="185"/>
      <c r="E79" s="190"/>
      <c r="F79" s="184"/>
      <c r="G79" s="184"/>
      <c r="H79" s="184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</row>
    <row r="80" spans="1:19" hidden="1" outlineLevel="1">
      <c r="A80" s="189">
        <f>'רשימת הסעיפים'!D14</f>
        <v>0</v>
      </c>
      <c r="B80" s="193">
        <f>IF(A80&lt;&gt;0,SUMIF('שלב ב - סיווג תנועות'!$H$9:$H$1499,A80,'שלב ב - סיווג תנועות'!$N$9:$N$1499),0)</f>
        <v>0</v>
      </c>
      <c r="C80" s="184"/>
      <c r="D80" s="185"/>
      <c r="E80" s="190"/>
      <c r="F80" s="184"/>
      <c r="G80" s="184"/>
      <c r="H80" s="184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</row>
    <row r="81" spans="1:19" hidden="1" outlineLevel="1">
      <c r="A81" s="189">
        <f>'רשימת הסעיפים'!D15</f>
        <v>0</v>
      </c>
      <c r="B81" s="193">
        <f>IF(A81&lt;&gt;0,SUMIF('שלב ב - סיווג תנועות'!$H$9:$H$1499,A81,'שלב ב - סיווג תנועות'!$N$9:$N$1499),0)</f>
        <v>0</v>
      </c>
      <c r="C81" s="184"/>
      <c r="D81" s="185"/>
      <c r="E81" s="190"/>
      <c r="F81" s="184"/>
      <c r="G81" s="184"/>
      <c r="H81" s="184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</row>
    <row r="82" spans="1:19" hidden="1" outlineLevel="1">
      <c r="A82" s="189">
        <f>'רשימת הסעיפים'!D16</f>
        <v>0</v>
      </c>
      <c r="B82" s="193">
        <f>IF(A82&lt;&gt;0,SUMIF('שלב ב - סיווג תנועות'!$H$9:$H$1499,A82,'שלב ב - סיווג תנועות'!$N$9:$N$1499),0)</f>
        <v>0</v>
      </c>
      <c r="C82" s="184"/>
      <c r="D82" s="185"/>
      <c r="E82" s="190"/>
      <c r="F82" s="184"/>
      <c r="G82" s="184"/>
      <c r="H82" s="184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</row>
    <row r="83" spans="1:19" hidden="1" outlineLevel="1">
      <c r="A83" s="189">
        <f>'רשימת הסעיפים'!D17</f>
        <v>0</v>
      </c>
      <c r="B83" s="193">
        <f>IF(A83&lt;&gt;0,SUMIF('שלב ב - סיווג תנועות'!$H$9:$H$1499,A83,'שלב ב - סיווג תנועות'!$N$9:$N$1499),0)</f>
        <v>0</v>
      </c>
      <c r="C83" s="184"/>
      <c r="D83" s="185"/>
      <c r="E83" s="190"/>
      <c r="F83" s="184"/>
      <c r="G83" s="184"/>
      <c r="H83" s="184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</row>
    <row r="84" spans="1:19" hidden="1" outlineLevel="1">
      <c r="A84" s="189">
        <f>'רשימת הסעיפים'!D18</f>
        <v>0</v>
      </c>
      <c r="B84" s="193">
        <f>IF(A84&lt;&gt;0,SUMIF('שלב ב - סיווג תנועות'!$H$9:$H$1499,A84,'שלב ב - סיווג תנועות'!$N$9:$N$1499),0)</f>
        <v>0</v>
      </c>
      <c r="C84" s="184"/>
      <c r="D84" s="185"/>
      <c r="E84" s="190"/>
      <c r="F84" s="184"/>
      <c r="G84" s="184"/>
      <c r="H84" s="184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</row>
    <row r="85" spans="1:19" hidden="1" outlineLevel="1">
      <c r="A85" s="189">
        <f>'רשימת הסעיפים'!D19</f>
        <v>0</v>
      </c>
      <c r="B85" s="193">
        <f>IF(A85&lt;&gt;0,SUMIF('שלב ב - סיווג תנועות'!$H$9:$H$1499,A85,'שלב ב - סיווג תנועות'!$N$9:$N$1499),0)</f>
        <v>0</v>
      </c>
      <c r="C85" s="184"/>
      <c r="D85" s="185"/>
      <c r="E85" s="190"/>
      <c r="F85" s="184"/>
      <c r="G85" s="184"/>
      <c r="H85" s="184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</row>
    <row r="86" spans="1:19" hidden="1" outlineLevel="1">
      <c r="A86" s="189">
        <f>'רשימת הסעיפים'!D20</f>
        <v>0</v>
      </c>
      <c r="B86" s="193">
        <f>IF(A86&lt;&gt;0,SUMIF('שלב ב - סיווג תנועות'!$H$9:$H$1499,A86,'שלב ב - סיווג תנועות'!$N$9:$N$1499),0)</f>
        <v>0</v>
      </c>
      <c r="C86" s="184"/>
      <c r="D86" s="185"/>
      <c r="E86" s="190"/>
      <c r="F86" s="184"/>
      <c r="G86" s="184"/>
      <c r="H86" s="184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</row>
    <row r="87" spans="1:19" hidden="1" outlineLevel="1">
      <c r="A87" s="189">
        <f>'רשימת הסעיפים'!D21</f>
        <v>0</v>
      </c>
      <c r="B87" s="193">
        <f>IF(A87&lt;&gt;0,SUMIF('שלב ב - סיווג תנועות'!$H$9:$H$1499,A87,'שלב ב - סיווג תנועות'!$N$9:$N$1499),0)</f>
        <v>0</v>
      </c>
      <c r="C87" s="184"/>
      <c r="D87" s="185"/>
      <c r="E87" s="190"/>
      <c r="F87" s="184"/>
      <c r="G87" s="184"/>
      <c r="H87" s="184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</row>
    <row r="88" spans="1:19" collapsed="1">
      <c r="A88" s="186" t="str">
        <f>'רשימת הסעיפים'!E1</f>
        <v>אחזקת בית</v>
      </c>
      <c r="B88" s="187">
        <f>SUM(B89:B108)</f>
        <v>0</v>
      </c>
      <c r="C88" s="184"/>
      <c r="D88" s="185"/>
      <c r="E88" s="190"/>
      <c r="F88" s="184"/>
      <c r="G88" s="184"/>
      <c r="H88" s="184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</row>
    <row r="89" spans="1:19" hidden="1" outlineLevel="1">
      <c r="A89" s="192" t="str">
        <f>'רשימת הסעיפים'!E2</f>
        <v>חשמל</v>
      </c>
      <c r="B89" s="193">
        <f>IF(A89&lt;&gt;0,SUMIF('שלב ב - סיווג תנועות'!$H$9:$H$1499,A89,'שלב ב - סיווג תנועות'!$N$9:$N$1499),0)</f>
        <v>0</v>
      </c>
      <c r="C89" s="184"/>
      <c r="D89" s="185"/>
      <c r="E89" s="190"/>
      <c r="F89" s="184"/>
      <c r="G89" s="184"/>
      <c r="H89" s="184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</row>
    <row r="90" spans="1:19" hidden="1" outlineLevel="1">
      <c r="A90" s="192" t="str">
        <f>'רשימת הסעיפים'!E3</f>
        <v>מים וביוב</v>
      </c>
      <c r="B90" s="193">
        <f>IF(A90&lt;&gt;0,SUMIF('שלב ב - סיווג תנועות'!$H$9:$H$1499,A90,'שלב ב - סיווג תנועות'!$N$9:$N$1499),0)</f>
        <v>0</v>
      </c>
      <c r="C90" s="184"/>
      <c r="D90" s="185"/>
      <c r="E90" s="190"/>
      <c r="F90" s="184"/>
      <c r="G90" s="184"/>
      <c r="H90" s="184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</row>
    <row r="91" spans="1:19" hidden="1" outlineLevel="1">
      <c r="A91" s="192" t="str">
        <f>'רשימת הסעיפים'!E4</f>
        <v>גז</v>
      </c>
      <c r="B91" s="193">
        <f>IF(A91&lt;&gt;0,SUMIF('שלב ב - סיווג תנועות'!$H$9:$H$1499,A91,'שלב ב - סיווג תנועות'!$N$9:$N$1499),0)</f>
        <v>0</v>
      </c>
      <c r="C91" s="184"/>
      <c r="D91" s="185"/>
      <c r="E91" s="190"/>
      <c r="F91" s="184"/>
      <c r="G91" s="184"/>
      <c r="H91" s="184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</row>
    <row r="92" spans="1:19" hidden="1" outlineLevel="1">
      <c r="A92" s="192" t="str">
        <f>'רשימת הסעיפים'!E5</f>
        <v>ניקיון</v>
      </c>
      <c r="B92" s="193">
        <f>IF(A92&lt;&gt;0,SUMIF('שלב ב - סיווג תנועות'!$H$9:$H$1499,A92,'שלב ב - סיווג תנועות'!$N$9:$N$1499),0)</f>
        <v>0</v>
      </c>
      <c r="C92" s="184"/>
      <c r="D92" s="185"/>
      <c r="E92" s="190"/>
      <c r="F92" s="184"/>
      <c r="G92" s="184"/>
      <c r="H92" s="184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</row>
    <row r="93" spans="1:19" hidden="1" outlineLevel="1">
      <c r="A93" s="192" t="str">
        <f>'רשימת הסעיפים'!E6</f>
        <v>תיקונים בבית / במכשירים</v>
      </c>
      <c r="B93" s="193">
        <f>IF(A93&lt;&gt;0,SUMIF('שלב ב - סיווג תנועות'!$H$9:$H$1499,A93,'שלב ב - סיווג תנועות'!$N$9:$N$1499),0)</f>
        <v>0</v>
      </c>
      <c r="C93" s="184"/>
      <c r="D93" s="185"/>
      <c r="E93" s="190"/>
      <c r="F93" s="184"/>
      <c r="G93" s="184"/>
      <c r="H93" s="184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</row>
    <row r="94" spans="1:19" hidden="1" outlineLevel="1">
      <c r="A94" s="189" t="str">
        <f>'רשימת הסעיפים'!E7</f>
        <v>גינה</v>
      </c>
      <c r="B94" s="193">
        <f>IF(A94&lt;&gt;0,SUMIF('שלב ב - סיווג תנועות'!$H$9:$H$1499,A94,'שלב ב - סיווג תנועות'!$N$9:$N$1499),0)</f>
        <v>0</v>
      </c>
      <c r="C94" s="184"/>
      <c r="D94" s="185"/>
      <c r="E94" s="190"/>
      <c r="F94" s="184"/>
      <c r="G94" s="184"/>
      <c r="H94" s="184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</row>
    <row r="95" spans="1:19" hidden="1" outlineLevel="1">
      <c r="A95" s="189" t="str">
        <f>'רשימת הסעיפים'!E8</f>
        <v>אחזקת בית - כללי</v>
      </c>
      <c r="B95" s="193">
        <f>IF(A95&lt;&gt;0,SUMIF('שלב ב - סיווג תנועות'!$H$9:$H$1499,A95,'שלב ב - סיווג תנועות'!$N$9:$N$1499),0)</f>
        <v>0</v>
      </c>
      <c r="C95" s="184"/>
      <c r="D95" s="185"/>
      <c r="E95" s="190"/>
      <c r="F95" s="184"/>
      <c r="G95" s="184"/>
      <c r="H95" s="184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</row>
    <row r="96" spans="1:19" hidden="1" outlineLevel="1">
      <c r="A96" s="189">
        <f>'רשימת הסעיפים'!E9</f>
        <v>0</v>
      </c>
      <c r="B96" s="193">
        <f>IF(A96&lt;&gt;0,SUMIF('שלב ב - סיווג תנועות'!$H$9:$H$1499,A96,'שלב ב - סיווג תנועות'!$N$9:$N$1499),0)</f>
        <v>0</v>
      </c>
      <c r="C96" s="184"/>
      <c r="D96" s="185"/>
      <c r="E96" s="190"/>
      <c r="F96" s="184"/>
      <c r="G96" s="184"/>
      <c r="H96" s="184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</row>
    <row r="97" spans="1:19" hidden="1" outlineLevel="1">
      <c r="A97" s="189">
        <f>'רשימת הסעיפים'!E10</f>
        <v>0</v>
      </c>
      <c r="B97" s="193">
        <f>IF(A97&lt;&gt;0,SUMIF('שלב ב - סיווג תנועות'!$H$9:$H$1499,A97,'שלב ב - סיווג תנועות'!$N$9:$N$1499),0)</f>
        <v>0</v>
      </c>
      <c r="C97" s="184"/>
      <c r="D97" s="185"/>
      <c r="E97" s="190"/>
      <c r="F97" s="184"/>
      <c r="G97" s="184"/>
      <c r="H97" s="184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</row>
    <row r="98" spans="1:19" hidden="1" outlineLevel="1">
      <c r="A98" s="189">
        <f>'רשימת הסעיפים'!E11</f>
        <v>0</v>
      </c>
      <c r="B98" s="193">
        <f>IF(A98&lt;&gt;0,SUMIF('שלב ב - סיווג תנועות'!$H$9:$H$1499,A98,'שלב ב - סיווג תנועות'!$N$9:$N$1499),0)</f>
        <v>0</v>
      </c>
      <c r="C98" s="184"/>
      <c r="D98" s="185"/>
      <c r="E98" s="190"/>
      <c r="F98" s="184"/>
      <c r="G98" s="184"/>
      <c r="H98" s="184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</row>
    <row r="99" spans="1:19" hidden="1" outlineLevel="1">
      <c r="A99" s="189">
        <f>'רשימת הסעיפים'!E12</f>
        <v>0</v>
      </c>
      <c r="B99" s="193">
        <f>IF(A99&lt;&gt;0,SUMIF('שלב ב - סיווג תנועות'!$H$9:$H$1499,A99,'שלב ב - סיווג תנועות'!$N$9:$N$1499),0)</f>
        <v>0</v>
      </c>
      <c r="C99" s="184"/>
      <c r="D99" s="185"/>
      <c r="E99" s="190"/>
      <c r="F99" s="184"/>
      <c r="G99" s="184"/>
      <c r="H99" s="184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</row>
    <row r="100" spans="1:19" hidden="1" outlineLevel="1">
      <c r="A100" s="189">
        <f>'רשימת הסעיפים'!E13</f>
        <v>0</v>
      </c>
      <c r="B100" s="193">
        <f>IF(A100&lt;&gt;0,SUMIF('שלב ב - סיווג תנועות'!$H$9:$H$1499,A100,'שלב ב - סיווג תנועות'!$N$9:$N$1499),0)</f>
        <v>0</v>
      </c>
      <c r="C100" s="184"/>
      <c r="D100" s="185"/>
      <c r="E100" s="190"/>
      <c r="F100" s="184"/>
      <c r="G100" s="184"/>
      <c r="H100" s="184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</row>
    <row r="101" spans="1:19" hidden="1" outlineLevel="1">
      <c r="A101" s="189">
        <f>'רשימת הסעיפים'!E14</f>
        <v>0</v>
      </c>
      <c r="B101" s="193">
        <f>IF(A101&lt;&gt;0,SUMIF('שלב ב - סיווג תנועות'!$H$9:$H$1499,A101,'שלב ב - סיווג תנועות'!$N$9:$N$1499),0)</f>
        <v>0</v>
      </c>
      <c r="C101" s="184"/>
      <c r="D101" s="185"/>
      <c r="E101" s="190"/>
      <c r="F101" s="184"/>
      <c r="G101" s="184"/>
      <c r="H101" s="184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</row>
    <row r="102" spans="1:19" hidden="1" outlineLevel="1">
      <c r="A102" s="189">
        <f>'רשימת הסעיפים'!E15</f>
        <v>0</v>
      </c>
      <c r="B102" s="193">
        <f>IF(A102&lt;&gt;0,SUMIF('שלב ב - סיווג תנועות'!$H$9:$H$1499,A102,'שלב ב - סיווג תנועות'!$N$9:$N$1499),0)</f>
        <v>0</v>
      </c>
      <c r="C102" s="184"/>
      <c r="D102" s="185"/>
      <c r="E102" s="190"/>
      <c r="F102" s="184"/>
      <c r="G102" s="184"/>
      <c r="H102" s="184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</row>
    <row r="103" spans="1:19" hidden="1" outlineLevel="1">
      <c r="A103" s="189">
        <f>'רשימת הסעיפים'!E16</f>
        <v>0</v>
      </c>
      <c r="B103" s="193">
        <f>IF(A103&lt;&gt;0,SUMIF('שלב ב - סיווג תנועות'!$H$9:$H$1499,A103,'שלב ב - סיווג תנועות'!$N$9:$N$1499),0)</f>
        <v>0</v>
      </c>
      <c r="C103" s="184"/>
      <c r="D103" s="185"/>
      <c r="E103" s="190"/>
      <c r="F103" s="184"/>
      <c r="G103" s="184"/>
      <c r="H103" s="184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</row>
    <row r="104" spans="1:19" hidden="1" outlineLevel="1">
      <c r="A104" s="189">
        <f>'רשימת הסעיפים'!E17</f>
        <v>0</v>
      </c>
      <c r="B104" s="193">
        <f>IF(A104&lt;&gt;0,SUMIF('שלב ב - סיווג תנועות'!$H$9:$H$1499,A104,'שלב ב - סיווג תנועות'!$N$9:$N$1499),0)</f>
        <v>0</v>
      </c>
      <c r="C104" s="184"/>
      <c r="D104" s="185"/>
      <c r="E104" s="190"/>
      <c r="F104" s="184"/>
      <c r="G104" s="184"/>
      <c r="H104" s="184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</row>
    <row r="105" spans="1:19" hidden="1" outlineLevel="1">
      <c r="A105" s="189">
        <f>'רשימת הסעיפים'!E18</f>
        <v>0</v>
      </c>
      <c r="B105" s="193">
        <f>IF(A105&lt;&gt;0,SUMIF('שלב ב - סיווג תנועות'!$H$9:$H$1499,A105,'שלב ב - סיווג תנועות'!$N$9:$N$1499),0)</f>
        <v>0</v>
      </c>
      <c r="C105" s="184"/>
      <c r="D105" s="185"/>
      <c r="E105" s="190"/>
      <c r="F105" s="184"/>
      <c r="G105" s="184"/>
      <c r="H105" s="184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</row>
    <row r="106" spans="1:19" hidden="1" outlineLevel="1">
      <c r="A106" s="189">
        <f>'רשימת הסעיפים'!E19</f>
        <v>0</v>
      </c>
      <c r="B106" s="193">
        <f>IF(A106&lt;&gt;0,SUMIF('שלב ב - סיווג תנועות'!$H$9:$H$1499,A106,'שלב ב - סיווג תנועות'!$N$9:$N$1499),0)</f>
        <v>0</v>
      </c>
      <c r="C106" s="184"/>
      <c r="D106" s="185"/>
      <c r="E106" s="190"/>
      <c r="F106" s="184"/>
      <c r="G106" s="184"/>
      <c r="H106" s="184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</row>
    <row r="107" spans="1:19" hidden="1" outlineLevel="1">
      <c r="A107" s="189">
        <f>'רשימת הסעיפים'!E20</f>
        <v>0</v>
      </c>
      <c r="B107" s="193">
        <f>IF(A107&lt;&gt;0,SUMIF('שלב ב - סיווג תנועות'!$H$9:$H$1499,A107,'שלב ב - סיווג תנועות'!$N$9:$N$1499),0)</f>
        <v>0</v>
      </c>
      <c r="C107" s="184"/>
      <c r="D107" s="185"/>
      <c r="E107" s="190"/>
      <c r="F107" s="184"/>
      <c r="G107" s="184"/>
      <c r="H107" s="184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</row>
    <row r="108" spans="1:19" hidden="1" outlineLevel="1">
      <c r="A108" s="189">
        <f>'רשימת הסעיפים'!E21</f>
        <v>0</v>
      </c>
      <c r="B108" s="193">
        <f>IF(A108&lt;&gt;0,SUMIF('שלב ב - סיווג תנועות'!$H$9:$H$1499,A108,'שלב ב - סיווג תנועות'!$N$9:$N$1499),0)</f>
        <v>0</v>
      </c>
      <c r="C108" s="184"/>
      <c r="D108" s="185"/>
      <c r="E108" s="190"/>
      <c r="F108" s="184"/>
      <c r="G108" s="184"/>
      <c r="H108" s="184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</row>
    <row r="109" spans="1:19" collapsed="1">
      <c r="A109" s="186" t="str">
        <f>'רשימת הסעיפים'!F1</f>
        <v>טיפוח</v>
      </c>
      <c r="B109" s="187">
        <f>SUM(B110:B129)</f>
        <v>0</v>
      </c>
      <c r="C109" s="184"/>
      <c r="D109" s="185"/>
      <c r="E109" s="190"/>
      <c r="F109" s="184"/>
      <c r="G109" s="184"/>
      <c r="H109" s="184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</row>
    <row r="110" spans="1:19" hidden="1" outlineLevel="1">
      <c r="A110" s="192" t="str">
        <f>'רשימת הסעיפים'!F2</f>
        <v>מספרה</v>
      </c>
      <c r="B110" s="193">
        <f>IF(A110&lt;&gt;0,SUMIF('שלב ב - סיווג תנועות'!$H$9:$H$1499,A110,'שלב ב - סיווג תנועות'!$N$9:$N$1499),0)</f>
        <v>0</v>
      </c>
      <c r="C110" s="184"/>
      <c r="D110" s="185"/>
      <c r="E110" s="190"/>
      <c r="F110" s="184"/>
      <c r="G110" s="184"/>
      <c r="H110" s="184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</row>
    <row r="111" spans="1:19" hidden="1" outlineLevel="1">
      <c r="A111" s="192" t="str">
        <f>'רשימת הסעיפים'!F3</f>
        <v>קוסמטיקה</v>
      </c>
      <c r="B111" s="193">
        <f>IF(A111&lt;&gt;0,SUMIF('שלב ב - סיווג תנועות'!$H$9:$H$1499,A111,'שלב ב - סיווג תנועות'!$N$9:$N$1499),0)</f>
        <v>0</v>
      </c>
      <c r="C111" s="184"/>
      <c r="D111" s="185"/>
      <c r="E111" s="190"/>
      <c r="F111" s="184"/>
      <c r="G111" s="184"/>
      <c r="H111" s="184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</row>
    <row r="112" spans="1:19" hidden="1" outlineLevel="1">
      <c r="A112" s="192" t="str">
        <f>'רשימת הסעיפים'!F4</f>
        <v>טיפוח - כללי</v>
      </c>
      <c r="B112" s="193">
        <f>IF(A112&lt;&gt;0,SUMIF('שלב ב - סיווג תנועות'!$H$9:$H$1499,A112,'שלב ב - סיווג תנועות'!$N$9:$N$1499),0)</f>
        <v>0</v>
      </c>
      <c r="C112" s="184"/>
      <c r="D112" s="185"/>
      <c r="E112" s="190"/>
      <c r="F112" s="184"/>
      <c r="G112" s="184"/>
      <c r="H112" s="184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</row>
    <row r="113" spans="1:19" hidden="1" outlineLevel="1">
      <c r="A113" s="192">
        <f>'רשימת הסעיפים'!F5</f>
        <v>0</v>
      </c>
      <c r="B113" s="193">
        <f>IF(A113&lt;&gt;0,SUMIF('שלב ב - סיווג תנועות'!$H$9:$H$1499,A113,'שלב ב - סיווג תנועות'!$N$9:$N$1499),0)</f>
        <v>0</v>
      </c>
      <c r="C113" s="184"/>
      <c r="D113" s="185"/>
      <c r="E113" s="190"/>
      <c r="F113" s="184"/>
      <c r="G113" s="184"/>
      <c r="H113" s="184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</row>
    <row r="114" spans="1:19" hidden="1" outlineLevel="1">
      <c r="A114" s="192">
        <f>'רשימת הסעיפים'!F6</f>
        <v>0</v>
      </c>
      <c r="B114" s="193">
        <f>IF(A114&lt;&gt;0,SUMIF('שלב ב - סיווג תנועות'!$H$9:$H$1499,A114,'שלב ב - סיווג תנועות'!$N$9:$N$1499),0)</f>
        <v>0</v>
      </c>
      <c r="C114" s="184"/>
      <c r="D114" s="185"/>
      <c r="E114" s="190"/>
      <c r="F114" s="184"/>
      <c r="G114" s="184"/>
      <c r="H114" s="184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</row>
    <row r="115" spans="1:19" hidden="1" outlineLevel="1">
      <c r="A115" s="192">
        <f>'רשימת הסעיפים'!F7</f>
        <v>0</v>
      </c>
      <c r="B115" s="193">
        <f>IF(A115&lt;&gt;0,SUMIF('שלב ב - סיווג תנועות'!$H$9:$H$1499,A115,'שלב ב - סיווג תנועות'!$N$9:$N$1499),0)</f>
        <v>0</v>
      </c>
      <c r="C115" s="184"/>
      <c r="D115" s="185"/>
      <c r="E115" s="190"/>
      <c r="F115" s="184"/>
      <c r="G115" s="184"/>
      <c r="H115" s="184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</row>
    <row r="116" spans="1:19" hidden="1" outlineLevel="1">
      <c r="A116" s="192">
        <f>'רשימת הסעיפים'!F8</f>
        <v>0</v>
      </c>
      <c r="B116" s="193">
        <f>IF(A116&lt;&gt;0,SUMIF('שלב ב - סיווג תנועות'!$H$9:$H$1499,A116,'שלב ב - סיווג תנועות'!$N$9:$N$1499),0)</f>
        <v>0</v>
      </c>
      <c r="C116" s="184"/>
      <c r="D116" s="185"/>
      <c r="E116" s="190"/>
      <c r="F116" s="184"/>
      <c r="G116" s="184"/>
      <c r="H116" s="184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</row>
    <row r="117" spans="1:19" hidden="1" outlineLevel="1">
      <c r="A117" s="189">
        <f>'רשימת הסעיפים'!F9</f>
        <v>0</v>
      </c>
      <c r="B117" s="193">
        <f>IF(A117&lt;&gt;0,SUMIF('שלב ב - סיווג תנועות'!$H$9:$H$1499,A117,'שלב ב - סיווג תנועות'!$N$9:$N$1499),0)</f>
        <v>0</v>
      </c>
      <c r="C117" s="184"/>
      <c r="D117" s="185"/>
      <c r="E117" s="190"/>
      <c r="F117" s="184"/>
      <c r="G117" s="184"/>
      <c r="H117" s="184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</row>
    <row r="118" spans="1:19" hidden="1" outlineLevel="1">
      <c r="A118" s="189">
        <f>'רשימת הסעיפים'!F10</f>
        <v>0</v>
      </c>
      <c r="B118" s="193">
        <f>IF(A118&lt;&gt;0,SUMIF('שלב ב - סיווג תנועות'!$H$9:$H$1499,A118,'שלב ב - סיווג תנועות'!$N$9:$N$1499),0)</f>
        <v>0</v>
      </c>
      <c r="C118" s="184"/>
      <c r="D118" s="185"/>
      <c r="E118" s="190"/>
      <c r="F118" s="184"/>
      <c r="G118" s="184"/>
      <c r="H118" s="184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</row>
    <row r="119" spans="1:19" hidden="1" outlineLevel="1">
      <c r="A119" s="189">
        <f>'רשימת הסעיפים'!F11</f>
        <v>0</v>
      </c>
      <c r="B119" s="193">
        <f>IF(A119&lt;&gt;0,SUMIF('שלב ב - סיווג תנועות'!$H$9:$H$1499,A119,'שלב ב - סיווג תנועות'!$N$9:$N$1499),0)</f>
        <v>0</v>
      </c>
      <c r="C119" s="184"/>
      <c r="D119" s="185"/>
      <c r="E119" s="190"/>
      <c r="F119" s="184"/>
      <c r="G119" s="184"/>
      <c r="H119" s="184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</row>
    <row r="120" spans="1:19" hidden="1" outlineLevel="1">
      <c r="A120" s="189">
        <f>'רשימת הסעיפים'!F12</f>
        <v>0</v>
      </c>
      <c r="B120" s="193">
        <f>IF(A120&lt;&gt;0,SUMIF('שלב ב - סיווג תנועות'!$H$9:$H$1499,A120,'שלב ב - סיווג תנועות'!$N$9:$N$1499),0)</f>
        <v>0</v>
      </c>
      <c r="C120" s="184"/>
      <c r="D120" s="185"/>
      <c r="E120" s="190"/>
      <c r="F120" s="184"/>
      <c r="G120" s="184"/>
      <c r="H120" s="184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</row>
    <row r="121" spans="1:19" hidden="1" outlineLevel="1">
      <c r="A121" s="189">
        <f>'רשימת הסעיפים'!F13</f>
        <v>0</v>
      </c>
      <c r="B121" s="193">
        <f>IF(A121&lt;&gt;0,SUMIF('שלב ב - סיווג תנועות'!$H$9:$H$1499,A121,'שלב ב - סיווג תנועות'!$N$9:$N$1499),0)</f>
        <v>0</v>
      </c>
      <c r="C121" s="184"/>
      <c r="D121" s="185"/>
      <c r="E121" s="190"/>
      <c r="F121" s="184"/>
      <c r="G121" s="184"/>
      <c r="H121" s="184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</row>
    <row r="122" spans="1:19" hidden="1" outlineLevel="1">
      <c r="A122" s="189">
        <f>'רשימת הסעיפים'!F14</f>
        <v>0</v>
      </c>
      <c r="B122" s="193">
        <f>IF(A122&lt;&gt;0,SUMIF('שלב ב - סיווג תנועות'!$H$9:$H$1499,A122,'שלב ב - סיווג תנועות'!$N$9:$N$1499),0)</f>
        <v>0</v>
      </c>
      <c r="C122" s="184"/>
      <c r="D122" s="185"/>
      <c r="E122" s="190"/>
      <c r="F122" s="184"/>
      <c r="G122" s="184"/>
      <c r="H122" s="184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</row>
    <row r="123" spans="1:19" hidden="1" outlineLevel="1">
      <c r="A123" s="189">
        <f>'רשימת הסעיפים'!F15</f>
        <v>0</v>
      </c>
      <c r="B123" s="193">
        <f>IF(A123&lt;&gt;0,SUMIF('שלב ב - סיווג תנועות'!$H$9:$H$1499,A123,'שלב ב - סיווג תנועות'!$N$9:$N$1499),0)</f>
        <v>0</v>
      </c>
      <c r="C123" s="184"/>
      <c r="D123" s="185"/>
      <c r="E123" s="190"/>
      <c r="F123" s="184"/>
      <c r="G123" s="184"/>
      <c r="H123" s="184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</row>
    <row r="124" spans="1:19" hidden="1" outlineLevel="1">
      <c r="A124" s="189">
        <f>'רשימת הסעיפים'!F16</f>
        <v>0</v>
      </c>
      <c r="B124" s="193">
        <f>IF(A124&lt;&gt;0,SUMIF('שלב ב - סיווג תנועות'!$H$9:$H$1499,A124,'שלב ב - סיווג תנועות'!$N$9:$N$1499),0)</f>
        <v>0</v>
      </c>
      <c r="C124" s="184"/>
      <c r="D124" s="185"/>
      <c r="E124" s="190"/>
      <c r="F124" s="184"/>
      <c r="G124" s="184"/>
      <c r="H124" s="184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</row>
    <row r="125" spans="1:19" hidden="1" outlineLevel="1">
      <c r="A125" s="189">
        <f>'רשימת הסעיפים'!F17</f>
        <v>0</v>
      </c>
      <c r="B125" s="193">
        <f>IF(A125&lt;&gt;0,SUMIF('שלב ב - סיווג תנועות'!$H$9:$H$1499,A125,'שלב ב - סיווג תנועות'!$N$9:$N$1499),0)</f>
        <v>0</v>
      </c>
      <c r="C125" s="184"/>
      <c r="D125" s="185"/>
      <c r="E125" s="190"/>
      <c r="F125" s="184"/>
      <c r="G125" s="184"/>
      <c r="H125" s="184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</row>
    <row r="126" spans="1:19" hidden="1" outlineLevel="1">
      <c r="A126" s="189">
        <f>'רשימת הסעיפים'!F18</f>
        <v>0</v>
      </c>
      <c r="B126" s="193">
        <f>IF(A126&lt;&gt;0,SUMIF('שלב ב - סיווג תנועות'!$H$9:$H$1499,A126,'שלב ב - סיווג תנועות'!$N$9:$N$1499),0)</f>
        <v>0</v>
      </c>
      <c r="C126" s="184"/>
      <c r="D126" s="185"/>
      <c r="E126" s="190"/>
      <c r="F126" s="184"/>
      <c r="G126" s="184"/>
      <c r="H126" s="184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</row>
    <row r="127" spans="1:19" hidden="1" outlineLevel="1">
      <c r="A127" s="189">
        <f>'רשימת הסעיפים'!F19</f>
        <v>0</v>
      </c>
      <c r="B127" s="193">
        <f>IF(A127&lt;&gt;0,SUMIF('שלב ב - סיווג תנועות'!$H$9:$H$1499,A127,'שלב ב - סיווג תנועות'!$N$9:$N$1499),0)</f>
        <v>0</v>
      </c>
      <c r="C127" s="184"/>
      <c r="D127" s="185"/>
      <c r="E127" s="190"/>
      <c r="F127" s="184"/>
      <c r="G127" s="184"/>
      <c r="H127" s="184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</row>
    <row r="128" spans="1:19" hidden="1" outlineLevel="1">
      <c r="A128" s="189">
        <f>'רשימת הסעיפים'!F20</f>
        <v>0</v>
      </c>
      <c r="B128" s="193">
        <f>IF(A128&lt;&gt;0,SUMIF('שלב ב - סיווג תנועות'!$H$9:$H$1499,A128,'שלב ב - סיווג תנועות'!$N$9:$N$1499),0)</f>
        <v>0</v>
      </c>
      <c r="C128" s="184"/>
      <c r="D128" s="185"/>
      <c r="E128" s="190"/>
      <c r="F128" s="184"/>
      <c r="G128" s="184"/>
      <c r="H128" s="184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</row>
    <row r="129" spans="1:19" hidden="1" outlineLevel="1">
      <c r="A129" s="189">
        <f>'רשימת הסעיפים'!F21</f>
        <v>0</v>
      </c>
      <c r="B129" s="193">
        <f>IF(A129&lt;&gt;0,SUMIF('שלב ב - סיווג תנועות'!$H$9:$H$1499,A129,'שלב ב - סיווג תנועות'!$N$9:$N$1499),0)</f>
        <v>0</v>
      </c>
      <c r="C129" s="184"/>
      <c r="D129" s="185"/>
      <c r="E129" s="190"/>
      <c r="F129" s="184"/>
      <c r="G129" s="184"/>
      <c r="H129" s="184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</row>
    <row r="130" spans="1:19" collapsed="1">
      <c r="A130" s="186" t="str">
        <f>'רשימת הסעיפים'!G1</f>
        <v>חינוך</v>
      </c>
      <c r="B130" s="187">
        <f>SUM(B131:B150)</f>
        <v>0</v>
      </c>
      <c r="C130" s="184"/>
      <c r="D130" s="185"/>
      <c r="E130" s="190"/>
      <c r="F130" s="184"/>
      <c r="G130" s="184"/>
      <c r="H130" s="184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</row>
    <row r="131" spans="1:19" hidden="1" outlineLevel="1">
      <c r="A131" s="189" t="str">
        <f>'רשימת הסעיפים'!G2</f>
        <v>בית ספר</v>
      </c>
      <c r="B131" s="193">
        <f>IF(A131&lt;&gt;0,SUMIF('שלב ב - סיווג תנועות'!$H$9:$H$1499,A131,'שלב ב - סיווג תנועות'!$N$9:$N$1499),0)</f>
        <v>0</v>
      </c>
      <c r="C131" s="184"/>
      <c r="D131" s="185"/>
      <c r="E131" s="190"/>
      <c r="F131" s="184"/>
      <c r="G131" s="184"/>
      <c r="H131" s="184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</row>
    <row r="132" spans="1:19" hidden="1" outlineLevel="1">
      <c r="A132" s="189" t="str">
        <f>'רשימת הסעיפים'!G3</f>
        <v>מסגרות צהריים</v>
      </c>
      <c r="B132" s="193">
        <f>IF(A132&lt;&gt;0,SUMIF('שלב ב - סיווג תנועות'!$H$9:$H$1499,A132,'שלב ב - סיווג תנועות'!$N$9:$N$1499),0)</f>
        <v>0</v>
      </c>
      <c r="C132" s="184"/>
      <c r="D132" s="185"/>
      <c r="E132" s="190"/>
      <c r="F132" s="184"/>
      <c r="G132" s="184"/>
      <c r="H132" s="184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</row>
    <row r="133" spans="1:19" hidden="1" outlineLevel="1">
      <c r="A133" s="189" t="str">
        <f>'רשימת הסעיפים'!G4</f>
        <v>מסגרות יום</v>
      </c>
      <c r="B133" s="193">
        <f>IF(A133&lt;&gt;0,SUMIF('שלב ב - סיווג תנועות'!$H$9:$H$1499,A133,'שלב ב - סיווג תנועות'!$N$9:$N$1499),0)</f>
        <v>0</v>
      </c>
      <c r="C133" s="184"/>
      <c r="D133" s="185"/>
      <c r="E133" s="190"/>
      <c r="F133" s="184"/>
      <c r="G133" s="184"/>
      <c r="H133" s="184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</row>
    <row r="134" spans="1:19" hidden="1" outlineLevel="1">
      <c r="A134" s="189" t="str">
        <f>'רשימת הסעיפים'!G5</f>
        <v>צהרון / מטפלת</v>
      </c>
      <c r="B134" s="193">
        <f>IF(A134&lt;&gt;0,SUMIF('שלב ב - סיווג תנועות'!$H$9:$H$1499,A134,'שלב ב - סיווג תנועות'!$N$9:$N$1499),0)</f>
        <v>0</v>
      </c>
      <c r="C134" s="184"/>
      <c r="D134" s="185"/>
      <c r="E134" s="190"/>
      <c r="F134" s="184"/>
      <c r="G134" s="184"/>
      <c r="H134" s="184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</row>
    <row r="135" spans="1:19" hidden="1" outlineLevel="1">
      <c r="A135" s="189" t="str">
        <f>'רשימת הסעיפים'!G6</f>
        <v>הסעות</v>
      </c>
      <c r="B135" s="193">
        <f>IF(A135&lt;&gt;0,SUMIF('שלב ב - סיווג תנועות'!$H$9:$H$1499,A135,'שלב ב - סיווג תנועות'!$N$9:$N$1499),0)</f>
        <v>0</v>
      </c>
      <c r="C135" s="184"/>
      <c r="D135" s="185"/>
      <c r="E135" s="190"/>
      <c r="F135" s="184"/>
      <c r="G135" s="184"/>
      <c r="H135" s="184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</row>
    <row r="136" spans="1:19" hidden="1" outlineLevel="1">
      <c r="A136" s="189" t="str">
        <f>'רשימת הסעיפים'!G7</f>
        <v>שיעור פרטי</v>
      </c>
      <c r="B136" s="193">
        <f>IF(A136&lt;&gt;0,SUMIF('שלב ב - סיווג תנועות'!$H$9:$H$1499,A136,'שלב ב - סיווג תנועות'!$N$9:$N$1499),0)</f>
        <v>0</v>
      </c>
      <c r="C136" s="184"/>
      <c r="D136" s="185"/>
      <c r="E136" s="190"/>
      <c r="F136" s="184"/>
      <c r="G136" s="184"/>
      <c r="H136" s="184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</row>
    <row r="137" spans="1:19" hidden="1" outlineLevel="1">
      <c r="A137" s="189" t="str">
        <f>'רשימת הסעיפים'!G8</f>
        <v>מסגרות קיץ</v>
      </c>
      <c r="B137" s="193">
        <f>IF(A137&lt;&gt;0,SUMIF('שלב ב - סיווג תנועות'!$H$9:$H$1499,A137,'שלב ב - סיווג תנועות'!$N$9:$N$1499),0)</f>
        <v>0</v>
      </c>
      <c r="C137" s="184"/>
      <c r="D137" s="185"/>
      <c r="E137" s="190"/>
      <c r="F137" s="184"/>
      <c r="G137" s="184"/>
      <c r="H137" s="184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</row>
    <row r="138" spans="1:19" hidden="1" outlineLevel="1">
      <c r="A138" s="189" t="str">
        <f>'רשימת הסעיפים'!G9</f>
        <v>חוגים ותנועת נוער</v>
      </c>
      <c r="B138" s="193">
        <f>IF(A138&lt;&gt;0,SUMIF('שלב ב - סיווג תנועות'!$H$9:$H$1499,A138,'שלב ב - סיווג תנועות'!$N$9:$N$1499),0)</f>
        <v>0</v>
      </c>
      <c r="C138" s="184"/>
      <c r="D138" s="185"/>
      <c r="E138" s="190"/>
      <c r="F138" s="184"/>
      <c r="G138" s="184"/>
      <c r="H138" s="184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</row>
    <row r="139" spans="1:19" hidden="1" outlineLevel="1">
      <c r="A139" s="189" t="str">
        <f>'רשימת הסעיפים'!G10</f>
        <v>לימודים והשתלמות לבוגרים</v>
      </c>
      <c r="B139" s="193">
        <f>IF(A139&lt;&gt;0,SUMIF('שלב ב - סיווג תנועות'!$H$9:$H$1499,A139,'שלב ב - סיווג תנועות'!$N$9:$N$1499),0)</f>
        <v>0</v>
      </c>
      <c r="C139" s="184"/>
      <c r="D139" s="185"/>
      <c r="E139" s="190"/>
      <c r="F139" s="184"/>
      <c r="G139" s="184"/>
      <c r="H139" s="184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</row>
    <row r="140" spans="1:19" hidden="1" outlineLevel="1">
      <c r="A140" s="189" t="str">
        <f>'רשימת הסעיפים'!G11</f>
        <v>חינוך - כללי</v>
      </c>
      <c r="B140" s="193">
        <f>IF(A140&lt;&gt;0,SUMIF('שלב ב - סיווג תנועות'!$H$9:$H$1499,A140,'שלב ב - סיווג תנועות'!$N$9:$N$1499),0)</f>
        <v>0</v>
      </c>
      <c r="C140" s="184"/>
      <c r="D140" s="185"/>
      <c r="E140" s="190"/>
      <c r="F140" s="184"/>
      <c r="G140" s="184"/>
      <c r="H140" s="184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</row>
    <row r="141" spans="1:19" hidden="1" outlineLevel="1">
      <c r="A141" s="189">
        <f>'רשימת הסעיפים'!G12</f>
        <v>0</v>
      </c>
      <c r="B141" s="193">
        <f>IF(A141&lt;&gt;0,SUMIF('שלב ב - סיווג תנועות'!$H$9:$H$1499,A141,'שלב ב - סיווג תנועות'!$N$9:$N$1499),0)</f>
        <v>0</v>
      </c>
      <c r="C141" s="184"/>
      <c r="D141" s="185"/>
      <c r="E141" s="190"/>
      <c r="F141" s="184"/>
      <c r="G141" s="184"/>
      <c r="H141" s="184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</row>
    <row r="142" spans="1:19" hidden="1" outlineLevel="1">
      <c r="A142" s="189">
        <f>'רשימת הסעיפים'!G13</f>
        <v>0</v>
      </c>
      <c r="B142" s="193">
        <f>IF(A142&lt;&gt;0,SUMIF('שלב ב - סיווג תנועות'!$H$9:$H$1499,A142,'שלב ב - סיווג תנועות'!$N$9:$N$1499),0)</f>
        <v>0</v>
      </c>
      <c r="C142" s="184"/>
      <c r="D142" s="185"/>
      <c r="E142" s="190"/>
      <c r="F142" s="184"/>
      <c r="G142" s="184"/>
      <c r="H142" s="184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</row>
    <row r="143" spans="1:19" hidden="1" outlineLevel="1">
      <c r="A143" s="189">
        <f>'רשימת הסעיפים'!G14</f>
        <v>0</v>
      </c>
      <c r="B143" s="193">
        <f>IF(A143&lt;&gt;0,SUMIF('שלב ב - סיווג תנועות'!$H$9:$H$1499,A143,'שלב ב - סיווג תנועות'!$N$9:$N$1499),0)</f>
        <v>0</v>
      </c>
      <c r="C143" s="184"/>
      <c r="D143" s="185"/>
      <c r="E143" s="190"/>
      <c r="F143" s="184"/>
      <c r="G143" s="184"/>
      <c r="H143" s="184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</row>
    <row r="144" spans="1:19" hidden="1" outlineLevel="1">
      <c r="A144" s="189">
        <f>'רשימת הסעיפים'!G15</f>
        <v>0</v>
      </c>
      <c r="B144" s="193">
        <f>IF(A144&lt;&gt;0,SUMIF('שלב ב - סיווג תנועות'!$H$9:$H$1499,A144,'שלב ב - סיווג תנועות'!$N$9:$N$1499),0)</f>
        <v>0</v>
      </c>
      <c r="C144" s="184"/>
      <c r="D144" s="185"/>
      <c r="E144" s="190"/>
      <c r="F144" s="184"/>
      <c r="G144" s="184"/>
      <c r="H144" s="184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</row>
    <row r="145" spans="1:19" hidden="1" outlineLevel="1">
      <c r="A145" s="189">
        <f>'רשימת הסעיפים'!G16</f>
        <v>0</v>
      </c>
      <c r="B145" s="193">
        <f>IF(A145&lt;&gt;0,SUMIF('שלב ב - סיווג תנועות'!$H$9:$H$1499,A145,'שלב ב - סיווג תנועות'!$N$9:$N$1499),0)</f>
        <v>0</v>
      </c>
      <c r="C145" s="184"/>
      <c r="D145" s="185"/>
      <c r="E145" s="190"/>
      <c r="F145" s="184"/>
      <c r="G145" s="184"/>
      <c r="H145" s="184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</row>
    <row r="146" spans="1:19" hidden="1" outlineLevel="1">
      <c r="A146" s="189">
        <f>'רשימת הסעיפים'!G17</f>
        <v>0</v>
      </c>
      <c r="B146" s="193">
        <f>IF(A146&lt;&gt;0,SUMIF('שלב ב - סיווג תנועות'!$H$9:$H$1499,A146,'שלב ב - סיווג תנועות'!$N$9:$N$1499),0)</f>
        <v>0</v>
      </c>
      <c r="C146" s="184"/>
      <c r="D146" s="185"/>
      <c r="E146" s="190"/>
      <c r="F146" s="184"/>
      <c r="G146" s="184"/>
      <c r="H146" s="184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</row>
    <row r="147" spans="1:19" hidden="1" outlineLevel="1">
      <c r="A147" s="189">
        <f>'רשימת הסעיפים'!G18</f>
        <v>0</v>
      </c>
      <c r="B147" s="193">
        <f>IF(A147&lt;&gt;0,SUMIF('שלב ב - סיווג תנועות'!$H$9:$H$1499,A147,'שלב ב - סיווג תנועות'!$N$9:$N$1499),0)</f>
        <v>0</v>
      </c>
      <c r="C147" s="184"/>
      <c r="D147" s="185"/>
      <c r="E147" s="190"/>
      <c r="F147" s="184"/>
      <c r="G147" s="184"/>
      <c r="H147" s="184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</row>
    <row r="148" spans="1:19" hidden="1" outlineLevel="1">
      <c r="A148" s="189">
        <f>'רשימת הסעיפים'!G19</f>
        <v>0</v>
      </c>
      <c r="B148" s="193">
        <f>IF(A148&lt;&gt;0,SUMIF('שלב ב - סיווג תנועות'!$H$9:$H$1499,A148,'שלב ב - סיווג תנועות'!$N$9:$N$1499),0)</f>
        <v>0</v>
      </c>
      <c r="C148" s="184"/>
      <c r="D148" s="185"/>
      <c r="E148" s="190"/>
      <c r="F148" s="184"/>
      <c r="G148" s="184"/>
      <c r="H148" s="184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</row>
    <row r="149" spans="1:19" hidden="1" outlineLevel="1">
      <c r="A149" s="189">
        <f>'רשימת הסעיפים'!G20</f>
        <v>0</v>
      </c>
      <c r="B149" s="193">
        <f>IF(A149&lt;&gt;0,SUMIF('שלב ב - סיווג תנועות'!$H$9:$H$1499,A149,'שלב ב - סיווג תנועות'!$N$9:$N$1499),0)</f>
        <v>0</v>
      </c>
      <c r="C149" s="184"/>
      <c r="D149" s="185"/>
      <c r="E149" s="190"/>
      <c r="F149" s="184"/>
      <c r="G149" s="184"/>
      <c r="H149" s="184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</row>
    <row r="150" spans="1:19" hidden="1" outlineLevel="1">
      <c r="A150" s="189">
        <f>'רשימת הסעיפים'!G21</f>
        <v>0</v>
      </c>
      <c r="B150" s="193">
        <f>IF(A150&lt;&gt;0,SUMIF('שלב ב - סיווג תנועות'!$H$9:$H$1499,A150,'שלב ב - סיווג תנועות'!$N$9:$N$1499),0)</f>
        <v>0</v>
      </c>
      <c r="C150" s="184"/>
      <c r="D150" s="185"/>
      <c r="E150" s="190"/>
      <c r="F150" s="184"/>
      <c r="G150" s="184"/>
      <c r="H150" s="184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</row>
    <row r="151" spans="1:19" collapsed="1">
      <c r="A151" s="186" t="str">
        <f>'רשימת הסעיפים'!H1</f>
        <v>אירועים, תרומות, צרכי דת</v>
      </c>
      <c r="B151" s="187">
        <f>SUM(B152:B171)</f>
        <v>0</v>
      </c>
      <c r="C151" s="184"/>
      <c r="D151" s="185"/>
      <c r="E151" s="190"/>
      <c r="F151" s="184"/>
      <c r="G151" s="184"/>
      <c r="H151" s="184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</row>
    <row r="152" spans="1:19" hidden="1" outlineLevel="1">
      <c r="A152" s="189" t="str">
        <f>'רשימת הסעיפים'!H2</f>
        <v>חגים וצרכי דת</v>
      </c>
      <c r="B152" s="193">
        <f>IF(A152&lt;&gt;0,SUMIF('שלב ב - סיווג תנועות'!$H$9:$H$1499,A152,'שלב ב - סיווג תנועות'!$N$9:$N$1499),0)</f>
        <v>0</v>
      </c>
      <c r="C152" s="184"/>
      <c r="D152" s="185"/>
      <c r="E152" s="190"/>
      <c r="F152" s="184"/>
      <c r="G152" s="184"/>
      <c r="H152" s="184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</row>
    <row r="153" spans="1:19" hidden="1" outlineLevel="1">
      <c r="A153" s="189" t="str">
        <f>'רשימת הסעיפים'!H3</f>
        <v>אירוע בעבודה / לחברים</v>
      </c>
      <c r="B153" s="193">
        <f>IF(A153&lt;&gt;0,SUMIF('שלב ב - סיווג תנועות'!$H$9:$H$1499,A153,'שלב ב - סיווג תנועות'!$N$9:$N$1499),0)</f>
        <v>0</v>
      </c>
      <c r="C153" s="184"/>
      <c r="D153" s="185"/>
      <c r="E153" s="190"/>
      <c r="F153" s="184"/>
      <c r="G153" s="184"/>
      <c r="H153" s="184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</row>
    <row r="154" spans="1:19" hidden="1" outlineLevel="1">
      <c r="A154" s="189" t="str">
        <f>'רשימת הסעיפים'!H4</f>
        <v>תרומות</v>
      </c>
      <c r="B154" s="193">
        <f>IF(A154&lt;&gt;0,SUMIF('שלב ב - סיווג תנועות'!$H$9:$H$1499,A154,'שלב ב - סיווג תנועות'!$N$9:$N$1499),0)</f>
        <v>0</v>
      </c>
      <c r="C154" s="184"/>
      <c r="D154" s="185"/>
      <c r="E154" s="190"/>
      <c r="F154" s="184"/>
      <c r="G154" s="184"/>
      <c r="H154" s="184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</row>
    <row r="155" spans="1:19" hidden="1" outlineLevel="1">
      <c r="A155" s="189">
        <f>'רשימת הסעיפים'!H5</f>
        <v>0</v>
      </c>
      <c r="B155" s="193">
        <f>IF(A155&lt;&gt;0,SUMIF('שלב ב - סיווג תנועות'!$H$9:$H$1499,A155,'שלב ב - סיווג תנועות'!$N$9:$N$1499),0)</f>
        <v>0</v>
      </c>
      <c r="C155" s="184"/>
      <c r="D155" s="185"/>
      <c r="E155" s="190"/>
      <c r="F155" s="184"/>
      <c r="G155" s="184"/>
      <c r="H155" s="184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</row>
    <row r="156" spans="1:19" hidden="1" outlineLevel="1">
      <c r="A156" s="189">
        <f>'רשימת הסעיפים'!H6</f>
        <v>0</v>
      </c>
      <c r="B156" s="193">
        <f>IF(A156&lt;&gt;0,SUMIF('שלב ב - סיווג תנועות'!$H$9:$H$1499,A156,'שלב ב - סיווג תנועות'!$N$9:$N$1499),0)</f>
        <v>0</v>
      </c>
      <c r="C156" s="184"/>
      <c r="D156" s="185"/>
      <c r="E156" s="190"/>
      <c r="F156" s="184"/>
      <c r="G156" s="184"/>
      <c r="H156" s="184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</row>
    <row r="157" spans="1:19" hidden="1" outlineLevel="1">
      <c r="A157" s="189">
        <f>'רשימת הסעיפים'!H7</f>
        <v>0</v>
      </c>
      <c r="B157" s="193">
        <f>IF(A157&lt;&gt;0,SUMIF('שלב ב - סיווג תנועות'!$H$9:$H$1499,A157,'שלב ב - סיווג תנועות'!$N$9:$N$1499),0)</f>
        <v>0</v>
      </c>
      <c r="C157" s="184"/>
      <c r="D157" s="185"/>
      <c r="E157" s="190"/>
      <c r="F157" s="184"/>
      <c r="G157" s="184"/>
      <c r="H157" s="184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</row>
    <row r="158" spans="1:19" hidden="1" outlineLevel="1">
      <c r="A158" s="189">
        <f>'רשימת הסעיפים'!H8</f>
        <v>0</v>
      </c>
      <c r="B158" s="193">
        <f>IF(A158&lt;&gt;0,SUMIF('שלב ב - סיווג תנועות'!$H$9:$H$1499,A158,'שלב ב - סיווג תנועות'!$N$9:$N$1499),0)</f>
        <v>0</v>
      </c>
      <c r="C158" s="184"/>
      <c r="D158" s="185"/>
      <c r="E158" s="190"/>
      <c r="F158" s="184"/>
      <c r="G158" s="184"/>
      <c r="H158" s="184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</row>
    <row r="159" spans="1:19" hidden="1" outlineLevel="1">
      <c r="A159" s="189">
        <f>'רשימת הסעיפים'!H9</f>
        <v>0</v>
      </c>
      <c r="B159" s="193">
        <f>IF(A159&lt;&gt;0,SUMIF('שלב ב - סיווג תנועות'!$H$9:$H$1499,A159,'שלב ב - סיווג תנועות'!$N$9:$N$1499),0)</f>
        <v>0</v>
      </c>
      <c r="C159" s="184"/>
      <c r="D159" s="185"/>
      <c r="E159" s="190"/>
      <c r="F159" s="184"/>
      <c r="G159" s="184"/>
      <c r="H159" s="184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</row>
    <row r="160" spans="1:19" hidden="1" outlineLevel="1">
      <c r="A160" s="189">
        <f>'רשימת הסעיפים'!H10</f>
        <v>0</v>
      </c>
      <c r="B160" s="193">
        <f>IF(A160&lt;&gt;0,SUMIF('שלב ב - סיווג תנועות'!$H$9:$H$1499,A160,'שלב ב - סיווג תנועות'!$N$9:$N$1499),0)</f>
        <v>0</v>
      </c>
      <c r="C160" s="184"/>
      <c r="D160" s="185"/>
      <c r="E160" s="190"/>
      <c r="F160" s="184"/>
      <c r="G160" s="184"/>
      <c r="H160" s="184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</row>
    <row r="161" spans="1:19" hidden="1" outlineLevel="1">
      <c r="A161" s="189">
        <f>'רשימת הסעיפים'!H11</f>
        <v>0</v>
      </c>
      <c r="B161" s="193">
        <f>IF(A161&lt;&gt;0,SUMIF('שלב ב - סיווג תנועות'!$H$9:$H$1499,A161,'שלב ב - סיווג תנועות'!$N$9:$N$1499),0)</f>
        <v>0</v>
      </c>
      <c r="C161" s="184"/>
      <c r="D161" s="185"/>
      <c r="E161" s="190"/>
      <c r="F161" s="184"/>
      <c r="G161" s="184"/>
      <c r="H161" s="184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</row>
    <row r="162" spans="1:19" hidden="1" outlineLevel="1">
      <c r="A162" s="189">
        <f>'רשימת הסעיפים'!H12</f>
        <v>0</v>
      </c>
      <c r="B162" s="193">
        <f>IF(A162&lt;&gt;0,SUMIF('שלב ב - סיווג תנועות'!$H$9:$H$1499,A162,'שלב ב - סיווג תנועות'!$N$9:$N$1499),0)</f>
        <v>0</v>
      </c>
      <c r="C162" s="184"/>
      <c r="D162" s="185"/>
      <c r="E162" s="190"/>
      <c r="F162" s="184"/>
      <c r="G162" s="184"/>
      <c r="H162" s="184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</row>
    <row r="163" spans="1:19" hidden="1" outlineLevel="1">
      <c r="A163" s="189">
        <f>'רשימת הסעיפים'!H13</f>
        <v>0</v>
      </c>
      <c r="B163" s="193">
        <f>IF(A163&lt;&gt;0,SUMIF('שלב ב - סיווג תנועות'!$H$9:$H$1499,A163,'שלב ב - סיווג תנועות'!$N$9:$N$1499),0)</f>
        <v>0</v>
      </c>
      <c r="C163" s="184"/>
      <c r="D163" s="185"/>
      <c r="E163" s="190"/>
      <c r="F163" s="184"/>
      <c r="G163" s="184"/>
      <c r="H163" s="184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</row>
    <row r="164" spans="1:19" hidden="1" outlineLevel="1">
      <c r="A164" s="189">
        <f>'רשימת הסעיפים'!H14</f>
        <v>0</v>
      </c>
      <c r="B164" s="193">
        <f>IF(A164&lt;&gt;0,SUMIF('שלב ב - סיווג תנועות'!$H$9:$H$1499,A164,'שלב ב - סיווג תנועות'!$N$9:$N$1499),0)</f>
        <v>0</v>
      </c>
      <c r="C164" s="184"/>
      <c r="D164" s="185"/>
      <c r="E164" s="190"/>
      <c r="F164" s="184"/>
      <c r="G164" s="184"/>
      <c r="H164" s="184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</row>
    <row r="165" spans="1:19" hidden="1" outlineLevel="1">
      <c r="A165" s="189">
        <f>'רשימת הסעיפים'!H15</f>
        <v>0</v>
      </c>
      <c r="B165" s="193">
        <f>IF(A165&lt;&gt;0,SUMIF('שלב ב - סיווג תנועות'!$H$9:$H$1499,A165,'שלב ב - סיווג תנועות'!$N$9:$N$1499),0)</f>
        <v>0</v>
      </c>
      <c r="C165" s="184"/>
      <c r="D165" s="185"/>
      <c r="E165" s="190"/>
      <c r="F165" s="184"/>
      <c r="G165" s="184"/>
      <c r="H165" s="184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</row>
    <row r="166" spans="1:19" hidden="1" outlineLevel="1">
      <c r="A166" s="189">
        <f>'רשימת הסעיפים'!H16</f>
        <v>0</v>
      </c>
      <c r="B166" s="193">
        <f>IF(A166&lt;&gt;0,SUMIF('שלב ב - סיווג תנועות'!$H$9:$H$1499,A166,'שלב ב - סיווג תנועות'!$N$9:$N$1499),0)</f>
        <v>0</v>
      </c>
      <c r="C166" s="184"/>
      <c r="D166" s="185"/>
      <c r="E166" s="190"/>
      <c r="F166" s="184"/>
      <c r="G166" s="184"/>
      <c r="H166" s="184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</row>
    <row r="167" spans="1:19" hidden="1" outlineLevel="1">
      <c r="A167" s="189">
        <f>'רשימת הסעיפים'!H17</f>
        <v>0</v>
      </c>
      <c r="B167" s="193">
        <f>IF(A167&lt;&gt;0,SUMIF('שלב ב - סיווג תנועות'!$H$9:$H$1499,A167,'שלב ב - סיווג תנועות'!$N$9:$N$1499),0)</f>
        <v>0</v>
      </c>
      <c r="C167" s="184"/>
      <c r="D167" s="185"/>
      <c r="E167" s="190"/>
      <c r="F167" s="184"/>
      <c r="G167" s="184"/>
      <c r="H167" s="184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</row>
    <row r="168" spans="1:19" hidden="1" outlineLevel="1">
      <c r="A168" s="189">
        <f>'רשימת הסעיפים'!H18</f>
        <v>0</v>
      </c>
      <c r="B168" s="193">
        <f>IF(A168&lt;&gt;0,SUMIF('שלב ב - סיווג תנועות'!$H$9:$H$1499,A168,'שלב ב - סיווג תנועות'!$N$9:$N$1499),0)</f>
        <v>0</v>
      </c>
      <c r="C168" s="184"/>
      <c r="D168" s="185"/>
      <c r="E168" s="190"/>
      <c r="F168" s="184"/>
      <c r="G168" s="184"/>
      <c r="H168" s="184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</row>
    <row r="169" spans="1:19" hidden="1" outlineLevel="1">
      <c r="A169" s="189">
        <f>'רשימת הסעיפים'!H19</f>
        <v>0</v>
      </c>
      <c r="B169" s="193">
        <f>IF(A169&lt;&gt;0,SUMIF('שלב ב - סיווג תנועות'!$H$9:$H$1499,A169,'שלב ב - סיווג תנועות'!$N$9:$N$1499),0)</f>
        <v>0</v>
      </c>
      <c r="C169" s="184"/>
      <c r="D169" s="185"/>
      <c r="E169" s="190"/>
      <c r="F169" s="184"/>
      <c r="G169" s="184"/>
      <c r="H169" s="184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</row>
    <row r="170" spans="1:19" hidden="1" outlineLevel="1">
      <c r="A170" s="189">
        <f>'רשימת הסעיפים'!H20</f>
        <v>0</v>
      </c>
      <c r="B170" s="193">
        <f>IF(A170&lt;&gt;0,SUMIF('שלב ב - סיווג תנועות'!$H$9:$H$1499,A170,'שלב ב - סיווג תנועות'!$N$9:$N$1499),0)</f>
        <v>0</v>
      </c>
      <c r="C170" s="184"/>
      <c r="D170" s="185"/>
      <c r="E170" s="190"/>
      <c r="F170" s="184"/>
      <c r="G170" s="184"/>
      <c r="H170" s="184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</row>
    <row r="171" spans="1:19" hidden="1" outlineLevel="1">
      <c r="A171" s="189">
        <f>'רשימת הסעיפים'!H21</f>
        <v>0</v>
      </c>
      <c r="B171" s="193">
        <f>IF(A171&lt;&gt;0,SUMIF('שלב ב - סיווג תנועות'!$H$9:$H$1499,A171,'שלב ב - סיווג תנועות'!$N$9:$N$1499),0)</f>
        <v>0</v>
      </c>
      <c r="C171" s="184"/>
      <c r="D171" s="185"/>
      <c r="E171" s="190"/>
      <c r="F171" s="184"/>
      <c r="G171" s="184"/>
      <c r="H171" s="184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</row>
    <row r="172" spans="1:19" collapsed="1">
      <c r="A172" s="186" t="str">
        <f>'רשימת הסעיפים'!I1</f>
        <v>בריאות</v>
      </c>
      <c r="B172" s="187">
        <f>SUM(B173:B192)</f>
        <v>0</v>
      </c>
      <c r="C172" s="184"/>
      <c r="D172" s="185"/>
      <c r="E172" s="190"/>
      <c r="F172" s="184"/>
      <c r="G172" s="184"/>
      <c r="H172" s="184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</row>
    <row r="173" spans="1:19" hidden="1" outlineLevel="1">
      <c r="A173" s="189" t="str">
        <f>'רשימת הסעיפים'!I2</f>
        <v>קופ"ח תשלום קבוע</v>
      </c>
      <c r="B173" s="193">
        <f>IF(A173&lt;&gt;0,SUMIF('שלב ב - סיווג תנועות'!$H$9:$H$1499,A173,'שלב ב - סיווג תנועות'!$N$9:$N$1499),0)</f>
        <v>0</v>
      </c>
      <c r="C173" s="184"/>
      <c r="D173" s="185"/>
      <c r="E173" s="190"/>
      <c r="F173" s="184"/>
      <c r="G173" s="184"/>
      <c r="H173" s="184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</row>
    <row r="174" spans="1:19" hidden="1" outlineLevel="1">
      <c r="A174" s="189" t="str">
        <f>'רשימת הסעיפים'!I3</f>
        <v>ביטוח רפואי נוסף</v>
      </c>
      <c r="B174" s="193">
        <f>IF(A174&lt;&gt;0,SUMIF('שלב ב - סיווג תנועות'!$H$9:$H$1499,A174,'שלב ב - סיווג תנועות'!$N$9:$N$1499),0)</f>
        <v>0</v>
      </c>
      <c r="C174" s="184"/>
      <c r="D174" s="185"/>
      <c r="E174" s="190"/>
      <c r="F174" s="184"/>
      <c r="G174" s="184"/>
      <c r="H174" s="184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</row>
    <row r="175" spans="1:19" hidden="1" outlineLevel="1">
      <c r="A175" s="189" t="str">
        <f>'רשימת הסעיפים'!I4</f>
        <v>טיפולים פרטיים</v>
      </c>
      <c r="B175" s="193">
        <f>IF(A175&lt;&gt;0,SUMIF('שלב ב - סיווג תנועות'!$H$9:$H$1499,A175,'שלב ב - סיווג תנועות'!$N$9:$N$1499),0)</f>
        <v>0</v>
      </c>
      <c r="C175" s="184"/>
      <c r="D175" s="185"/>
      <c r="E175" s="190"/>
      <c r="F175" s="184"/>
      <c r="G175" s="184"/>
      <c r="H175" s="184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</row>
    <row r="176" spans="1:19" hidden="1" outlineLevel="1">
      <c r="A176" s="189" t="str">
        <f>'רשימת הסעיפים'!I5</f>
        <v>תרופות</v>
      </c>
      <c r="B176" s="193">
        <f>IF(A176&lt;&gt;0,SUMIF('שלב ב - סיווג תנועות'!$H$9:$H$1499,A176,'שלב ב - סיווג תנועות'!$N$9:$N$1499),0)</f>
        <v>0</v>
      </c>
      <c r="C176" s="184"/>
      <c r="D176" s="185"/>
      <c r="E176" s="190"/>
      <c r="F176" s="184"/>
      <c r="G176" s="184"/>
      <c r="H176" s="184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</row>
    <row r="177" spans="1:19" hidden="1" outlineLevel="1">
      <c r="A177" s="189" t="str">
        <f>'רשימת הסעיפים'!I6</f>
        <v>טיפולי שיניים / אורטודנט</v>
      </c>
      <c r="B177" s="193">
        <f>IF(A177&lt;&gt;0,SUMIF('שלב ב - סיווג תנועות'!$H$9:$H$1499,A177,'שלב ב - סיווג תנועות'!$N$9:$N$1499),0)</f>
        <v>0</v>
      </c>
      <c r="C177" s="184"/>
      <c r="D177" s="185"/>
      <c r="E177" s="190"/>
      <c r="F177" s="184"/>
      <c r="G177" s="184"/>
      <c r="H177" s="184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</row>
    <row r="178" spans="1:19" hidden="1" outlineLevel="1">
      <c r="A178" s="189" t="str">
        <f>'רשימת הסעיפים'!I7</f>
        <v>אופטיקה</v>
      </c>
      <c r="B178" s="193">
        <f>IF(A178&lt;&gt;0,SUMIF('שלב ב - סיווג תנועות'!$H$9:$H$1499,A178,'שלב ב - סיווג תנועות'!$N$9:$N$1499),0)</f>
        <v>0</v>
      </c>
      <c r="C178" s="184"/>
      <c r="D178" s="185"/>
      <c r="E178" s="190"/>
      <c r="F178" s="184"/>
      <c r="G178" s="184"/>
      <c r="H178" s="184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</row>
    <row r="179" spans="1:19" hidden="1" outlineLevel="1">
      <c r="A179" s="189" t="str">
        <f>'רשימת הסעיפים'!I8</f>
        <v>בריאות - כללי</v>
      </c>
      <c r="B179" s="193">
        <f>IF(A179&lt;&gt;0,SUMIF('שלב ב - סיווג תנועות'!$H$9:$H$1499,A179,'שלב ב - סיווג תנועות'!$N$9:$N$1499),0)</f>
        <v>0</v>
      </c>
      <c r="C179" s="184"/>
      <c r="D179" s="185"/>
      <c r="E179" s="190"/>
      <c r="F179" s="184"/>
      <c r="G179" s="184"/>
      <c r="H179" s="184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</row>
    <row r="180" spans="1:19" hidden="1" outlineLevel="1">
      <c r="A180" s="189">
        <f>'רשימת הסעיפים'!I9</f>
        <v>0</v>
      </c>
      <c r="B180" s="193">
        <f>IF(A180&lt;&gt;0,SUMIF('שלב ב - סיווג תנועות'!$H$9:$H$1499,A180,'שלב ב - סיווג תנועות'!$N$9:$N$1499),0)</f>
        <v>0</v>
      </c>
      <c r="C180" s="184"/>
      <c r="D180" s="185"/>
      <c r="E180" s="190"/>
      <c r="F180" s="184"/>
      <c r="G180" s="184"/>
      <c r="H180" s="184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</row>
    <row r="181" spans="1:19" hidden="1" outlineLevel="1">
      <c r="A181" s="189">
        <f>'רשימת הסעיפים'!I10</f>
        <v>0</v>
      </c>
      <c r="B181" s="193">
        <f>IF(A181&lt;&gt;0,SUMIF('שלב ב - סיווג תנועות'!$H$9:$H$1499,A181,'שלב ב - סיווג תנועות'!$N$9:$N$1499),0)</f>
        <v>0</v>
      </c>
      <c r="C181" s="184"/>
      <c r="D181" s="185"/>
      <c r="E181" s="190"/>
      <c r="F181" s="184"/>
      <c r="G181" s="184"/>
      <c r="H181" s="184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</row>
    <row r="182" spans="1:19" hidden="1" outlineLevel="1">
      <c r="A182" s="189">
        <f>'רשימת הסעיפים'!I11</f>
        <v>0</v>
      </c>
      <c r="B182" s="193">
        <f>IF(A182&lt;&gt;0,SUMIF('שלב ב - סיווג תנועות'!$H$9:$H$1499,A182,'שלב ב - סיווג תנועות'!$N$9:$N$1499),0)</f>
        <v>0</v>
      </c>
      <c r="C182" s="184"/>
      <c r="D182" s="185"/>
      <c r="E182" s="190"/>
      <c r="F182" s="184"/>
      <c r="G182" s="184"/>
      <c r="H182" s="184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</row>
    <row r="183" spans="1:19" hidden="1" outlineLevel="1">
      <c r="A183" s="189">
        <f>'רשימת הסעיפים'!I12</f>
        <v>0</v>
      </c>
      <c r="B183" s="193">
        <f>IF(A183&lt;&gt;0,SUMIF('שלב ב - סיווג תנועות'!$H$9:$H$1499,A183,'שלב ב - סיווג תנועות'!$N$9:$N$1499),0)</f>
        <v>0</v>
      </c>
      <c r="C183" s="184"/>
      <c r="D183" s="185"/>
      <c r="E183" s="190"/>
      <c r="F183" s="184"/>
      <c r="G183" s="184"/>
      <c r="H183" s="184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</row>
    <row r="184" spans="1:19" hidden="1" outlineLevel="1">
      <c r="A184" s="189">
        <f>'רשימת הסעיפים'!I13</f>
        <v>0</v>
      </c>
      <c r="B184" s="193">
        <f>IF(A184&lt;&gt;0,SUMIF('שלב ב - סיווג תנועות'!$H$9:$H$1499,A184,'שלב ב - סיווג תנועות'!$N$9:$N$1499),0)</f>
        <v>0</v>
      </c>
      <c r="C184" s="184"/>
      <c r="D184" s="185"/>
      <c r="E184" s="190"/>
      <c r="F184" s="184"/>
      <c r="G184" s="184"/>
      <c r="H184" s="184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</row>
    <row r="185" spans="1:19" hidden="1" outlineLevel="1">
      <c r="A185" s="189">
        <f>'רשימת הסעיפים'!I14</f>
        <v>0</v>
      </c>
      <c r="B185" s="193">
        <f>IF(A185&lt;&gt;0,SUMIF('שלב ב - סיווג תנועות'!$H$9:$H$1499,A185,'שלב ב - סיווג תנועות'!$N$9:$N$1499),0)</f>
        <v>0</v>
      </c>
      <c r="C185" s="184"/>
      <c r="D185" s="185"/>
      <c r="E185" s="190"/>
      <c r="F185" s="184"/>
      <c r="G185" s="184"/>
      <c r="H185" s="184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</row>
    <row r="186" spans="1:19" hidden="1" outlineLevel="1">
      <c r="A186" s="189">
        <f>'רשימת הסעיפים'!I15</f>
        <v>0</v>
      </c>
      <c r="B186" s="193">
        <f>IF(A186&lt;&gt;0,SUMIF('שלב ב - סיווג תנועות'!$H$9:$H$1499,A186,'שלב ב - סיווג תנועות'!$N$9:$N$1499),0)</f>
        <v>0</v>
      </c>
      <c r="C186" s="184"/>
      <c r="D186" s="185"/>
      <c r="E186" s="190"/>
      <c r="F186" s="184"/>
      <c r="G186" s="184"/>
      <c r="H186" s="184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</row>
    <row r="187" spans="1:19" hidden="1" outlineLevel="1">
      <c r="A187" s="189">
        <f>'רשימת הסעיפים'!I16</f>
        <v>0</v>
      </c>
      <c r="B187" s="193">
        <f>IF(A187&lt;&gt;0,SUMIF('שלב ב - סיווג תנועות'!$H$9:$H$1499,A187,'שלב ב - סיווג תנועות'!$N$9:$N$1499),0)</f>
        <v>0</v>
      </c>
      <c r="C187" s="184"/>
      <c r="D187" s="185"/>
      <c r="E187" s="190"/>
      <c r="F187" s="184"/>
      <c r="G187" s="184"/>
      <c r="H187" s="184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</row>
    <row r="188" spans="1:19" hidden="1" outlineLevel="1">
      <c r="A188" s="189">
        <f>'רשימת הסעיפים'!I17</f>
        <v>0</v>
      </c>
      <c r="B188" s="193">
        <f>IF(A188&lt;&gt;0,SUMIF('שלב ב - סיווג תנועות'!$H$9:$H$1499,A188,'שלב ב - סיווג תנועות'!$N$9:$N$1499),0)</f>
        <v>0</v>
      </c>
      <c r="C188" s="184"/>
      <c r="D188" s="185"/>
      <c r="E188" s="190"/>
      <c r="F188" s="184"/>
      <c r="G188" s="184"/>
      <c r="H188" s="184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</row>
    <row r="189" spans="1:19" hidden="1" outlineLevel="1">
      <c r="A189" s="189">
        <f>'רשימת הסעיפים'!I18</f>
        <v>0</v>
      </c>
      <c r="B189" s="193">
        <f>IF(A189&lt;&gt;0,SUMIF('שלב ב - סיווג תנועות'!$H$9:$H$1499,A189,'שלב ב - סיווג תנועות'!$N$9:$N$1499),0)</f>
        <v>0</v>
      </c>
      <c r="C189" s="184"/>
      <c r="D189" s="185"/>
      <c r="E189" s="190"/>
      <c r="F189" s="184"/>
      <c r="G189" s="184"/>
      <c r="H189" s="184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</row>
    <row r="190" spans="1:19" hidden="1" outlineLevel="1">
      <c r="A190" s="189">
        <f>'רשימת הסעיפים'!I19</f>
        <v>0</v>
      </c>
      <c r="B190" s="193">
        <f>IF(A190&lt;&gt;0,SUMIF('שלב ב - סיווג תנועות'!$H$9:$H$1499,A190,'שלב ב - סיווג תנועות'!$N$9:$N$1499),0)</f>
        <v>0</v>
      </c>
      <c r="C190" s="184"/>
      <c r="D190" s="185"/>
      <c r="E190" s="190"/>
      <c r="F190" s="184"/>
      <c r="G190" s="184"/>
      <c r="H190" s="184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</row>
    <row r="191" spans="1:19" hidden="1" outlineLevel="1">
      <c r="A191" s="189">
        <f>'רשימת הסעיפים'!I20</f>
        <v>0</v>
      </c>
      <c r="B191" s="193">
        <f>IF(A191&lt;&gt;0,SUMIF('שלב ב - סיווג תנועות'!$H$9:$H$1499,A191,'שלב ב - סיווג תנועות'!$N$9:$N$1499),0)</f>
        <v>0</v>
      </c>
      <c r="C191" s="184"/>
      <c r="D191" s="185"/>
      <c r="E191" s="190"/>
      <c r="F191" s="184"/>
      <c r="G191" s="184"/>
      <c r="H191" s="184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</row>
    <row r="192" spans="1:19" hidden="1" outlineLevel="1">
      <c r="A192" s="189">
        <f>'רשימת הסעיפים'!I21</f>
        <v>0</v>
      </c>
      <c r="B192" s="193">
        <f>IF(A192&lt;&gt;0,SUMIF('שלב ב - סיווג תנועות'!$H$9:$H$1499,A192,'שלב ב - סיווג תנועות'!$N$9:$N$1499),0)</f>
        <v>0</v>
      </c>
      <c r="C192" s="184"/>
      <c r="D192" s="185"/>
      <c r="E192" s="190"/>
      <c r="F192" s="184"/>
      <c r="G192" s="184"/>
      <c r="H192" s="184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</row>
    <row r="193" spans="1:19" collapsed="1">
      <c r="A193" s="186" t="str">
        <f>'רשימת הסעיפים'!J1</f>
        <v>תחבורה</v>
      </c>
      <c r="B193" s="187">
        <f>SUM(B194:B213)</f>
        <v>0</v>
      </c>
      <c r="C193" s="184"/>
      <c r="D193" s="185"/>
      <c r="E193" s="190"/>
      <c r="F193" s="184"/>
      <c r="G193" s="184"/>
      <c r="H193" s="184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</row>
    <row r="194" spans="1:19" hidden="1" outlineLevel="1">
      <c r="A194" s="189" t="str">
        <f>'רשימת הסעיפים'!J2</f>
        <v>דלק</v>
      </c>
      <c r="B194" s="193">
        <f>IF(A194&lt;&gt;0,SUMIF('שלב ב - סיווג תנועות'!$H$9:$H$1499,A194,'שלב ב - סיווג תנועות'!$N$9:$N$1499),0)</f>
        <v>0</v>
      </c>
      <c r="C194" s="184"/>
      <c r="D194" s="185"/>
      <c r="E194" s="190"/>
      <c r="F194" s="184"/>
      <c r="G194" s="184"/>
      <c r="H194" s="184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</row>
    <row r="195" spans="1:19" hidden="1" outlineLevel="1">
      <c r="A195" s="189" t="str">
        <f>'רשימת הסעיפים'!J3</f>
        <v>חניה</v>
      </c>
      <c r="B195" s="193">
        <f>IF(A195&lt;&gt;0,SUMIF('שלב ב - סיווג תנועות'!$H$9:$H$1499,A195,'שלב ב - סיווג תנועות'!$N$9:$N$1499),0)</f>
        <v>0</v>
      </c>
      <c r="C195" s="184"/>
      <c r="D195" s="185"/>
      <c r="E195" s="190"/>
      <c r="F195" s="184"/>
      <c r="G195" s="184"/>
      <c r="H195" s="184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</row>
    <row r="196" spans="1:19" hidden="1" outlineLevel="1">
      <c r="A196" s="189" t="str">
        <f>'רשימת הסעיפים'!J4</f>
        <v>כבישי אגרה</v>
      </c>
      <c r="B196" s="193">
        <f>IF(A196&lt;&gt;0,SUMIF('שלב ב - סיווג תנועות'!$H$9:$H$1499,A196,'שלב ב - סיווג תנועות'!$N$9:$N$1499),0)</f>
        <v>0</v>
      </c>
      <c r="C196" s="184"/>
      <c r="D196" s="185"/>
      <c r="E196" s="190"/>
      <c r="F196" s="184"/>
      <c r="G196" s="184"/>
      <c r="H196" s="184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</row>
    <row r="197" spans="1:19" hidden="1" outlineLevel="1">
      <c r="A197" s="189" t="str">
        <f>'רשימת הסעיפים'!J5</f>
        <v>ביטוח רכב</v>
      </c>
      <c r="B197" s="193">
        <f>IF(A197&lt;&gt;0,SUMIF('שלב ב - סיווג תנועות'!$H$9:$H$1499,A197,'שלב ב - סיווג תנועות'!$N$9:$N$1499),0)</f>
        <v>0</v>
      </c>
      <c r="C197" s="184"/>
      <c r="D197" s="185"/>
      <c r="E197" s="190"/>
      <c r="F197" s="184"/>
      <c r="G197" s="184"/>
      <c r="H197" s="184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</row>
    <row r="198" spans="1:19" hidden="1" outlineLevel="1">
      <c r="A198" s="189" t="str">
        <f>'רשימת הסעיפים'!J6</f>
        <v>תחזוקת רכב</v>
      </c>
      <c r="B198" s="193">
        <f>IF(A198&lt;&gt;0,SUMIF('שלב ב - סיווג תנועות'!$H$9:$H$1499,A198,'שלב ב - סיווג תנועות'!$N$9:$N$1499),0)</f>
        <v>0</v>
      </c>
      <c r="C198" s="184"/>
      <c r="D198" s="185"/>
      <c r="E198" s="190"/>
      <c r="F198" s="184"/>
      <c r="G198" s="184"/>
      <c r="H198" s="184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</row>
    <row r="199" spans="1:19" hidden="1" outlineLevel="1">
      <c r="A199" s="189" t="str">
        <f>'רשימת הסעיפים'!J7</f>
        <v>תחבורה ציבורית</v>
      </c>
      <c r="B199" s="193">
        <f>IF(A199&lt;&gt;0,SUMIF('שלב ב - סיווג תנועות'!$H$9:$H$1499,A199,'שלב ב - סיווג תנועות'!$N$9:$N$1499),0)</f>
        <v>0</v>
      </c>
      <c r="C199" s="184"/>
      <c r="D199" s="185"/>
      <c r="E199" s="190"/>
      <c r="F199" s="184"/>
      <c r="G199" s="184"/>
      <c r="H199" s="184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</row>
    <row r="200" spans="1:19" hidden="1" outlineLevel="1">
      <c r="A200" s="189" t="str">
        <f>'רשימת הסעיפים'!J8</f>
        <v>רישוי רכב</v>
      </c>
      <c r="B200" s="193">
        <f>IF(A200&lt;&gt;0,SUMIF('שלב ב - סיווג תנועות'!$H$9:$H$1499,A200,'שלב ב - סיווג תנועות'!$N$9:$N$1499),0)</f>
        <v>0</v>
      </c>
      <c r="C200" s="184"/>
      <c r="D200" s="185"/>
      <c r="E200" s="190"/>
      <c r="F200" s="184"/>
      <c r="G200" s="184"/>
      <c r="H200" s="184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</row>
    <row r="201" spans="1:19" hidden="1" outlineLevel="1">
      <c r="A201" s="189" t="str">
        <f>'רשימת הסעיפים'!J9</f>
        <v>תחבורה שיתופית</v>
      </c>
      <c r="B201" s="193">
        <f>IF(A201&lt;&gt;0,SUMIF('שלב ב - סיווג תנועות'!$H$9:$H$1499,A201,'שלב ב - סיווג תנועות'!$N$9:$N$1499),0)</f>
        <v>0</v>
      </c>
      <c r="C201" s="184"/>
      <c r="D201" s="185"/>
      <c r="E201" s="190"/>
      <c r="F201" s="184"/>
      <c r="G201" s="184"/>
      <c r="H201" s="184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</row>
    <row r="202" spans="1:19" hidden="1" outlineLevel="1">
      <c r="A202" s="189" t="str">
        <f>'רשימת הסעיפים'!J10</f>
        <v>ליסינג</v>
      </c>
      <c r="B202" s="193">
        <f>IF(A202&lt;&gt;0,SUMIF('שלב ב - סיווג תנועות'!$H$9:$H$1499,A202,'שלב ב - סיווג תנועות'!$N$9:$N$1499),0)</f>
        <v>0</v>
      </c>
      <c r="C202" s="184"/>
      <c r="D202" s="185"/>
      <c r="E202" s="190"/>
      <c r="F202" s="184"/>
      <c r="G202" s="184"/>
      <c r="H202" s="184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</row>
    <row r="203" spans="1:19" hidden="1" outlineLevel="1">
      <c r="A203" s="189" t="str">
        <f>'רשימת הסעיפים'!J11</f>
        <v>תחבורה - כללי</v>
      </c>
      <c r="B203" s="193">
        <f>IF(A203&lt;&gt;0,SUMIF('שלב ב - סיווג תנועות'!$H$9:$H$1499,A203,'שלב ב - סיווג תנועות'!$N$9:$N$1499),0)</f>
        <v>0</v>
      </c>
      <c r="C203" s="184"/>
      <c r="D203" s="185"/>
      <c r="E203" s="190"/>
      <c r="F203" s="184"/>
      <c r="G203" s="184"/>
      <c r="H203" s="184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</row>
    <row r="204" spans="1:19" hidden="1" outlineLevel="1">
      <c r="A204" s="189">
        <f>'רשימת הסעיפים'!J12</f>
        <v>0</v>
      </c>
      <c r="B204" s="193">
        <f>IF(A204&lt;&gt;0,SUMIF('שלב ב - סיווג תנועות'!$H$9:$H$1499,A204,'שלב ב - סיווג תנועות'!$N$9:$N$1499),0)</f>
        <v>0</v>
      </c>
      <c r="C204" s="184"/>
      <c r="D204" s="185"/>
      <c r="E204" s="190"/>
      <c r="F204" s="184"/>
      <c r="G204" s="184"/>
      <c r="H204" s="184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</row>
    <row r="205" spans="1:19" hidden="1" outlineLevel="1">
      <c r="A205" s="189">
        <f>'רשימת הסעיפים'!J13</f>
        <v>0</v>
      </c>
      <c r="B205" s="193">
        <f>IF(A205&lt;&gt;0,SUMIF('שלב ב - סיווג תנועות'!$H$9:$H$1499,A205,'שלב ב - סיווג תנועות'!$N$9:$N$1499),0)</f>
        <v>0</v>
      </c>
      <c r="C205" s="184"/>
      <c r="D205" s="185"/>
      <c r="E205" s="190"/>
      <c r="F205" s="184"/>
      <c r="G205" s="184"/>
      <c r="H205" s="184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</row>
    <row r="206" spans="1:19" hidden="1" outlineLevel="1">
      <c r="A206" s="189">
        <f>'רשימת הסעיפים'!J14</f>
        <v>0</v>
      </c>
      <c r="B206" s="193">
        <f>IF(A206&lt;&gt;0,SUMIF('שלב ב - סיווג תנועות'!$H$9:$H$1499,A206,'שלב ב - סיווג תנועות'!$N$9:$N$1499),0)</f>
        <v>0</v>
      </c>
      <c r="C206" s="184"/>
      <c r="D206" s="185"/>
      <c r="E206" s="190"/>
      <c r="F206" s="184"/>
      <c r="G206" s="184"/>
      <c r="H206" s="184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</row>
    <row r="207" spans="1:19" hidden="1" outlineLevel="1">
      <c r="A207" s="189">
        <f>'רשימת הסעיפים'!J15</f>
        <v>0</v>
      </c>
      <c r="B207" s="193">
        <f>IF(A207&lt;&gt;0,SUMIF('שלב ב - סיווג תנועות'!$H$9:$H$1499,A207,'שלב ב - סיווג תנועות'!$N$9:$N$1499),0)</f>
        <v>0</v>
      </c>
      <c r="C207" s="184"/>
      <c r="D207" s="185"/>
      <c r="E207" s="190"/>
      <c r="F207" s="184"/>
      <c r="G207" s="184"/>
      <c r="H207" s="184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</row>
    <row r="208" spans="1:19" hidden="1" outlineLevel="1">
      <c r="A208" s="189">
        <f>'רשימת הסעיפים'!J16</f>
        <v>0</v>
      </c>
      <c r="B208" s="193">
        <f>IF(A208&lt;&gt;0,SUMIF('שלב ב - סיווג תנועות'!$H$9:$H$1499,A208,'שלב ב - סיווג תנועות'!$N$9:$N$1499),0)</f>
        <v>0</v>
      </c>
      <c r="C208" s="184"/>
      <c r="D208" s="185"/>
      <c r="E208" s="190"/>
      <c r="F208" s="184"/>
      <c r="G208" s="184"/>
      <c r="H208" s="184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</row>
    <row r="209" spans="1:19" hidden="1" outlineLevel="1">
      <c r="A209" s="189">
        <f>'רשימת הסעיפים'!J17</f>
        <v>0</v>
      </c>
      <c r="B209" s="193">
        <f>IF(A209&lt;&gt;0,SUMIF('שלב ב - סיווג תנועות'!$H$9:$H$1499,A209,'שלב ב - סיווג תנועות'!$N$9:$N$1499),0)</f>
        <v>0</v>
      </c>
      <c r="C209" s="184"/>
      <c r="D209" s="185"/>
      <c r="E209" s="190"/>
      <c r="F209" s="184"/>
      <c r="G209" s="184"/>
      <c r="H209" s="184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</row>
    <row r="210" spans="1:19" hidden="1" outlineLevel="1">
      <c r="A210" s="189">
        <f>'רשימת הסעיפים'!J18</f>
        <v>0</v>
      </c>
      <c r="B210" s="193">
        <f>IF(A210&lt;&gt;0,SUMIF('שלב ב - סיווג תנועות'!$H$9:$H$1499,A210,'שלב ב - סיווג תנועות'!$N$9:$N$1499),0)</f>
        <v>0</v>
      </c>
      <c r="C210" s="184"/>
      <c r="D210" s="185"/>
      <c r="E210" s="190"/>
      <c r="F210" s="184"/>
      <c r="G210" s="184"/>
      <c r="H210" s="184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</row>
    <row r="211" spans="1:19" hidden="1" outlineLevel="1">
      <c r="A211" s="189">
        <f>'רשימת הסעיפים'!J19</f>
        <v>0</v>
      </c>
      <c r="B211" s="193">
        <f>IF(A211&lt;&gt;0,SUMIF('שלב ב - סיווג תנועות'!$H$9:$H$1499,A211,'שלב ב - סיווג תנועות'!$N$9:$N$1499),0)</f>
        <v>0</v>
      </c>
      <c r="C211" s="184"/>
      <c r="D211" s="185"/>
      <c r="E211" s="190"/>
      <c r="F211" s="184"/>
      <c r="G211" s="184"/>
      <c r="H211" s="184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</row>
    <row r="212" spans="1:19" hidden="1" outlineLevel="1">
      <c r="A212" s="189">
        <f>'רשימת הסעיפים'!J20</f>
        <v>0</v>
      </c>
      <c r="B212" s="193">
        <f>IF(A212&lt;&gt;0,SUMIF('שלב ב - סיווג תנועות'!$H$9:$H$1499,A212,'שלב ב - סיווג תנועות'!$N$9:$N$1499),0)</f>
        <v>0</v>
      </c>
      <c r="C212" s="184"/>
      <c r="D212" s="185"/>
      <c r="E212" s="190"/>
      <c r="F212" s="184"/>
      <c r="G212" s="184"/>
      <c r="H212" s="184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</row>
    <row r="213" spans="1:19" hidden="1" outlineLevel="1">
      <c r="A213" s="189">
        <f>'רשימת הסעיפים'!J21</f>
        <v>0</v>
      </c>
      <c r="B213" s="193">
        <f>IF(A213&lt;&gt;0,SUMIF('שלב ב - סיווג תנועות'!$H$9:$H$1499,A213,'שלב ב - סיווג תנועות'!$N$9:$N$1499),0)</f>
        <v>0</v>
      </c>
      <c r="C213" s="184"/>
      <c r="D213" s="185"/>
      <c r="E213" s="190"/>
      <c r="F213" s="184"/>
      <c r="G213" s="184"/>
      <c r="H213" s="184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</row>
    <row r="214" spans="1:19" collapsed="1">
      <c r="A214" s="186" t="str">
        <f>'רשימת הסעיפים'!K1</f>
        <v>משפחה</v>
      </c>
      <c r="B214" s="187">
        <f>SUM(B215:B234)</f>
        <v>0</v>
      </c>
      <c r="C214" s="184"/>
      <c r="D214" s="185"/>
      <c r="E214" s="190"/>
      <c r="F214" s="184"/>
      <c r="G214" s="184"/>
      <c r="H214" s="184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</row>
    <row r="215" spans="1:19" hidden="1" outlineLevel="1">
      <c r="A215" s="189" t="str">
        <f>'רשימת הסעיפים'!K2</f>
        <v>ארועי שמחות במשפחה</v>
      </c>
      <c r="B215" s="193">
        <f>IF(A215&lt;&gt;0,SUMIF('שלב ב - סיווג תנועות'!$H$9:$H$1499,A215,'שלב ב - סיווג תנועות'!$N$9:$N$1499),0)</f>
        <v>0</v>
      </c>
      <c r="C215" s="184"/>
      <c r="D215" s="185"/>
      <c r="E215" s="190"/>
      <c r="F215" s="184"/>
      <c r="G215" s="184"/>
      <c r="H215" s="184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</row>
    <row r="216" spans="1:19" hidden="1" outlineLevel="1">
      <c r="A216" s="189" t="str">
        <f>'רשימת הסעיפים'!K3</f>
        <v>דמי כיס</v>
      </c>
      <c r="B216" s="193">
        <f>IF(A216&lt;&gt;0,SUMIF('שלב ב - סיווג תנועות'!$H$9:$H$1499,A216,'שלב ב - סיווג תנועות'!$N$9:$N$1499),0)</f>
        <v>0</v>
      </c>
      <c r="C216" s="184"/>
      <c r="D216" s="185"/>
      <c r="E216" s="190"/>
      <c r="F216" s="184"/>
      <c r="G216" s="184"/>
      <c r="H216" s="184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</row>
    <row r="217" spans="1:19" hidden="1" outlineLevel="1">
      <c r="A217" s="189" t="str">
        <f>'רשימת הסעיפים'!K4</f>
        <v>עזרה למשפחה</v>
      </c>
      <c r="B217" s="193">
        <f>IF(A217&lt;&gt;0,SUMIF('שלב ב - סיווג תנועות'!$H$9:$H$1499,A217,'שלב ב - סיווג תנועות'!$N$9:$N$1499),0)</f>
        <v>0</v>
      </c>
      <c r="C217" s="184"/>
      <c r="D217" s="185"/>
      <c r="E217" s="190"/>
      <c r="F217" s="184"/>
      <c r="G217" s="184"/>
      <c r="H217" s="184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</row>
    <row r="218" spans="1:19" hidden="1" outlineLevel="1">
      <c r="A218" s="189" t="str">
        <f>'רשימת הסעיפים'!K5</f>
        <v>תשלום מזונות</v>
      </c>
      <c r="B218" s="193">
        <f>IF(A218&lt;&gt;0,SUMIF('שלב ב - סיווג תנועות'!$H$9:$H$1499,A218,'שלב ב - סיווג תנועות'!$N$9:$N$1499),0)</f>
        <v>0</v>
      </c>
      <c r="C218" s="184"/>
      <c r="D218" s="185"/>
      <c r="E218" s="190"/>
      <c r="F218" s="184"/>
      <c r="G218" s="184"/>
      <c r="H218" s="184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</row>
    <row r="219" spans="1:19" hidden="1" outlineLevel="1">
      <c r="A219" s="189" t="str">
        <f>'רשימת הסעיפים'!K6</f>
        <v>משפחה - כללי</v>
      </c>
      <c r="B219" s="193">
        <f>IF(A219&lt;&gt;0,SUMIF('שלב ב - סיווג תנועות'!$H$9:$H$1499,A219,'שלב ב - סיווג תנועות'!$N$9:$N$1499),0)</f>
        <v>0</v>
      </c>
      <c r="C219" s="184"/>
      <c r="D219" s="185"/>
      <c r="E219" s="190"/>
      <c r="F219" s="184"/>
      <c r="G219" s="184"/>
      <c r="H219" s="184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</row>
    <row r="220" spans="1:19" hidden="1" outlineLevel="1">
      <c r="A220" s="189">
        <f>'רשימת הסעיפים'!K7</f>
        <v>0</v>
      </c>
      <c r="B220" s="193">
        <f>IF(A220&lt;&gt;0,SUMIF('שלב ב - סיווג תנועות'!$H$9:$H$1499,A220,'שלב ב - סיווג תנועות'!$N$9:$N$1499),0)</f>
        <v>0</v>
      </c>
      <c r="C220" s="184"/>
      <c r="D220" s="185"/>
      <c r="E220" s="190"/>
      <c r="F220" s="184"/>
      <c r="G220" s="184"/>
      <c r="H220" s="184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</row>
    <row r="221" spans="1:19" hidden="1" outlineLevel="1">
      <c r="A221" s="189">
        <f>'רשימת הסעיפים'!K8</f>
        <v>0</v>
      </c>
      <c r="B221" s="193">
        <f>IF(A221&lt;&gt;0,SUMIF('שלב ב - סיווג תנועות'!$H$9:$H$1499,A221,'שלב ב - סיווג תנועות'!$N$9:$N$1499),0)</f>
        <v>0</v>
      </c>
      <c r="C221" s="184"/>
      <c r="D221" s="185"/>
      <c r="E221" s="190"/>
      <c r="F221" s="184"/>
      <c r="G221" s="184"/>
      <c r="H221" s="184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</row>
    <row r="222" spans="1:19" hidden="1" outlineLevel="1">
      <c r="A222" s="189">
        <f>'רשימת הסעיפים'!K9</f>
        <v>0</v>
      </c>
      <c r="B222" s="193">
        <f>IF(A222&lt;&gt;0,SUMIF('שלב ב - סיווג תנועות'!$H$9:$H$1499,A222,'שלב ב - סיווג תנועות'!$N$9:$N$1499),0)</f>
        <v>0</v>
      </c>
      <c r="C222" s="184"/>
      <c r="D222" s="185"/>
      <c r="E222" s="190"/>
      <c r="F222" s="184"/>
      <c r="G222" s="184"/>
      <c r="H222" s="184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</row>
    <row r="223" spans="1:19" hidden="1" outlineLevel="1">
      <c r="A223" s="189">
        <f>'רשימת הסעיפים'!K10</f>
        <v>0</v>
      </c>
      <c r="B223" s="193">
        <f>IF(A223&lt;&gt;0,SUMIF('שלב ב - סיווג תנועות'!$H$9:$H$1499,A223,'שלב ב - סיווג תנועות'!$N$9:$N$1499),0)</f>
        <v>0</v>
      </c>
      <c r="C223" s="184"/>
      <c r="D223" s="185"/>
      <c r="E223" s="190"/>
      <c r="F223" s="184"/>
      <c r="G223" s="184"/>
      <c r="H223" s="184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</row>
    <row r="224" spans="1:19" hidden="1" outlineLevel="1">
      <c r="A224" s="189">
        <f>'רשימת הסעיפים'!K11</f>
        <v>0</v>
      </c>
      <c r="B224" s="193">
        <f>IF(A224&lt;&gt;0,SUMIF('שלב ב - סיווג תנועות'!$H$9:$H$1499,A224,'שלב ב - סיווג תנועות'!$N$9:$N$1499),0)</f>
        <v>0</v>
      </c>
      <c r="C224" s="184"/>
      <c r="D224" s="185"/>
      <c r="E224" s="190"/>
      <c r="F224" s="184"/>
      <c r="G224" s="184"/>
      <c r="H224" s="184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</row>
    <row r="225" spans="1:19" hidden="1" outlineLevel="1">
      <c r="A225" s="189">
        <f>'רשימת הסעיפים'!K12</f>
        <v>0</v>
      </c>
      <c r="B225" s="193">
        <f>IF(A225&lt;&gt;0,SUMIF('שלב ב - סיווג תנועות'!$H$9:$H$1499,A225,'שלב ב - סיווג תנועות'!$N$9:$N$1499),0)</f>
        <v>0</v>
      </c>
      <c r="C225" s="184"/>
      <c r="D225" s="185"/>
      <c r="E225" s="190"/>
      <c r="F225" s="184"/>
      <c r="G225" s="184"/>
      <c r="H225" s="184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</row>
    <row r="226" spans="1:19" hidden="1" outlineLevel="1">
      <c r="A226" s="189">
        <f>'רשימת הסעיפים'!K13</f>
        <v>0</v>
      </c>
      <c r="B226" s="193">
        <f>IF(A226&lt;&gt;0,SUMIF('שלב ב - סיווג תנועות'!$H$9:$H$1499,A226,'שלב ב - סיווג תנועות'!$N$9:$N$1499),0)</f>
        <v>0</v>
      </c>
      <c r="C226" s="184"/>
      <c r="D226" s="185"/>
      <c r="E226" s="190"/>
      <c r="F226" s="184"/>
      <c r="G226" s="184"/>
      <c r="H226" s="184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</row>
    <row r="227" spans="1:19" hidden="1" outlineLevel="1">
      <c r="A227" s="189">
        <f>'רשימת הסעיפים'!K14</f>
        <v>0</v>
      </c>
      <c r="B227" s="193">
        <f>IF(A227&lt;&gt;0,SUMIF('שלב ב - סיווג תנועות'!$H$9:$H$1499,A227,'שלב ב - סיווג תנועות'!$N$9:$N$1499),0)</f>
        <v>0</v>
      </c>
      <c r="C227" s="184"/>
      <c r="D227" s="185"/>
      <c r="E227" s="190"/>
      <c r="F227" s="184"/>
      <c r="G227" s="184"/>
      <c r="H227" s="184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</row>
    <row r="228" spans="1:19" hidden="1" outlineLevel="1">
      <c r="A228" s="189">
        <f>'רשימת הסעיפים'!K15</f>
        <v>0</v>
      </c>
      <c r="B228" s="193">
        <f>IF(A228&lt;&gt;0,SUMIF('שלב ב - סיווג תנועות'!$H$9:$H$1499,A228,'שלב ב - סיווג תנועות'!$N$9:$N$1499),0)</f>
        <v>0</v>
      </c>
      <c r="C228" s="184"/>
      <c r="D228" s="185"/>
      <c r="E228" s="190"/>
      <c r="F228" s="184"/>
      <c r="G228" s="184"/>
      <c r="H228" s="184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</row>
    <row r="229" spans="1:19" hidden="1" outlineLevel="1">
      <c r="A229" s="189">
        <f>'רשימת הסעיפים'!K16</f>
        <v>0</v>
      </c>
      <c r="B229" s="193">
        <f>IF(A229&lt;&gt;0,SUMIF('שלב ב - סיווג תנועות'!$H$9:$H$1499,A229,'שלב ב - סיווג תנועות'!$N$9:$N$1499),0)</f>
        <v>0</v>
      </c>
      <c r="C229" s="184"/>
      <c r="D229" s="185"/>
      <c r="E229" s="190"/>
      <c r="F229" s="184"/>
      <c r="G229" s="184"/>
      <c r="H229" s="184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</row>
    <row r="230" spans="1:19" hidden="1" outlineLevel="1">
      <c r="A230" s="189">
        <f>'רשימת הסעיפים'!K17</f>
        <v>0</v>
      </c>
      <c r="B230" s="193">
        <f>IF(A230&lt;&gt;0,SUMIF('שלב ב - סיווג תנועות'!$H$9:$H$1499,A230,'שלב ב - סיווג תנועות'!$N$9:$N$1499),0)</f>
        <v>0</v>
      </c>
      <c r="C230" s="184"/>
      <c r="D230" s="185"/>
      <c r="E230" s="190"/>
      <c r="F230" s="184"/>
      <c r="G230" s="184"/>
      <c r="H230" s="184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</row>
    <row r="231" spans="1:19" hidden="1" outlineLevel="1">
      <c r="A231" s="189">
        <f>'רשימת הסעיפים'!K18</f>
        <v>0</v>
      </c>
      <c r="B231" s="193">
        <f>IF(A231&lt;&gt;0,SUMIF('שלב ב - סיווג תנועות'!$H$9:$H$1499,A231,'שלב ב - סיווג תנועות'!$N$9:$N$1499),0)</f>
        <v>0</v>
      </c>
      <c r="C231" s="184"/>
      <c r="D231" s="185"/>
      <c r="E231" s="190"/>
      <c r="F231" s="184"/>
      <c r="G231" s="184"/>
      <c r="H231" s="184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</row>
    <row r="232" spans="1:19" hidden="1" outlineLevel="1">
      <c r="A232" s="189">
        <f>'רשימת הסעיפים'!K19</f>
        <v>0</v>
      </c>
      <c r="B232" s="193">
        <f>IF(A232&lt;&gt;0,SUMIF('שלב ב - סיווג תנועות'!$H$9:$H$1499,A232,'שלב ב - סיווג תנועות'!$N$9:$N$1499),0)</f>
        <v>0</v>
      </c>
      <c r="C232" s="184"/>
      <c r="D232" s="185"/>
      <c r="E232" s="190"/>
      <c r="F232" s="184"/>
      <c r="G232" s="184"/>
      <c r="H232" s="184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</row>
    <row r="233" spans="1:19" hidden="1" outlineLevel="1">
      <c r="A233" s="189">
        <f>'רשימת הסעיפים'!K20</f>
        <v>0</v>
      </c>
      <c r="B233" s="193">
        <f>IF(A233&lt;&gt;0,SUMIF('שלב ב - סיווג תנועות'!$H$9:$H$1499,A233,'שלב ב - סיווג תנועות'!$N$9:$N$1499),0)</f>
        <v>0</v>
      </c>
      <c r="C233" s="184"/>
      <c r="D233" s="185"/>
      <c r="E233" s="190"/>
      <c r="F233" s="184"/>
      <c r="G233" s="184"/>
      <c r="H233" s="184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</row>
    <row r="234" spans="1:19" hidden="1" outlineLevel="1">
      <c r="A234" s="189">
        <f>'רשימת הסעיפים'!K21</f>
        <v>0</v>
      </c>
      <c r="B234" s="193">
        <f>IF(A234&lt;&gt;0,SUMIF('שלב ב - סיווג תנועות'!$H$9:$H$1499,A234,'שלב ב - סיווג תנועות'!$N$9:$N$1499),0)</f>
        <v>0</v>
      </c>
      <c r="C234" s="184"/>
      <c r="D234" s="185"/>
      <c r="E234" s="190"/>
      <c r="F234" s="184"/>
      <c r="G234" s="184"/>
      <c r="H234" s="184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</row>
    <row r="235" spans="1:19" collapsed="1">
      <c r="A235" s="186" t="str">
        <f>'רשימת הסעיפים'!L1</f>
        <v>תקשורת</v>
      </c>
      <c r="B235" s="187">
        <f>SUM(B236:B255)</f>
        <v>0</v>
      </c>
      <c r="C235" s="184"/>
      <c r="D235" s="185"/>
      <c r="E235" s="190"/>
      <c r="F235" s="184"/>
      <c r="G235" s="184"/>
      <c r="H235" s="184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</row>
    <row r="236" spans="1:19" hidden="1" outlineLevel="1">
      <c r="A236" s="189" t="str">
        <f>'רשימת הסעיפים'!L2</f>
        <v>טלפון נייד ונייח</v>
      </c>
      <c r="B236" s="193">
        <f>IF(A236&lt;&gt;0,SUMIF('שלב ב - סיווג תנועות'!$H$9:$H$1499,A236,'שלב ב - סיווג תנועות'!$N$9:$N$1499),0)</f>
        <v>0</v>
      </c>
      <c r="C236" s="184"/>
      <c r="D236" s="185"/>
      <c r="E236" s="190"/>
      <c r="F236" s="184"/>
      <c r="G236" s="184"/>
      <c r="H236" s="184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</row>
    <row r="237" spans="1:19" hidden="1" outlineLevel="1">
      <c r="A237" s="189" t="str">
        <f>'רשימת הסעיפים'!L3</f>
        <v>טלויזיה ואינטרנט (ספק ותשתית)</v>
      </c>
      <c r="B237" s="193">
        <f>IF(A237&lt;&gt;0,SUMIF('שלב ב - סיווג תנועות'!$H$9:$H$1499,A237,'שלב ב - סיווג תנועות'!$N$9:$N$1499),0)</f>
        <v>0</v>
      </c>
      <c r="C237" s="184"/>
      <c r="D237" s="185"/>
      <c r="E237" s="190"/>
      <c r="F237" s="184"/>
      <c r="G237" s="184"/>
      <c r="H237" s="184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</row>
    <row r="238" spans="1:19" hidden="1" outlineLevel="1">
      <c r="A238" s="189" t="str">
        <f>'רשימת הסעיפים'!L4</f>
        <v>שירותי תוכן</v>
      </c>
      <c r="B238" s="193">
        <f>IF(A238&lt;&gt;0,SUMIF('שלב ב - סיווג תנועות'!$H$9:$H$1499,A238,'שלב ב - סיווג תנועות'!$N$9:$N$1499),0)</f>
        <v>0</v>
      </c>
      <c r="C238" s="184"/>
      <c r="D238" s="185"/>
      <c r="E238" s="190"/>
      <c r="F238" s="184"/>
      <c r="G238" s="184"/>
      <c r="H238" s="184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</row>
    <row r="239" spans="1:19" hidden="1" outlineLevel="1">
      <c r="A239" s="189" t="str">
        <f>'רשימת הסעיפים'!L5</f>
        <v>תקשורת - כללי</v>
      </c>
      <c r="B239" s="193">
        <f>IF(A239&lt;&gt;0,SUMIF('שלב ב - סיווג תנועות'!$H$9:$H$1499,A239,'שלב ב - סיווג תנועות'!$N$9:$N$1499),0)</f>
        <v>0</v>
      </c>
      <c r="C239" s="184"/>
      <c r="D239" s="185"/>
      <c r="E239" s="190"/>
      <c r="F239" s="184"/>
      <c r="G239" s="184"/>
      <c r="H239" s="184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</row>
    <row r="240" spans="1:19" hidden="1" outlineLevel="1">
      <c r="A240" s="189">
        <f>'רשימת הסעיפים'!L6</f>
        <v>0</v>
      </c>
      <c r="B240" s="193">
        <f>IF(A240&lt;&gt;0,SUMIF('שלב ב - סיווג תנועות'!$H$9:$H$1499,A240,'שלב ב - סיווג תנועות'!$N$9:$N$1499),0)</f>
        <v>0</v>
      </c>
      <c r="C240" s="184"/>
      <c r="D240" s="185"/>
      <c r="E240" s="190"/>
      <c r="F240" s="184"/>
      <c r="G240" s="184"/>
      <c r="H240" s="184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</row>
    <row r="241" spans="1:19" hidden="1" outlineLevel="1">
      <c r="A241" s="189">
        <f>'רשימת הסעיפים'!L7</f>
        <v>0</v>
      </c>
      <c r="B241" s="193">
        <f>IF(A241&lt;&gt;0,SUMIF('שלב ב - סיווג תנועות'!$H$9:$H$1499,A241,'שלב ב - סיווג תנועות'!$N$9:$N$1499),0)</f>
        <v>0</v>
      </c>
      <c r="C241" s="184"/>
      <c r="D241" s="185"/>
      <c r="E241" s="190"/>
      <c r="F241" s="184"/>
      <c r="G241" s="184"/>
      <c r="H241" s="184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</row>
    <row r="242" spans="1:19" hidden="1" outlineLevel="1">
      <c r="A242" s="189">
        <f>'רשימת הסעיפים'!L8</f>
        <v>0</v>
      </c>
      <c r="B242" s="193">
        <f>IF(A242&lt;&gt;0,SUMIF('שלב ב - סיווג תנועות'!$H$9:$H$1499,A242,'שלב ב - סיווג תנועות'!$N$9:$N$1499),0)</f>
        <v>0</v>
      </c>
      <c r="C242" s="184"/>
      <c r="D242" s="185"/>
      <c r="E242" s="190"/>
      <c r="F242" s="184"/>
      <c r="G242" s="184"/>
      <c r="H242" s="184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</row>
    <row r="243" spans="1:19" hidden="1" outlineLevel="1">
      <c r="A243" s="189">
        <f>'רשימת הסעיפים'!L9</f>
        <v>0</v>
      </c>
      <c r="B243" s="193">
        <f>IF(A243&lt;&gt;0,SUMIF('שלב ב - סיווג תנועות'!$H$9:$H$1499,A243,'שלב ב - סיווג תנועות'!$N$9:$N$1499),0)</f>
        <v>0</v>
      </c>
      <c r="C243" s="184"/>
      <c r="D243" s="185"/>
      <c r="E243" s="190"/>
      <c r="F243" s="184"/>
      <c r="G243" s="184"/>
      <c r="H243" s="184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</row>
    <row r="244" spans="1:19" hidden="1" outlineLevel="1">
      <c r="A244" s="189">
        <f>'רשימת הסעיפים'!L10</f>
        <v>0</v>
      </c>
      <c r="B244" s="193">
        <f>IF(A244&lt;&gt;0,SUMIF('שלב ב - סיווג תנועות'!$H$9:$H$1499,A244,'שלב ב - סיווג תנועות'!$N$9:$N$1499),0)</f>
        <v>0</v>
      </c>
      <c r="C244" s="184"/>
      <c r="D244" s="185"/>
      <c r="E244" s="190"/>
      <c r="F244" s="184"/>
      <c r="G244" s="184"/>
      <c r="H244" s="184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</row>
    <row r="245" spans="1:19" hidden="1" outlineLevel="1">
      <c r="A245" s="189">
        <f>'רשימת הסעיפים'!L11</f>
        <v>0</v>
      </c>
      <c r="B245" s="193">
        <f>IF(A245&lt;&gt;0,SUMIF('שלב ב - סיווג תנועות'!$H$9:$H$1499,A245,'שלב ב - סיווג תנועות'!$N$9:$N$1499),0)</f>
        <v>0</v>
      </c>
      <c r="C245" s="184"/>
      <c r="D245" s="185"/>
      <c r="E245" s="190"/>
      <c r="F245" s="184"/>
      <c r="G245" s="184"/>
      <c r="H245" s="184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</row>
    <row r="246" spans="1:19" hidden="1" outlineLevel="1">
      <c r="A246" s="189">
        <f>'רשימת הסעיפים'!L12</f>
        <v>0</v>
      </c>
      <c r="B246" s="193">
        <f>IF(A246&lt;&gt;0,SUMIF('שלב ב - סיווג תנועות'!$H$9:$H$1499,A246,'שלב ב - סיווג תנועות'!$N$9:$N$1499),0)</f>
        <v>0</v>
      </c>
      <c r="C246" s="184"/>
      <c r="D246" s="185"/>
      <c r="E246" s="190"/>
      <c r="F246" s="184"/>
      <c r="G246" s="184"/>
      <c r="H246" s="184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</row>
    <row r="247" spans="1:19" hidden="1" outlineLevel="1">
      <c r="A247" s="189">
        <f>'רשימת הסעיפים'!L13</f>
        <v>0</v>
      </c>
      <c r="B247" s="193">
        <f>IF(A247&lt;&gt;0,SUMIF('שלב ב - סיווג תנועות'!$H$9:$H$1499,A247,'שלב ב - סיווג תנועות'!$N$9:$N$1499),0)</f>
        <v>0</v>
      </c>
      <c r="C247" s="184"/>
      <c r="D247" s="185"/>
      <c r="E247" s="190"/>
      <c r="F247" s="184"/>
      <c r="G247" s="184"/>
      <c r="H247" s="184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</row>
    <row r="248" spans="1:19" hidden="1" outlineLevel="1">
      <c r="A248" s="189">
        <f>'רשימת הסעיפים'!L14</f>
        <v>0</v>
      </c>
      <c r="B248" s="193">
        <f>IF(A248&lt;&gt;0,SUMIF('שלב ב - סיווג תנועות'!$H$9:$H$1499,A248,'שלב ב - סיווג תנועות'!$N$9:$N$1499),0)</f>
        <v>0</v>
      </c>
      <c r="C248" s="184"/>
      <c r="D248" s="185"/>
      <c r="E248" s="190"/>
      <c r="F248" s="184"/>
      <c r="G248" s="184"/>
      <c r="H248" s="184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</row>
    <row r="249" spans="1:19" hidden="1" outlineLevel="1">
      <c r="A249" s="189">
        <f>'רשימת הסעיפים'!L15</f>
        <v>0</v>
      </c>
      <c r="B249" s="193">
        <f>IF(A249&lt;&gt;0,SUMIF('שלב ב - סיווג תנועות'!$H$9:$H$1499,A249,'שלב ב - סיווג תנועות'!$N$9:$N$1499),0)</f>
        <v>0</v>
      </c>
      <c r="C249" s="184"/>
      <c r="D249" s="185"/>
      <c r="E249" s="190"/>
      <c r="F249" s="184"/>
      <c r="G249" s="184"/>
      <c r="H249" s="184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</row>
    <row r="250" spans="1:19" hidden="1" outlineLevel="1">
      <c r="A250" s="189">
        <f>'רשימת הסעיפים'!L16</f>
        <v>0</v>
      </c>
      <c r="B250" s="193">
        <f>IF(A250&lt;&gt;0,SUMIF('שלב ב - סיווג תנועות'!$H$9:$H$1499,A250,'שלב ב - סיווג תנועות'!$N$9:$N$1499),0)</f>
        <v>0</v>
      </c>
      <c r="C250" s="184"/>
      <c r="D250" s="185"/>
      <c r="E250" s="190"/>
      <c r="F250" s="184"/>
      <c r="G250" s="184"/>
      <c r="H250" s="184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</row>
    <row r="251" spans="1:19" hidden="1" outlineLevel="1">
      <c r="A251" s="189">
        <f>'רשימת הסעיפים'!L17</f>
        <v>0</v>
      </c>
      <c r="B251" s="193">
        <f>IF(A251&lt;&gt;0,SUMIF('שלב ב - סיווג תנועות'!$H$9:$H$1499,A251,'שלב ב - סיווג תנועות'!$N$9:$N$1499),0)</f>
        <v>0</v>
      </c>
      <c r="C251" s="184"/>
      <c r="D251" s="185"/>
      <c r="E251" s="190"/>
      <c r="F251" s="184"/>
      <c r="G251" s="184"/>
      <c r="H251" s="184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</row>
    <row r="252" spans="1:19" hidden="1" outlineLevel="1">
      <c r="A252" s="189">
        <f>'רשימת הסעיפים'!L18</f>
        <v>0</v>
      </c>
      <c r="B252" s="193">
        <f>IF(A252&lt;&gt;0,SUMIF('שלב ב - סיווג תנועות'!$H$9:$H$1499,A252,'שלב ב - סיווג תנועות'!$N$9:$N$1499),0)</f>
        <v>0</v>
      </c>
      <c r="C252" s="184"/>
      <c r="D252" s="185"/>
      <c r="E252" s="190"/>
      <c r="F252" s="184"/>
      <c r="G252" s="184"/>
      <c r="H252" s="184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</row>
    <row r="253" spans="1:19" hidden="1" outlineLevel="1">
      <c r="A253" s="189">
        <f>'רשימת הסעיפים'!L19</f>
        <v>0</v>
      </c>
      <c r="B253" s="193">
        <f>IF(A253&lt;&gt;0,SUMIF('שלב ב - סיווג תנועות'!$H$9:$H$1499,A253,'שלב ב - סיווג תנועות'!$N$9:$N$1499),0)</f>
        <v>0</v>
      </c>
      <c r="C253" s="184"/>
      <c r="D253" s="185"/>
      <c r="E253" s="190"/>
      <c r="F253" s="184"/>
      <c r="G253" s="184"/>
      <c r="H253" s="184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</row>
    <row r="254" spans="1:19" hidden="1" outlineLevel="1">
      <c r="A254" s="189">
        <f>'רשימת הסעיפים'!L20</f>
        <v>0</v>
      </c>
      <c r="B254" s="193">
        <f>IF(A254&lt;&gt;0,SUMIF('שלב ב - סיווג תנועות'!$H$9:$H$1499,A254,'שלב ב - סיווג תנועות'!$N$9:$N$1499),0)</f>
        <v>0</v>
      </c>
      <c r="C254" s="184"/>
      <c r="D254" s="185"/>
      <c r="E254" s="190"/>
      <c r="F254" s="184"/>
      <c r="G254" s="184"/>
      <c r="H254" s="184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</row>
    <row r="255" spans="1:19" hidden="1" outlineLevel="1">
      <c r="A255" s="189">
        <f>'רשימת הסעיפים'!L21</f>
        <v>0</v>
      </c>
      <c r="B255" s="193">
        <f>IF(A255&lt;&gt;0,SUMIF('שלב ב - סיווג תנועות'!$H$9:$H$1499,A255,'שלב ב - סיווג תנועות'!$N$9:$N$1499),0)</f>
        <v>0</v>
      </c>
      <c r="C255" s="184"/>
      <c r="D255" s="185"/>
      <c r="E255" s="190"/>
      <c r="F255" s="184"/>
      <c r="G255" s="184"/>
      <c r="H255" s="184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</row>
    <row r="256" spans="1:19" collapsed="1">
      <c r="A256" s="186" t="str">
        <f>'רשימת הסעיפים'!M1</f>
        <v>דיור</v>
      </c>
      <c r="B256" s="187">
        <f>SUM(B257:B276)</f>
        <v>0</v>
      </c>
      <c r="C256" s="184"/>
      <c r="D256" s="185"/>
      <c r="E256" s="190"/>
      <c r="F256" s="184"/>
      <c r="G256" s="184"/>
      <c r="H256" s="184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</row>
    <row r="257" spans="1:19" hidden="1" outlineLevel="1">
      <c r="A257" s="189" t="str">
        <f>'רשימת הסעיפים'!M2</f>
        <v>משכנתה</v>
      </c>
      <c r="B257" s="193">
        <f>IF(A257&lt;&gt;0,SUMIF('שלב ב - סיווג תנועות'!$H$9:$H$1499,A257,'שלב ב - סיווג תנועות'!$N$9:$N$1499),0)</f>
        <v>0</v>
      </c>
      <c r="C257" s="184"/>
      <c r="D257" s="185"/>
      <c r="E257" s="190"/>
      <c r="F257" s="184"/>
      <c r="G257" s="184"/>
      <c r="H257" s="184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</row>
    <row r="258" spans="1:19" hidden="1" outlineLevel="1">
      <c r="A258" s="189" t="str">
        <f>'רשימת הסעיפים'!M3</f>
        <v>שכר דירה</v>
      </c>
      <c r="B258" s="193">
        <f>IF(A258&lt;&gt;0,SUMIF('שלב ב - סיווג תנועות'!$H$9:$H$1499,A258,'שלב ב - סיווג תנועות'!$N$9:$N$1499),0)</f>
        <v>0</v>
      </c>
      <c r="C258" s="184"/>
      <c r="D258" s="185"/>
      <c r="E258" s="190"/>
      <c r="F258" s="184"/>
      <c r="G258" s="184"/>
      <c r="H258" s="184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</row>
    <row r="259" spans="1:19" hidden="1" outlineLevel="1">
      <c r="A259" s="189" t="str">
        <f>'רשימת הסעיפים'!M4</f>
        <v>מיסי ישוב / ועד בית</v>
      </c>
      <c r="B259" s="193">
        <f>IF(A259&lt;&gt;0,SUMIF('שלב ב - סיווג תנועות'!$H$9:$H$1499,A259,'שלב ב - סיווג תנועות'!$N$9:$N$1499),0)</f>
        <v>0</v>
      </c>
      <c r="C259" s="184"/>
      <c r="D259" s="185"/>
      <c r="E259" s="190"/>
      <c r="F259" s="184"/>
      <c r="G259" s="184"/>
      <c r="H259" s="184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</row>
    <row r="260" spans="1:19" hidden="1" outlineLevel="1">
      <c r="A260" s="189" t="str">
        <f>'רשימת הסעיפים'!M5</f>
        <v>ארנונה</v>
      </c>
      <c r="B260" s="193">
        <f>IF(A260&lt;&gt;0,SUMIF('שלב ב - סיווג תנועות'!$H$9:$H$1499,A260,'שלב ב - סיווג תנועות'!$N$9:$N$1499),0)</f>
        <v>0</v>
      </c>
      <c r="C260" s="184"/>
      <c r="D260" s="185"/>
      <c r="E260" s="190"/>
      <c r="F260" s="184"/>
      <c r="G260" s="184"/>
      <c r="H260" s="184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</row>
    <row r="261" spans="1:19" hidden="1" outlineLevel="1">
      <c r="A261" s="189" t="str">
        <f>'רשימת הסעיפים'!M6</f>
        <v>ביטוח נכס ותכולה</v>
      </c>
      <c r="B261" s="193">
        <f>IF(A261&lt;&gt;0,SUMIF('שלב ב - סיווג תנועות'!$H$9:$H$1499,A261,'שלב ב - סיווג תנועות'!$N$9:$N$1499),0)</f>
        <v>0</v>
      </c>
      <c r="C261" s="184"/>
      <c r="D261" s="185"/>
      <c r="E261" s="190"/>
      <c r="F261" s="184"/>
      <c r="G261" s="184"/>
      <c r="H261" s="184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</row>
    <row r="262" spans="1:19" hidden="1" outlineLevel="1">
      <c r="A262" s="189" t="str">
        <f>'רשימת הסעיפים'!M7</f>
        <v>דיור - כללי</v>
      </c>
      <c r="B262" s="193">
        <f>IF(A262&lt;&gt;0,SUMIF('שלב ב - סיווג תנועות'!$H$9:$H$1499,A262,'שלב ב - סיווג תנועות'!$N$9:$N$1499),0)</f>
        <v>0</v>
      </c>
      <c r="C262" s="184"/>
      <c r="D262" s="185"/>
      <c r="E262" s="190"/>
      <c r="F262" s="184"/>
      <c r="G262" s="184"/>
      <c r="H262" s="184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</row>
    <row r="263" spans="1:19" hidden="1" outlineLevel="1">
      <c r="A263" s="189">
        <f>'רשימת הסעיפים'!M8</f>
        <v>0</v>
      </c>
      <c r="B263" s="193">
        <f>IF(A263&lt;&gt;0,SUMIF('שלב ב - סיווג תנועות'!$H$9:$H$1499,A263,'שלב ב - סיווג תנועות'!$N$9:$N$1499),0)</f>
        <v>0</v>
      </c>
      <c r="C263" s="184"/>
      <c r="D263" s="185"/>
      <c r="E263" s="190"/>
      <c r="F263" s="184"/>
      <c r="G263" s="184"/>
      <c r="H263" s="184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</row>
    <row r="264" spans="1:19" hidden="1" outlineLevel="1">
      <c r="A264" s="189">
        <f>'רשימת הסעיפים'!M9</f>
        <v>0</v>
      </c>
      <c r="B264" s="193">
        <f>IF(A264&lt;&gt;0,SUMIF('שלב ב - סיווג תנועות'!$H$9:$H$1499,A264,'שלב ב - סיווג תנועות'!$N$9:$N$1499),0)</f>
        <v>0</v>
      </c>
      <c r="C264" s="184"/>
      <c r="D264" s="185"/>
      <c r="E264" s="190"/>
      <c r="F264" s="184"/>
      <c r="G264" s="184"/>
      <c r="H264" s="184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</row>
    <row r="265" spans="1:19" hidden="1" outlineLevel="1">
      <c r="A265" s="189">
        <f>'רשימת הסעיפים'!M10</f>
        <v>0</v>
      </c>
      <c r="B265" s="193">
        <f>IF(A265&lt;&gt;0,SUMIF('שלב ב - סיווג תנועות'!$H$9:$H$1499,A265,'שלב ב - סיווג תנועות'!$N$9:$N$1499),0)</f>
        <v>0</v>
      </c>
      <c r="C265" s="184"/>
      <c r="D265" s="185"/>
      <c r="E265" s="190"/>
      <c r="F265" s="184"/>
      <c r="G265" s="184"/>
      <c r="H265" s="184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</row>
    <row r="266" spans="1:19" hidden="1" outlineLevel="1">
      <c r="A266" s="189">
        <f>'רשימת הסעיפים'!M11</f>
        <v>0</v>
      </c>
      <c r="B266" s="193">
        <f>IF(A266&lt;&gt;0,SUMIF('שלב ב - סיווג תנועות'!$H$9:$H$1499,A266,'שלב ב - סיווג תנועות'!$N$9:$N$1499),0)</f>
        <v>0</v>
      </c>
      <c r="C266" s="184"/>
      <c r="D266" s="185"/>
      <c r="E266" s="190"/>
      <c r="F266" s="184"/>
      <c r="G266" s="184"/>
      <c r="H266" s="184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</row>
    <row r="267" spans="1:19" hidden="1" outlineLevel="1">
      <c r="A267" s="189">
        <f>'רשימת הסעיפים'!M12</f>
        <v>0</v>
      </c>
      <c r="B267" s="193">
        <f>IF(A267&lt;&gt;0,SUMIF('שלב ב - סיווג תנועות'!$H$9:$H$1499,A267,'שלב ב - סיווג תנועות'!$N$9:$N$1499),0)</f>
        <v>0</v>
      </c>
      <c r="C267" s="184"/>
      <c r="D267" s="185"/>
      <c r="E267" s="190"/>
      <c r="F267" s="184"/>
      <c r="G267" s="184"/>
      <c r="H267" s="184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</row>
    <row r="268" spans="1:19" hidden="1" outlineLevel="1">
      <c r="A268" s="189">
        <f>'רשימת הסעיפים'!M13</f>
        <v>0</v>
      </c>
      <c r="B268" s="193">
        <f>IF(A268&lt;&gt;0,SUMIF('שלב ב - סיווג תנועות'!$H$9:$H$1499,A268,'שלב ב - סיווג תנועות'!$N$9:$N$1499),0)</f>
        <v>0</v>
      </c>
      <c r="C268" s="184"/>
      <c r="D268" s="185"/>
      <c r="E268" s="190"/>
      <c r="F268" s="184"/>
      <c r="G268" s="184"/>
      <c r="H268" s="184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</row>
    <row r="269" spans="1:19" hidden="1" outlineLevel="1">
      <c r="A269" s="189">
        <f>'רשימת הסעיפים'!M14</f>
        <v>0</v>
      </c>
      <c r="B269" s="193">
        <f>IF(A269&lt;&gt;0,SUMIF('שלב ב - סיווג תנועות'!$H$9:$H$1499,A269,'שלב ב - סיווג תנועות'!$N$9:$N$1499),0)</f>
        <v>0</v>
      </c>
      <c r="C269" s="184"/>
      <c r="D269" s="185"/>
      <c r="E269" s="190"/>
      <c r="F269" s="184"/>
      <c r="G269" s="184"/>
      <c r="H269" s="184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</row>
    <row r="270" spans="1:19" hidden="1" outlineLevel="1">
      <c r="A270" s="189">
        <f>'רשימת הסעיפים'!M15</f>
        <v>0</v>
      </c>
      <c r="B270" s="193">
        <f>IF(A270&lt;&gt;0,SUMIF('שלב ב - סיווג תנועות'!$H$9:$H$1499,A270,'שלב ב - סיווג תנועות'!$N$9:$N$1499),0)</f>
        <v>0</v>
      </c>
      <c r="C270" s="184"/>
      <c r="D270" s="185"/>
      <c r="E270" s="190"/>
      <c r="F270" s="184"/>
      <c r="G270" s="184"/>
      <c r="H270" s="184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</row>
    <row r="271" spans="1:19" hidden="1" outlineLevel="1">
      <c r="A271" s="189">
        <f>'רשימת הסעיפים'!M16</f>
        <v>0</v>
      </c>
      <c r="B271" s="193">
        <f>IF(A271&lt;&gt;0,SUMIF('שלב ב - סיווג תנועות'!$H$9:$H$1499,A271,'שלב ב - סיווג תנועות'!$N$9:$N$1499),0)</f>
        <v>0</v>
      </c>
      <c r="C271" s="184"/>
      <c r="D271" s="185"/>
      <c r="E271" s="190"/>
      <c r="F271" s="184"/>
      <c r="G271" s="184"/>
      <c r="H271" s="184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</row>
    <row r="272" spans="1:19" hidden="1" outlineLevel="1">
      <c r="A272" s="189">
        <f>'רשימת הסעיפים'!M17</f>
        <v>0</v>
      </c>
      <c r="B272" s="193">
        <f>IF(A272&lt;&gt;0,SUMIF('שלב ב - סיווג תנועות'!$H$9:$H$1499,A272,'שלב ב - סיווג תנועות'!$N$9:$N$1499),0)</f>
        <v>0</v>
      </c>
      <c r="C272" s="184"/>
      <c r="D272" s="185"/>
      <c r="E272" s="190"/>
      <c r="F272" s="184"/>
      <c r="G272" s="184"/>
      <c r="H272" s="184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</row>
    <row r="273" spans="1:19" hidden="1" outlineLevel="1">
      <c r="A273" s="189">
        <f>'רשימת הסעיפים'!M18</f>
        <v>0</v>
      </c>
      <c r="B273" s="193">
        <f>IF(A273&lt;&gt;0,SUMIF('שלב ב - סיווג תנועות'!$H$9:$H$1499,A273,'שלב ב - סיווג תנועות'!$N$9:$N$1499),0)</f>
        <v>0</v>
      </c>
      <c r="C273" s="184"/>
      <c r="D273" s="185"/>
      <c r="E273" s="190"/>
      <c r="F273" s="184"/>
      <c r="G273" s="184"/>
      <c r="H273" s="184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</row>
    <row r="274" spans="1:19" hidden="1" outlineLevel="1">
      <c r="A274" s="189">
        <f>'רשימת הסעיפים'!M19</f>
        <v>0</v>
      </c>
      <c r="B274" s="193">
        <f>IF(A274&lt;&gt;0,SUMIF('שלב ב - סיווג תנועות'!$H$9:$H$1499,A274,'שלב ב - סיווג תנועות'!$N$9:$N$1499),0)</f>
        <v>0</v>
      </c>
      <c r="C274" s="184"/>
      <c r="D274" s="185"/>
      <c r="E274" s="190"/>
      <c r="F274" s="184"/>
      <c r="G274" s="184"/>
      <c r="H274" s="184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</row>
    <row r="275" spans="1:19" hidden="1" outlineLevel="1">
      <c r="A275" s="189">
        <f>'רשימת הסעיפים'!M20</f>
        <v>0</v>
      </c>
      <c r="B275" s="193">
        <f>IF(A275&lt;&gt;0,SUMIF('שלב ב - סיווג תנועות'!$H$9:$H$1499,A275,'שלב ב - סיווג תנועות'!$N$9:$N$1499),0)</f>
        <v>0</v>
      </c>
      <c r="C275" s="184"/>
      <c r="D275" s="185"/>
      <c r="E275" s="190"/>
      <c r="F275" s="184"/>
      <c r="G275" s="184"/>
      <c r="H275" s="184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</row>
    <row r="276" spans="1:19" hidden="1" outlineLevel="1">
      <c r="A276" s="189">
        <f>'רשימת הסעיפים'!M21</f>
        <v>0</v>
      </c>
      <c r="B276" s="193">
        <f>IF(A276&lt;&gt;0,SUMIF('שלב ב - סיווג תנועות'!$H$9:$H$1499,A276,'שלב ב - סיווג תנועות'!$N$9:$N$1499),0)</f>
        <v>0</v>
      </c>
      <c r="C276" s="184"/>
      <c r="D276" s="185"/>
      <c r="E276" s="190"/>
      <c r="F276" s="184"/>
      <c r="G276" s="184"/>
      <c r="H276" s="184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</row>
    <row r="277" spans="1:19" collapsed="1">
      <c r="A277" s="191" t="str">
        <f>'רשימת הסעיפים'!N1</f>
        <v>התחייבויות</v>
      </c>
      <c r="B277" s="187">
        <f>SUM(B278:B297)</f>
        <v>0</v>
      </c>
      <c r="C277" s="184"/>
      <c r="D277" s="185"/>
      <c r="E277" s="190"/>
      <c r="F277" s="184"/>
      <c r="G277" s="184"/>
      <c r="H277" s="184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</row>
    <row r="278" spans="1:19" hidden="1" outlineLevel="1">
      <c r="A278" s="189" t="str">
        <f>'רשימת הסעיפים'!N2</f>
        <v>החזר חובות חודשי (למעט משכנתה) - כללי</v>
      </c>
      <c r="B278" s="193">
        <f>IF(A278&lt;&gt;0,SUMIF('שלב ב - סיווג תנועות'!$H$9:$H$1499,A278,'שלב ב - סיווג תנועות'!$N$9:$N$1499),0)</f>
        <v>0</v>
      </c>
      <c r="C278" s="184"/>
      <c r="D278" s="185"/>
      <c r="E278" s="190"/>
      <c r="F278" s="184"/>
      <c r="G278" s="184"/>
      <c r="H278" s="184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</row>
    <row r="279" spans="1:19" hidden="1" outlineLevel="1">
      <c r="A279" s="189" t="str">
        <f>'רשימת הסעיפים'!N3</f>
        <v>ריביות משיכת יתר</v>
      </c>
      <c r="B279" s="193">
        <f>IF(A279&lt;&gt;0,SUMIF('שלב ב - סיווג תנועות'!$H$9:$H$1499,A279,'שלב ב - סיווג תנועות'!$N$9:$N$1499),0)</f>
        <v>0</v>
      </c>
      <c r="C279" s="184"/>
      <c r="D279" s="185"/>
      <c r="E279" s="190"/>
      <c r="F279" s="184"/>
      <c r="G279" s="184"/>
      <c r="H279" s="184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</row>
    <row r="280" spans="1:19" hidden="1" outlineLevel="1">
      <c r="A280" s="189">
        <f>'רשימת הסעיפים'!N4</f>
        <v>0</v>
      </c>
      <c r="B280" s="193">
        <f>IF(A280&lt;&gt;0,SUMIF('שלב ב - סיווג תנועות'!$H$9:$H$1499,A280,'שלב ב - סיווג תנועות'!$N$9:$N$1499),0)</f>
        <v>0</v>
      </c>
      <c r="C280" s="184"/>
      <c r="D280" s="185"/>
      <c r="E280" s="190"/>
      <c r="F280" s="184"/>
      <c r="G280" s="184"/>
      <c r="H280" s="184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</row>
    <row r="281" spans="1:19" hidden="1" outlineLevel="1">
      <c r="A281" s="189">
        <f>'רשימת הסעיפים'!N5</f>
        <v>0</v>
      </c>
      <c r="B281" s="193">
        <f>IF(A281&lt;&gt;0,SUMIF('שלב ב - סיווג תנועות'!$H$9:$H$1499,A281,'שלב ב - סיווג תנועות'!$N$9:$N$1499),0)</f>
        <v>0</v>
      </c>
      <c r="C281" s="184"/>
      <c r="D281" s="185"/>
      <c r="E281" s="190"/>
      <c r="F281" s="184"/>
      <c r="G281" s="184"/>
      <c r="H281" s="184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</row>
    <row r="282" spans="1:19" hidden="1" outlineLevel="1">
      <c r="A282" s="189">
        <f>'רשימת הסעיפים'!N6</f>
        <v>0</v>
      </c>
      <c r="B282" s="193">
        <f>IF(A282&lt;&gt;0,SUMIF('שלב ב - סיווג תנועות'!$H$9:$H$1499,A282,'שלב ב - סיווג תנועות'!$N$9:$N$1499),0)</f>
        <v>0</v>
      </c>
      <c r="C282" s="184"/>
      <c r="D282" s="185"/>
      <c r="E282" s="190"/>
      <c r="F282" s="184"/>
      <c r="G282" s="184"/>
      <c r="H282" s="184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</row>
    <row r="283" spans="1:19" hidden="1" outlineLevel="1">
      <c r="A283" s="189">
        <f>'רשימת הסעיפים'!N7</f>
        <v>0</v>
      </c>
      <c r="B283" s="193">
        <f>IF(A283&lt;&gt;0,SUMIF('שלב ב - סיווג תנועות'!$H$9:$H$1499,A283,'שלב ב - סיווג תנועות'!$N$9:$N$1499),0)</f>
        <v>0</v>
      </c>
      <c r="C283" s="184"/>
      <c r="D283" s="185"/>
      <c r="E283" s="190"/>
      <c r="F283" s="184"/>
      <c r="G283" s="184"/>
      <c r="H283" s="184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</row>
    <row r="284" spans="1:19" hidden="1" outlineLevel="1">
      <c r="A284" s="189">
        <f>'רשימת הסעיפים'!N8</f>
        <v>0</v>
      </c>
      <c r="B284" s="193">
        <f>IF(A284&lt;&gt;0,SUMIF('שלב ב - סיווג תנועות'!$H$9:$H$1499,A284,'שלב ב - סיווג תנועות'!$N$9:$N$1499),0)</f>
        <v>0</v>
      </c>
      <c r="C284" s="184"/>
      <c r="D284" s="185"/>
      <c r="E284" s="190"/>
      <c r="F284" s="184"/>
      <c r="G284" s="184"/>
      <c r="H284" s="184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</row>
    <row r="285" spans="1:19" hidden="1" outlineLevel="1">
      <c r="A285" s="189">
        <f>'רשימת הסעיפים'!N9</f>
        <v>0</v>
      </c>
      <c r="B285" s="193">
        <f>IF(A285&lt;&gt;0,SUMIF('שלב ב - סיווג תנועות'!$H$9:$H$1499,A285,'שלב ב - סיווג תנועות'!$N$9:$N$1499),0)</f>
        <v>0</v>
      </c>
      <c r="C285" s="184"/>
      <c r="D285" s="185"/>
      <c r="E285" s="190"/>
      <c r="F285" s="184"/>
      <c r="G285" s="184"/>
      <c r="H285" s="184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</row>
    <row r="286" spans="1:19" hidden="1" outlineLevel="1">
      <c r="A286" s="189">
        <f>'רשימת הסעיפים'!N10</f>
        <v>0</v>
      </c>
      <c r="B286" s="193">
        <f>IF(A286&lt;&gt;0,SUMIF('שלב ב - סיווג תנועות'!$H$9:$H$1499,A286,'שלב ב - סיווג תנועות'!$N$9:$N$1499),0)</f>
        <v>0</v>
      </c>
      <c r="C286" s="184"/>
      <c r="D286" s="185"/>
      <c r="E286" s="190"/>
      <c r="F286" s="184"/>
      <c r="G286" s="184"/>
      <c r="H286" s="184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</row>
    <row r="287" spans="1:19" hidden="1" outlineLevel="1">
      <c r="A287" s="189">
        <f>'רשימת הסעיפים'!N11</f>
        <v>0</v>
      </c>
      <c r="B287" s="193">
        <f>IF(A287&lt;&gt;0,SUMIF('שלב ב - סיווג תנועות'!$H$9:$H$1499,A287,'שלב ב - סיווג תנועות'!$N$9:$N$1499),0)</f>
        <v>0</v>
      </c>
      <c r="C287" s="184"/>
      <c r="D287" s="185"/>
      <c r="E287" s="190"/>
      <c r="F287" s="184"/>
      <c r="G287" s="184"/>
      <c r="H287" s="184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</row>
    <row r="288" spans="1:19" hidden="1" outlineLevel="1">
      <c r="A288" s="189">
        <f>'רשימת הסעיפים'!N12</f>
        <v>0</v>
      </c>
      <c r="B288" s="193">
        <f>IF(A288&lt;&gt;0,SUMIF('שלב ב - סיווג תנועות'!$H$9:$H$1499,A288,'שלב ב - סיווג תנועות'!$N$9:$N$1499),0)</f>
        <v>0</v>
      </c>
      <c r="C288" s="184"/>
      <c r="D288" s="185"/>
      <c r="E288" s="190"/>
      <c r="F288" s="184"/>
      <c r="G288" s="184"/>
      <c r="H288" s="184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</row>
    <row r="289" spans="1:19" hidden="1" outlineLevel="1">
      <c r="A289" s="189">
        <f>'רשימת הסעיפים'!N13</f>
        <v>0</v>
      </c>
      <c r="B289" s="193">
        <f>IF(A289&lt;&gt;0,SUMIF('שלב ב - סיווג תנועות'!$H$9:$H$1499,A289,'שלב ב - סיווג תנועות'!$N$9:$N$1499),0)</f>
        <v>0</v>
      </c>
      <c r="C289" s="184"/>
      <c r="D289" s="185"/>
      <c r="E289" s="190"/>
      <c r="F289" s="184"/>
      <c r="G289" s="184"/>
      <c r="H289" s="184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</row>
    <row r="290" spans="1:19" hidden="1" outlineLevel="1">
      <c r="A290" s="189">
        <f>'רשימת הסעיפים'!N14</f>
        <v>0</v>
      </c>
      <c r="B290" s="193">
        <f>IF(A290&lt;&gt;0,SUMIF('שלב ב - סיווג תנועות'!$H$9:$H$1499,A290,'שלב ב - סיווג תנועות'!$N$9:$N$1499),0)</f>
        <v>0</v>
      </c>
      <c r="C290" s="184"/>
      <c r="D290" s="185"/>
      <c r="E290" s="190"/>
      <c r="F290" s="184"/>
      <c r="G290" s="184"/>
      <c r="H290" s="184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</row>
    <row r="291" spans="1:19" hidden="1" outlineLevel="1">
      <c r="A291" s="189">
        <f>'רשימת הסעיפים'!N15</f>
        <v>0</v>
      </c>
      <c r="B291" s="193">
        <f>IF(A291&lt;&gt;0,SUMIF('שלב ב - סיווג תנועות'!$H$9:$H$1499,A291,'שלב ב - סיווג תנועות'!$N$9:$N$1499),0)</f>
        <v>0</v>
      </c>
      <c r="C291" s="184"/>
      <c r="D291" s="185"/>
      <c r="E291" s="190"/>
      <c r="F291" s="184"/>
      <c r="G291" s="184"/>
      <c r="H291" s="184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</row>
    <row r="292" spans="1:19" hidden="1" outlineLevel="1">
      <c r="A292" s="189">
        <f>'רשימת הסעיפים'!N16</f>
        <v>0</v>
      </c>
      <c r="B292" s="193">
        <f>IF(A292&lt;&gt;0,SUMIF('שלב ב - סיווג תנועות'!$H$9:$H$1499,A292,'שלב ב - סיווג תנועות'!$N$9:$N$1499),0)</f>
        <v>0</v>
      </c>
      <c r="C292" s="184"/>
      <c r="D292" s="185"/>
      <c r="E292" s="190"/>
      <c r="F292" s="184"/>
      <c r="G292" s="184"/>
      <c r="H292" s="184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</row>
    <row r="293" spans="1:19" hidden="1" outlineLevel="1">
      <c r="A293" s="189">
        <f>'רשימת הסעיפים'!N17</f>
        <v>0</v>
      </c>
      <c r="B293" s="193">
        <f>IF(A293&lt;&gt;0,SUMIF('שלב ב - סיווג תנועות'!$H$9:$H$1499,A293,'שלב ב - סיווג תנועות'!$N$9:$N$1499),0)</f>
        <v>0</v>
      </c>
      <c r="C293" s="184"/>
      <c r="D293" s="185"/>
      <c r="E293" s="190"/>
      <c r="F293" s="184"/>
      <c r="G293" s="184"/>
      <c r="H293" s="184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</row>
    <row r="294" spans="1:19" hidden="1" outlineLevel="1">
      <c r="A294" s="189">
        <f>'רשימת הסעיפים'!N18</f>
        <v>0</v>
      </c>
      <c r="B294" s="193">
        <f>IF(A294&lt;&gt;0,SUMIF('שלב ב - סיווג תנועות'!$H$9:$H$1499,A294,'שלב ב - סיווג תנועות'!$N$9:$N$1499),0)</f>
        <v>0</v>
      </c>
      <c r="C294" s="184"/>
      <c r="D294" s="185"/>
      <c r="E294" s="190"/>
      <c r="F294" s="184"/>
      <c r="G294" s="184"/>
      <c r="H294" s="184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</row>
    <row r="295" spans="1:19" hidden="1" outlineLevel="1">
      <c r="A295" s="189">
        <f>'רשימת הסעיפים'!N19</f>
        <v>0</v>
      </c>
      <c r="B295" s="193">
        <f>IF(A295&lt;&gt;0,SUMIF('שלב ב - סיווג תנועות'!$H$9:$H$1499,A295,'שלב ב - סיווג תנועות'!$N$9:$N$1499),0)</f>
        <v>0</v>
      </c>
      <c r="C295" s="184"/>
      <c r="D295" s="185"/>
      <c r="E295" s="190"/>
      <c r="F295" s="184"/>
      <c r="G295" s="184"/>
      <c r="H295" s="184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</row>
    <row r="296" spans="1:19" hidden="1" outlineLevel="1">
      <c r="A296" s="189">
        <f>'רשימת הסעיפים'!N20</f>
        <v>0</v>
      </c>
      <c r="B296" s="193">
        <f>IF(A296&lt;&gt;0,SUMIF('שלב ב - סיווג תנועות'!$H$9:$H$1499,A296,'שלב ב - סיווג תנועות'!$N$9:$N$1499),0)</f>
        <v>0</v>
      </c>
      <c r="C296" s="184"/>
      <c r="D296" s="185"/>
      <c r="E296" s="190"/>
      <c r="F296" s="184"/>
      <c r="G296" s="184"/>
      <c r="H296" s="184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</row>
    <row r="297" spans="1:19" hidden="1" outlineLevel="1">
      <c r="A297" s="189">
        <f>'רשימת הסעיפים'!N21</f>
        <v>0</v>
      </c>
      <c r="B297" s="193">
        <f>IF(A297&lt;&gt;0,SUMIF('שלב ב - סיווג תנועות'!$H$9:$H$1499,A297,'שלב ב - סיווג תנועות'!$N$9:$N$1499),0)</f>
        <v>0</v>
      </c>
      <c r="C297" s="184"/>
      <c r="D297" s="185"/>
      <c r="E297" s="190"/>
      <c r="F297" s="184"/>
      <c r="G297" s="184"/>
      <c r="H297" s="184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</row>
    <row r="298" spans="1:19" collapsed="1">
      <c r="A298" s="186" t="str">
        <f>'רשימת הסעיפים'!O1</f>
        <v>נכסים</v>
      </c>
      <c r="B298" s="187">
        <f>SUM(B299:B318)</f>
        <v>0</v>
      </c>
      <c r="C298" s="184"/>
      <c r="D298" s="185"/>
      <c r="E298" s="190"/>
      <c r="F298" s="184"/>
      <c r="G298" s="184"/>
      <c r="H298" s="184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</row>
    <row r="299" spans="1:19" hidden="1" outlineLevel="1">
      <c r="A299" s="189" t="str">
        <f>'רשימת הסעיפים'!O2</f>
        <v>הפקדות לחסכונות - כללי</v>
      </c>
      <c r="B299" s="193">
        <f>IF(A299&lt;&gt;0,SUMIF('שלב ב - סיווג תנועות'!$H$9:$H$1499,A299,'שלב ב - סיווג תנועות'!$N$9:$N$1499),0)</f>
        <v>0</v>
      </c>
      <c r="C299" s="184"/>
      <c r="D299" s="185"/>
      <c r="E299" s="190"/>
      <c r="F299" s="184"/>
      <c r="G299" s="184"/>
      <c r="H299" s="184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</row>
    <row r="300" spans="1:19" hidden="1" outlineLevel="1">
      <c r="A300" s="189">
        <f>'רשימת הסעיפים'!O3</f>
        <v>0</v>
      </c>
      <c r="B300" s="193">
        <f>IF(A300&lt;&gt;0,SUMIF('שלב ב - סיווג תנועות'!$H$9:$H$1499,A300,'שלב ב - סיווג תנועות'!$N$9:$N$1499),0)</f>
        <v>0</v>
      </c>
      <c r="C300" s="184"/>
      <c r="D300" s="185"/>
      <c r="E300" s="190"/>
      <c r="F300" s="184"/>
      <c r="G300" s="184"/>
      <c r="H300" s="184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</row>
    <row r="301" spans="1:19" hidden="1" outlineLevel="1">
      <c r="A301" s="189">
        <f>'רשימת הסעיפים'!O4</f>
        <v>0</v>
      </c>
      <c r="B301" s="193">
        <f>IF(A301&lt;&gt;0,SUMIF('שלב ב - סיווג תנועות'!$H$9:$H$1499,A301,'שלב ב - סיווג תנועות'!$N$9:$N$1499),0)</f>
        <v>0</v>
      </c>
      <c r="C301" s="184"/>
      <c r="D301" s="185"/>
      <c r="E301" s="190"/>
      <c r="F301" s="184"/>
      <c r="G301" s="184"/>
      <c r="H301" s="184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</row>
    <row r="302" spans="1:19" hidden="1" outlineLevel="1">
      <c r="A302" s="189">
        <f>'רשימת הסעיפים'!O5</f>
        <v>0</v>
      </c>
      <c r="B302" s="193">
        <f>IF(A302&lt;&gt;0,SUMIF('שלב ב - סיווג תנועות'!$H$9:$H$1499,A302,'שלב ב - סיווג תנועות'!$N$9:$N$1499),0)</f>
        <v>0</v>
      </c>
      <c r="C302" s="184"/>
      <c r="D302" s="185"/>
      <c r="E302" s="190"/>
      <c r="F302" s="184"/>
      <c r="G302" s="184"/>
      <c r="H302" s="184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</row>
    <row r="303" spans="1:19" hidden="1" outlineLevel="1">
      <c r="A303" s="189">
        <f>'רשימת הסעיפים'!O6</f>
        <v>0</v>
      </c>
      <c r="B303" s="193">
        <f>IF(A303&lt;&gt;0,SUMIF('שלב ב - סיווג תנועות'!$H$9:$H$1499,A303,'שלב ב - סיווג תנועות'!$N$9:$N$1499),0)</f>
        <v>0</v>
      </c>
      <c r="C303" s="184"/>
      <c r="D303" s="185"/>
      <c r="E303" s="190"/>
      <c r="F303" s="184"/>
      <c r="G303" s="184"/>
      <c r="H303" s="184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</row>
    <row r="304" spans="1:19" hidden="1" outlineLevel="1">
      <c r="A304" s="189">
        <f>'רשימת הסעיפים'!O7</f>
        <v>0</v>
      </c>
      <c r="B304" s="193">
        <f>IF(A304&lt;&gt;0,SUMIF('שלב ב - סיווג תנועות'!$H$9:$H$1499,A304,'שלב ב - סיווג תנועות'!$N$9:$N$1499),0)</f>
        <v>0</v>
      </c>
      <c r="C304" s="184"/>
      <c r="D304" s="185"/>
      <c r="E304" s="190"/>
      <c r="F304" s="184"/>
      <c r="G304" s="184"/>
      <c r="H304" s="184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</row>
    <row r="305" spans="1:19" hidden="1" outlineLevel="1">
      <c r="A305" s="189">
        <f>'רשימת הסעיפים'!O8</f>
        <v>0</v>
      </c>
      <c r="B305" s="193">
        <f>IF(A305&lt;&gt;0,SUMIF('שלב ב - סיווג תנועות'!$H$9:$H$1499,A305,'שלב ב - סיווג תנועות'!$N$9:$N$1499),0)</f>
        <v>0</v>
      </c>
      <c r="C305" s="184"/>
      <c r="D305" s="185"/>
      <c r="E305" s="190"/>
      <c r="F305" s="184"/>
      <c r="G305" s="184"/>
      <c r="H305" s="184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</row>
    <row r="306" spans="1:19" hidden="1" outlineLevel="1">
      <c r="A306" s="189">
        <f>'רשימת הסעיפים'!O9</f>
        <v>0</v>
      </c>
      <c r="B306" s="193">
        <f>IF(A306&lt;&gt;0,SUMIF('שלב ב - סיווג תנועות'!$H$9:$H$1499,A306,'שלב ב - סיווג תנועות'!$N$9:$N$1499),0)</f>
        <v>0</v>
      </c>
      <c r="C306" s="184"/>
      <c r="D306" s="185"/>
      <c r="E306" s="190"/>
      <c r="F306" s="184"/>
      <c r="G306" s="184"/>
      <c r="H306" s="184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</row>
    <row r="307" spans="1:19" hidden="1" outlineLevel="1">
      <c r="A307" s="189">
        <f>'רשימת הסעיפים'!O10</f>
        <v>0</v>
      </c>
      <c r="B307" s="193">
        <f>IF(A307&lt;&gt;0,SUMIF('שלב ב - סיווג תנועות'!$H$9:$H$1499,A307,'שלב ב - סיווג תנועות'!$N$9:$N$1499),0)</f>
        <v>0</v>
      </c>
      <c r="C307" s="184"/>
      <c r="D307" s="185"/>
      <c r="E307" s="190"/>
      <c r="F307" s="184"/>
      <c r="G307" s="184"/>
      <c r="H307" s="184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</row>
    <row r="308" spans="1:19" hidden="1" outlineLevel="1">
      <c r="A308" s="189">
        <f>'רשימת הסעיפים'!O11</f>
        <v>0</v>
      </c>
      <c r="B308" s="193">
        <f>IF(A308&lt;&gt;0,SUMIF('שלב ב - סיווג תנועות'!$H$9:$H$1499,A308,'שלב ב - סיווג תנועות'!$N$9:$N$1499),0)</f>
        <v>0</v>
      </c>
      <c r="C308" s="184"/>
      <c r="D308" s="185"/>
      <c r="E308" s="190"/>
      <c r="F308" s="184"/>
      <c r="G308" s="184"/>
      <c r="H308" s="184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</row>
    <row r="309" spans="1:19" hidden="1" outlineLevel="1">
      <c r="A309" s="189">
        <f>'רשימת הסעיפים'!O12</f>
        <v>0</v>
      </c>
      <c r="B309" s="193">
        <f>IF(A309&lt;&gt;0,SUMIF('שלב ב - סיווג תנועות'!$H$9:$H$1499,A309,'שלב ב - סיווג תנועות'!$N$9:$N$1499),0)</f>
        <v>0</v>
      </c>
      <c r="C309" s="184"/>
      <c r="D309" s="185"/>
      <c r="E309" s="190"/>
      <c r="F309" s="184"/>
      <c r="G309" s="184"/>
      <c r="H309" s="184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</row>
    <row r="310" spans="1:19" hidden="1" outlineLevel="1">
      <c r="A310" s="189">
        <f>'רשימת הסעיפים'!O13</f>
        <v>0</v>
      </c>
      <c r="B310" s="193">
        <f>IF(A310&lt;&gt;0,SUMIF('שלב ב - סיווג תנועות'!$H$9:$H$1499,A310,'שלב ב - סיווג תנועות'!$N$9:$N$1499),0)</f>
        <v>0</v>
      </c>
      <c r="C310" s="184"/>
      <c r="D310" s="185"/>
      <c r="E310" s="190"/>
      <c r="F310" s="184"/>
      <c r="G310" s="184"/>
      <c r="H310" s="184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</row>
    <row r="311" spans="1:19" hidden="1" outlineLevel="1">
      <c r="A311" s="189">
        <f>'רשימת הסעיפים'!O14</f>
        <v>0</v>
      </c>
      <c r="B311" s="193">
        <f>IF(A311&lt;&gt;0,SUMIF('שלב ב - סיווג תנועות'!$H$9:$H$1499,A311,'שלב ב - סיווג תנועות'!$N$9:$N$1499),0)</f>
        <v>0</v>
      </c>
      <c r="C311" s="184"/>
      <c r="D311" s="185"/>
      <c r="E311" s="190"/>
      <c r="F311" s="184"/>
      <c r="G311" s="184"/>
      <c r="H311" s="184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</row>
    <row r="312" spans="1:19" hidden="1" outlineLevel="1">
      <c r="A312" s="189">
        <f>'רשימת הסעיפים'!O15</f>
        <v>0</v>
      </c>
      <c r="B312" s="193">
        <f>IF(A312&lt;&gt;0,SUMIF('שלב ב - סיווג תנועות'!$H$9:$H$1499,A312,'שלב ב - סיווג תנועות'!$N$9:$N$1499),0)</f>
        <v>0</v>
      </c>
      <c r="C312" s="184"/>
      <c r="D312" s="185"/>
      <c r="E312" s="190"/>
      <c r="F312" s="184"/>
      <c r="G312" s="184"/>
      <c r="H312" s="184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</row>
    <row r="313" spans="1:19" hidden="1" outlineLevel="1">
      <c r="A313" s="189">
        <f>'רשימת הסעיפים'!O16</f>
        <v>0</v>
      </c>
      <c r="B313" s="193">
        <f>IF(A313&lt;&gt;0,SUMIF('שלב ב - סיווג תנועות'!$H$9:$H$1499,A313,'שלב ב - סיווג תנועות'!$N$9:$N$1499),0)</f>
        <v>0</v>
      </c>
      <c r="C313" s="184"/>
      <c r="D313" s="185"/>
      <c r="E313" s="190"/>
      <c r="F313" s="184"/>
      <c r="G313" s="184"/>
      <c r="H313" s="184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</row>
    <row r="314" spans="1:19" hidden="1" outlineLevel="1">
      <c r="A314" s="189">
        <f>'רשימת הסעיפים'!O17</f>
        <v>0</v>
      </c>
      <c r="B314" s="193">
        <f>IF(A314&lt;&gt;0,SUMIF('שלב ב - סיווג תנועות'!$H$9:$H$1499,A314,'שלב ב - סיווג תנועות'!$N$9:$N$1499),0)</f>
        <v>0</v>
      </c>
      <c r="C314" s="184"/>
      <c r="D314" s="185"/>
      <c r="E314" s="190"/>
      <c r="F314" s="184"/>
      <c r="G314" s="184"/>
      <c r="H314" s="184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</row>
    <row r="315" spans="1:19" hidden="1" outlineLevel="1">
      <c r="A315" s="189">
        <f>'רשימת הסעיפים'!O18</f>
        <v>0</v>
      </c>
      <c r="B315" s="193">
        <f>IF(A315&lt;&gt;0,SUMIF('שלב ב - סיווג תנועות'!$H$9:$H$1499,A315,'שלב ב - סיווג תנועות'!$N$9:$N$1499),0)</f>
        <v>0</v>
      </c>
      <c r="C315" s="184"/>
      <c r="D315" s="185"/>
      <c r="E315" s="190"/>
      <c r="F315" s="184"/>
      <c r="G315" s="184"/>
      <c r="H315" s="184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</row>
    <row r="316" spans="1:19" hidden="1" outlineLevel="1">
      <c r="A316" s="189">
        <f>'רשימת הסעיפים'!O19</f>
        <v>0</v>
      </c>
      <c r="B316" s="193">
        <f>IF(A316&lt;&gt;0,SUMIF('שלב ב - סיווג תנועות'!$H$9:$H$1499,A316,'שלב ב - סיווג תנועות'!$N$9:$N$1499),0)</f>
        <v>0</v>
      </c>
      <c r="C316" s="184"/>
      <c r="D316" s="185"/>
      <c r="E316" s="190"/>
      <c r="F316" s="184"/>
      <c r="G316" s="184"/>
      <c r="H316" s="184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</row>
    <row r="317" spans="1:19" hidden="1" outlineLevel="1">
      <c r="A317" s="189">
        <f>'רשימת הסעיפים'!O20</f>
        <v>0</v>
      </c>
      <c r="B317" s="193">
        <f>IF(A317&lt;&gt;0,SUMIF('שלב ב - סיווג תנועות'!$H$9:$H$1499,A317,'שלב ב - סיווג תנועות'!$N$9:$N$1499),0)</f>
        <v>0</v>
      </c>
      <c r="C317" s="184"/>
      <c r="D317" s="185"/>
      <c r="E317" s="190"/>
      <c r="F317" s="184"/>
      <c r="G317" s="184"/>
      <c r="H317" s="184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</row>
    <row r="318" spans="1:19" hidden="1" outlineLevel="1">
      <c r="A318" s="189">
        <f>'רשימת הסעיפים'!O21</f>
        <v>0</v>
      </c>
      <c r="B318" s="193">
        <f>IF(A318&lt;&gt;0,SUMIF('שלב ב - סיווג תנועות'!$H$9:$H$1499,A318,'שלב ב - סיווג תנועות'!$N$9:$N$1499),0)</f>
        <v>0</v>
      </c>
      <c r="C318" s="184"/>
      <c r="D318" s="185"/>
      <c r="E318" s="190"/>
      <c r="F318" s="184"/>
      <c r="G318" s="184"/>
      <c r="H318" s="184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</row>
    <row r="319" spans="1:19" collapsed="1">
      <c r="A319" s="186" t="str">
        <f>'רשימת הסעיפים'!P1</f>
        <v>פיננסים</v>
      </c>
      <c r="B319" s="187">
        <f>SUM(B320:B339)</f>
        <v>0</v>
      </c>
      <c r="C319" s="184"/>
      <c r="D319" s="185"/>
      <c r="E319" s="190"/>
      <c r="F319" s="184"/>
      <c r="G319" s="184"/>
      <c r="H319" s="184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</row>
    <row r="320" spans="1:19" hidden="1" outlineLevel="1">
      <c r="A320" s="189" t="str">
        <f>'רשימת הסעיפים'!P2</f>
        <v>עמלות</v>
      </c>
      <c r="B320" s="193">
        <f>IF(A320&lt;&gt;0,SUMIF('שלב ב - סיווג תנועות'!$H$9:$H$1499,A320,'שלב ב - סיווג תנועות'!$N$9:$N$1499),0)</f>
        <v>0</v>
      </c>
      <c r="C320" s="184"/>
      <c r="D320" s="185"/>
      <c r="E320" s="190"/>
      <c r="F320" s="184"/>
      <c r="G320" s="184"/>
      <c r="H320" s="184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</row>
    <row r="321" spans="1:19" hidden="1" outlineLevel="1">
      <c r="A321" s="189" t="str">
        <f>'רשימת הסעיפים'!P3</f>
        <v>ביטוח חיים</v>
      </c>
      <c r="B321" s="193">
        <f>IF(A321&lt;&gt;0,SUMIF('שלב ב - סיווג תנועות'!$H$9:$H$1499,A321,'שלב ב - סיווג תנועות'!$N$9:$N$1499),0)</f>
        <v>0</v>
      </c>
      <c r="C321" s="184"/>
      <c r="D321" s="185"/>
      <c r="E321" s="190"/>
      <c r="F321" s="184"/>
      <c r="G321" s="184"/>
      <c r="H321" s="184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</row>
    <row r="322" spans="1:19" hidden="1" outlineLevel="1">
      <c r="A322" s="189" t="str">
        <f>'רשימת הסעיפים'!P4</f>
        <v>ביטוח לאומי (למי שלא עובד)</v>
      </c>
      <c r="B322" s="193">
        <f>IF(A322&lt;&gt;0,SUMIF('שלב ב - סיווג תנועות'!$H$9:$H$1499,A322,'שלב ב - סיווג תנועות'!$N$9:$N$1499),0)</f>
        <v>0</v>
      </c>
      <c r="C322" s="184"/>
      <c r="D322" s="185"/>
      <c r="E322" s="190"/>
      <c r="F322" s="184"/>
      <c r="G322" s="184"/>
      <c r="H322" s="184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</row>
    <row r="323" spans="1:19" hidden="1" outlineLevel="1">
      <c r="A323" s="189" t="str">
        <f>'רשימת הסעיפים'!P5</f>
        <v>פיננסים - כללי</v>
      </c>
      <c r="B323" s="193">
        <f>IF(A323&lt;&gt;0,SUMIF('שלב ב - סיווג תנועות'!$H$9:$H$1499,A323,'שלב ב - סיווג תנועות'!$N$9:$N$1499),0)</f>
        <v>0</v>
      </c>
      <c r="C323" s="184"/>
      <c r="D323" s="185"/>
      <c r="E323" s="190"/>
      <c r="F323" s="184"/>
      <c r="G323" s="184"/>
      <c r="H323" s="184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</row>
    <row r="324" spans="1:19" hidden="1" outlineLevel="1">
      <c r="A324" s="189">
        <f>'רשימת הסעיפים'!P6</f>
        <v>0</v>
      </c>
      <c r="B324" s="193">
        <f>IF(A324&lt;&gt;0,SUMIF('שלב ב - סיווג תנועות'!$H$9:$H$1499,A324,'שלב ב - סיווג תנועות'!$N$9:$N$1499),0)</f>
        <v>0</v>
      </c>
      <c r="C324" s="184"/>
      <c r="D324" s="185"/>
      <c r="E324" s="190"/>
      <c r="F324" s="184"/>
      <c r="G324" s="184"/>
      <c r="H324" s="184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</row>
    <row r="325" spans="1:19" hidden="1" outlineLevel="1">
      <c r="A325" s="189">
        <f>'רשימת הסעיפים'!P7</f>
        <v>0</v>
      </c>
      <c r="B325" s="193">
        <f>IF(A325&lt;&gt;0,SUMIF('שלב ב - סיווג תנועות'!$H$9:$H$1499,A325,'שלב ב - סיווג תנועות'!$N$9:$N$1499),0)</f>
        <v>0</v>
      </c>
      <c r="C325" s="184"/>
      <c r="D325" s="185"/>
      <c r="E325" s="190"/>
      <c r="F325" s="184"/>
      <c r="G325" s="184"/>
      <c r="H325" s="184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</row>
    <row r="326" spans="1:19" hidden="1" outlineLevel="1">
      <c r="A326" s="189">
        <f>'רשימת הסעיפים'!P8</f>
        <v>0</v>
      </c>
      <c r="B326" s="193">
        <f>IF(A326&lt;&gt;0,SUMIF('שלב ב - סיווג תנועות'!$H$9:$H$1499,A326,'שלב ב - סיווג תנועות'!$N$9:$N$1499),0)</f>
        <v>0</v>
      </c>
      <c r="C326" s="184"/>
      <c r="D326" s="185"/>
      <c r="E326" s="190"/>
      <c r="F326" s="184"/>
      <c r="G326" s="184"/>
      <c r="H326" s="184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</row>
    <row r="327" spans="1:19" hidden="1" outlineLevel="1">
      <c r="A327" s="189">
        <f>'רשימת הסעיפים'!P9</f>
        <v>0</v>
      </c>
      <c r="B327" s="193">
        <f>IF(A327&lt;&gt;0,SUMIF('שלב ב - סיווג תנועות'!$H$9:$H$1499,A327,'שלב ב - סיווג תנועות'!$N$9:$N$1499),0)</f>
        <v>0</v>
      </c>
      <c r="C327" s="184"/>
      <c r="D327" s="185"/>
      <c r="E327" s="190"/>
      <c r="F327" s="184"/>
      <c r="G327" s="184"/>
      <c r="H327" s="184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</row>
    <row r="328" spans="1:19" hidden="1" outlineLevel="1">
      <c r="A328" s="189">
        <f>'רשימת הסעיפים'!P10</f>
        <v>0</v>
      </c>
      <c r="B328" s="193">
        <f>IF(A328&lt;&gt;0,SUMIF('שלב ב - סיווג תנועות'!$H$9:$H$1499,A328,'שלב ב - סיווג תנועות'!$N$9:$N$1499),0)</f>
        <v>0</v>
      </c>
      <c r="C328" s="184"/>
      <c r="D328" s="185"/>
      <c r="E328" s="184"/>
      <c r="F328" s="184"/>
      <c r="G328" s="184"/>
      <c r="H328" s="184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</row>
    <row r="329" spans="1:19" hidden="1" outlineLevel="1">
      <c r="A329" s="189">
        <f>'רשימת הסעיפים'!P11</f>
        <v>0</v>
      </c>
      <c r="B329" s="193">
        <f>IF(A329&lt;&gt;0,SUMIF('שלב ב - סיווג תנועות'!$H$9:$H$1499,A329,'שלב ב - סיווג תנועות'!$N$9:$N$1499),0)</f>
        <v>0</v>
      </c>
      <c r="C329" s="184"/>
      <c r="D329" s="185"/>
      <c r="E329" s="184"/>
      <c r="F329" s="184"/>
      <c r="G329" s="184"/>
      <c r="H329" s="184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</row>
    <row r="330" spans="1:19" hidden="1" outlineLevel="1">
      <c r="A330" s="189">
        <f>'רשימת הסעיפים'!P12</f>
        <v>0</v>
      </c>
      <c r="B330" s="193">
        <f>IF(A330&lt;&gt;0,SUMIF('שלב ב - סיווג תנועות'!$H$9:$H$1499,A330,'שלב ב - סיווג תנועות'!$N$9:$N$1499),0)</f>
        <v>0</v>
      </c>
      <c r="C330" s="184"/>
      <c r="D330" s="185"/>
      <c r="E330" s="184"/>
      <c r="F330" s="184"/>
      <c r="G330" s="184"/>
      <c r="H330" s="184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</row>
    <row r="331" spans="1:19" hidden="1" outlineLevel="1">
      <c r="A331" s="189">
        <f>'רשימת הסעיפים'!P13</f>
        <v>0</v>
      </c>
      <c r="B331" s="193">
        <f>IF(A331&lt;&gt;0,SUMIF('שלב ב - סיווג תנועות'!$H$9:$H$1499,A331,'שלב ב - סיווג תנועות'!$N$9:$N$1499),0)</f>
        <v>0</v>
      </c>
      <c r="C331" s="184"/>
      <c r="D331" s="185"/>
      <c r="E331" s="184"/>
      <c r="F331" s="184"/>
      <c r="G331" s="184"/>
      <c r="H331" s="184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</row>
    <row r="332" spans="1:19" hidden="1" outlineLevel="1">
      <c r="A332" s="189">
        <f>'רשימת הסעיפים'!P14</f>
        <v>0</v>
      </c>
      <c r="B332" s="193">
        <f>IF(A332&lt;&gt;0,SUMIF('שלב ב - סיווג תנועות'!$H$9:$H$1499,A332,'שלב ב - סיווג תנועות'!$N$9:$N$1499),0)</f>
        <v>0</v>
      </c>
      <c r="C332" s="184"/>
      <c r="D332" s="185"/>
      <c r="E332" s="184"/>
      <c r="F332" s="184"/>
      <c r="G332" s="184"/>
      <c r="H332" s="184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</row>
    <row r="333" spans="1:19" hidden="1" outlineLevel="1">
      <c r="A333" s="189">
        <f>'רשימת הסעיפים'!P15</f>
        <v>0</v>
      </c>
      <c r="B333" s="193">
        <f>IF(A333&lt;&gt;0,SUMIF('שלב ב - סיווג תנועות'!$H$9:$H$1499,A333,'שלב ב - סיווג תנועות'!$N$9:$N$1499),0)</f>
        <v>0</v>
      </c>
      <c r="C333" s="184"/>
      <c r="D333" s="185"/>
      <c r="E333" s="184"/>
      <c r="F333" s="184"/>
      <c r="G333" s="184"/>
      <c r="H333" s="184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</row>
    <row r="334" spans="1:19" hidden="1" outlineLevel="1">
      <c r="A334" s="189">
        <f>'רשימת הסעיפים'!P16</f>
        <v>0</v>
      </c>
      <c r="B334" s="193">
        <f>IF(A334&lt;&gt;0,SUMIF('שלב ב - סיווג תנועות'!$H$9:$H$1499,A334,'שלב ב - סיווג תנועות'!$N$9:$N$1499),0)</f>
        <v>0</v>
      </c>
      <c r="C334" s="184"/>
      <c r="D334" s="185"/>
      <c r="E334" s="184"/>
      <c r="F334" s="184"/>
      <c r="G334" s="184"/>
      <c r="H334" s="184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</row>
    <row r="335" spans="1:19" hidden="1" outlineLevel="1">
      <c r="A335" s="189">
        <f>'רשימת הסעיפים'!P17</f>
        <v>0</v>
      </c>
      <c r="B335" s="193">
        <f>IF(A335&lt;&gt;0,SUMIF('שלב ב - סיווג תנועות'!$H$9:$H$1499,A335,'שלב ב - סיווג תנועות'!$N$9:$N$1499),0)</f>
        <v>0</v>
      </c>
      <c r="C335" s="184"/>
      <c r="D335" s="185"/>
      <c r="E335" s="184"/>
      <c r="F335" s="184"/>
      <c r="G335" s="184"/>
      <c r="H335" s="184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</row>
    <row r="336" spans="1:19" hidden="1" outlineLevel="1">
      <c r="A336" s="189">
        <f>'רשימת הסעיפים'!P18</f>
        <v>0</v>
      </c>
      <c r="B336" s="193">
        <f>IF(A336&lt;&gt;0,SUMIF('שלב ב - סיווג תנועות'!$H$9:$H$1499,A336,'שלב ב - סיווג תנועות'!$N$9:$N$1499),0)</f>
        <v>0</v>
      </c>
      <c r="C336" s="184"/>
      <c r="D336" s="185"/>
      <c r="E336" s="184"/>
      <c r="F336" s="184"/>
      <c r="G336" s="184"/>
      <c r="H336" s="184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</row>
    <row r="337" spans="1:19" hidden="1" outlineLevel="1">
      <c r="A337" s="189">
        <f>'רשימת הסעיפים'!P19</f>
        <v>0</v>
      </c>
      <c r="B337" s="193">
        <f>IF(A337&lt;&gt;0,SUMIF('שלב ב - סיווג תנועות'!$H$9:$H$1499,A337,'שלב ב - סיווג תנועות'!$N$9:$N$1499),0)</f>
        <v>0</v>
      </c>
      <c r="C337" s="184"/>
      <c r="D337" s="185"/>
      <c r="E337" s="184"/>
      <c r="F337" s="184"/>
      <c r="G337" s="184"/>
      <c r="H337" s="184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</row>
    <row r="338" spans="1:19" hidden="1" outlineLevel="1">
      <c r="A338" s="189">
        <f>'רשימת הסעיפים'!P20</f>
        <v>0</v>
      </c>
      <c r="B338" s="193">
        <f>IF(A338&lt;&gt;0,SUMIF('שלב ב - סיווג תנועות'!$H$9:$H$1499,A338,'שלב ב - סיווג תנועות'!$N$9:$N$1499),0)</f>
        <v>0</v>
      </c>
      <c r="C338" s="184"/>
      <c r="D338" s="185"/>
      <c r="E338" s="184"/>
      <c r="F338" s="184"/>
      <c r="G338" s="184"/>
      <c r="H338" s="184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</row>
    <row r="339" spans="1:19" hidden="1" outlineLevel="1">
      <c r="A339" s="189">
        <f>'רשימת הסעיפים'!P21</f>
        <v>0</v>
      </c>
      <c r="B339" s="193">
        <f>IF(A339&lt;&gt;0,SUMIF('שלב ב - סיווג תנועות'!$H$9:$H$1499,A339,'שלב ב - סיווג תנועות'!$N$9:$N$1499),0)</f>
        <v>0</v>
      </c>
      <c r="C339" s="184"/>
      <c r="D339" s="185"/>
      <c r="E339" s="184"/>
      <c r="F339" s="184"/>
      <c r="G339" s="184"/>
      <c r="H339" s="184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</row>
    <row r="340" spans="1:19">
      <c r="A340" s="189"/>
      <c r="B340" s="184"/>
      <c r="C340" s="184"/>
      <c r="D340" s="185"/>
      <c r="E340" s="184"/>
      <c r="F340" s="184"/>
      <c r="G340" s="184"/>
      <c r="H340" s="184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</row>
    <row r="341" spans="1:19">
      <c r="A341" s="136"/>
      <c r="B341" s="137"/>
      <c r="C341" s="137"/>
      <c r="D341" s="138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</row>
    <row r="342" spans="1:19">
      <c r="A342" s="136"/>
      <c r="B342" s="137"/>
      <c r="C342" s="137"/>
      <c r="D342" s="138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</row>
    <row r="343" spans="1:19">
      <c r="A343" s="136"/>
      <c r="B343" s="137"/>
      <c r="C343" s="137"/>
      <c r="D343" s="138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</row>
    <row r="344" spans="1:19">
      <c r="A344" s="136"/>
      <c r="B344" s="137"/>
      <c r="C344" s="137"/>
      <c r="D344" s="138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</row>
    <row r="345" spans="1:19">
      <c r="A345" s="136"/>
      <c r="B345" s="137"/>
      <c r="C345" s="137"/>
      <c r="D345" s="138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</row>
    <row r="346" spans="1:19">
      <c r="A346" s="136"/>
      <c r="B346" s="137"/>
      <c r="C346" s="137"/>
      <c r="D346" s="138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</row>
    <row r="347" spans="1:19">
      <c r="A347" s="136"/>
      <c r="B347" s="137"/>
      <c r="C347" s="137"/>
      <c r="D347" s="138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</row>
    <row r="348" spans="1:19">
      <c r="A348" s="136"/>
      <c r="B348" s="137"/>
      <c r="C348" s="137"/>
      <c r="D348" s="138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</row>
    <row r="349" spans="1:19">
      <c r="A349" s="136"/>
      <c r="B349" s="137"/>
      <c r="C349" s="137"/>
      <c r="D349" s="138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</row>
    <row r="350" spans="1:19">
      <c r="A350" s="136"/>
      <c r="B350" s="137"/>
      <c r="C350" s="137"/>
      <c r="D350" s="138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</row>
    <row r="351" spans="1:19">
      <c r="A351" s="136"/>
      <c r="B351" s="137"/>
      <c r="C351" s="137"/>
      <c r="D351" s="138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</row>
    <row r="352" spans="1:19">
      <c r="A352" s="136"/>
      <c r="B352" s="137"/>
      <c r="C352" s="137"/>
      <c r="D352" s="138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</row>
    <row r="353" spans="1:19">
      <c r="A353" s="136"/>
      <c r="B353" s="137"/>
      <c r="C353" s="137"/>
      <c r="D353" s="138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</row>
    <row r="354" spans="1:19" s="137" customFormat="1">
      <c r="A354" s="136"/>
      <c r="D354" s="138"/>
    </row>
    <row r="355" spans="1:19" s="137" customFormat="1">
      <c r="A355" s="136"/>
      <c r="D355" s="138"/>
    </row>
    <row r="356" spans="1:19" s="137" customFormat="1">
      <c r="A356" s="136"/>
      <c r="D356" s="138"/>
    </row>
    <row r="357" spans="1:19" s="137" customFormat="1">
      <c r="A357" s="136"/>
      <c r="D357" s="138"/>
    </row>
    <row r="358" spans="1:19" s="137" customFormat="1">
      <c r="A358" s="136"/>
      <c r="D358" s="138"/>
    </row>
    <row r="359" spans="1:19" s="137" customFormat="1">
      <c r="A359" s="136"/>
      <c r="D359" s="138"/>
    </row>
    <row r="360" spans="1:19" s="137" customFormat="1">
      <c r="A360" s="136"/>
      <c r="D360" s="138"/>
    </row>
    <row r="361" spans="1:19" s="137" customFormat="1">
      <c r="A361" s="136"/>
      <c r="D361" s="138"/>
    </row>
    <row r="362" spans="1:19" s="137" customFormat="1">
      <c r="A362" s="136"/>
      <c r="D362" s="138"/>
    </row>
    <row r="363" spans="1:19" s="137" customFormat="1">
      <c r="A363" s="136"/>
      <c r="D363" s="138"/>
    </row>
    <row r="364" spans="1:19" s="137" customFormat="1">
      <c r="A364" s="136"/>
      <c r="D364" s="138"/>
    </row>
    <row r="365" spans="1:19" s="137" customFormat="1">
      <c r="A365" s="136"/>
      <c r="D365" s="138"/>
    </row>
    <row r="366" spans="1:19" s="137" customFormat="1">
      <c r="A366" s="136"/>
      <c r="D366" s="138"/>
    </row>
    <row r="367" spans="1:19" s="137" customFormat="1">
      <c r="A367" s="136"/>
      <c r="D367" s="138"/>
    </row>
    <row r="368" spans="1:19" s="137" customFormat="1">
      <c r="A368" s="136"/>
      <c r="D368" s="138"/>
    </row>
    <row r="369" spans="1:4" s="137" customFormat="1">
      <c r="A369" s="136"/>
      <c r="D369" s="138"/>
    </row>
    <row r="370" spans="1:4" s="137" customFormat="1">
      <c r="A370" s="136"/>
      <c r="D370" s="138"/>
    </row>
    <row r="371" spans="1:4" s="137" customFormat="1">
      <c r="A371" s="136"/>
      <c r="D371" s="138"/>
    </row>
    <row r="372" spans="1:4" s="137" customFormat="1">
      <c r="A372" s="136"/>
      <c r="D372" s="138"/>
    </row>
    <row r="373" spans="1:4" s="137" customFormat="1">
      <c r="A373" s="136"/>
      <c r="D373" s="138"/>
    </row>
    <row r="374" spans="1:4" s="137" customFormat="1">
      <c r="A374" s="136"/>
      <c r="D374" s="138"/>
    </row>
    <row r="375" spans="1:4" s="137" customFormat="1">
      <c r="A375" s="136"/>
      <c r="D375" s="138"/>
    </row>
    <row r="376" spans="1:4" s="137" customFormat="1">
      <c r="A376" s="136"/>
      <c r="D376" s="138"/>
    </row>
    <row r="377" spans="1:4" s="137" customFormat="1">
      <c r="A377" s="136"/>
      <c r="D377" s="138"/>
    </row>
    <row r="378" spans="1:4" s="137" customFormat="1">
      <c r="A378" s="136"/>
      <c r="D378" s="138"/>
    </row>
    <row r="379" spans="1:4" s="137" customFormat="1">
      <c r="A379" s="136"/>
      <c r="D379" s="138"/>
    </row>
    <row r="380" spans="1:4" s="137" customFormat="1">
      <c r="A380" s="136"/>
      <c r="D380" s="138"/>
    </row>
    <row r="381" spans="1:4" s="137" customFormat="1">
      <c r="A381" s="136"/>
      <c r="D381" s="138"/>
    </row>
    <row r="382" spans="1:4" s="137" customFormat="1">
      <c r="A382" s="136"/>
      <c r="D382" s="138"/>
    </row>
    <row r="383" spans="1:4" s="137" customFormat="1">
      <c r="A383" s="136"/>
      <c r="D383" s="138"/>
    </row>
    <row r="384" spans="1:4" s="137" customFormat="1">
      <c r="A384" s="136"/>
      <c r="D384" s="138"/>
    </row>
    <row r="385" spans="1:4" s="137" customFormat="1">
      <c r="A385" s="136"/>
      <c r="D385" s="138"/>
    </row>
    <row r="386" spans="1:4" s="137" customFormat="1">
      <c r="A386" s="136"/>
      <c r="D386" s="138"/>
    </row>
    <row r="387" spans="1:4" s="137" customFormat="1">
      <c r="A387" s="136"/>
      <c r="D387" s="138"/>
    </row>
    <row r="388" spans="1:4" s="137" customFormat="1">
      <c r="A388" s="136"/>
      <c r="D388" s="138"/>
    </row>
    <row r="389" spans="1:4" s="137" customFormat="1">
      <c r="A389" s="136"/>
      <c r="D389" s="138"/>
    </row>
    <row r="390" spans="1:4" s="137" customFormat="1">
      <c r="A390" s="136"/>
      <c r="D390" s="138"/>
    </row>
    <row r="391" spans="1:4" s="137" customFormat="1">
      <c r="A391" s="136"/>
      <c r="D391" s="138"/>
    </row>
    <row r="392" spans="1:4" s="137" customFormat="1">
      <c r="A392" s="136"/>
      <c r="D392" s="138"/>
    </row>
    <row r="393" spans="1:4" s="137" customFormat="1">
      <c r="A393" s="136"/>
      <c r="D393" s="138"/>
    </row>
    <row r="394" spans="1:4" s="137" customFormat="1">
      <c r="A394" s="136"/>
      <c r="D394" s="138"/>
    </row>
    <row r="395" spans="1:4" s="137" customFormat="1">
      <c r="A395" s="136"/>
      <c r="D395" s="138"/>
    </row>
    <row r="396" spans="1:4" s="137" customFormat="1">
      <c r="A396" s="136"/>
      <c r="D396" s="138"/>
    </row>
    <row r="397" spans="1:4" s="137" customFormat="1">
      <c r="A397" s="136"/>
      <c r="D397" s="138"/>
    </row>
    <row r="398" spans="1:4" s="137" customFormat="1">
      <c r="A398" s="136"/>
      <c r="D398" s="138"/>
    </row>
    <row r="399" spans="1:4" s="137" customFormat="1">
      <c r="A399" s="136"/>
      <c r="D399" s="138"/>
    </row>
  </sheetData>
  <sheetProtection algorithmName="SHA-512" hashValue="/d0ABtQoRhAqLCe7MF4tBjCVkodOYrG8x3n4i2yEmuwFzi/RBtaGH586u0iBdrbw/rzVscwVSm9BV+SiC1rkfw==" saltValue="Ddr8K+Tn+QshARjtbFyq0Q==" spinCount="100000" sheet="1" scenarios="1" formatCells="0" formatColumns="0" formatRows="0" insertColumns="0" insertRows="0" sort="0" autoFilter="0"/>
  <autoFilter ref="A4:B339" xr:uid="{00000000-0009-0000-0000-000003000000}">
    <filterColumn colId="0">
      <filters>
        <filter val="אוכל מוכן / בעבודה"/>
        <filter val="אופטיקה"/>
        <filter val="אחזקת בית"/>
        <filter val="אירוע בעבודה / לחברים"/>
        <filter val="אירועים, תרומות, צרכי דת"/>
        <filter val="ארועי שמחות במשפחה"/>
        <filter val="ארנונה"/>
        <filter val="בו1"/>
        <filter val="בו2"/>
        <filter val="בו3"/>
        <filter val="בו4"/>
        <filter val="ביגוד הורים"/>
        <filter val="ביגוד והנעלה"/>
        <filter val="ביגוד והנעלה - כללי"/>
        <filter val="ביגוד ילדים"/>
        <filter val="ביטוח חיים"/>
        <filter val="ביטוח לאומי (למי שלא עובד)"/>
        <filter val="ביטוח נכס ותכולה"/>
        <filter val="ביטוח רכב"/>
        <filter val="ביטוח רפואי נוסף"/>
        <filter val="בייביסיטר"/>
        <filter val="בילויים ומופעים"/>
        <filter val="בית ספר"/>
        <filter val="בנק לאומי-הלוואה"/>
        <filter val="בעלי חיים"/>
        <filter val="בר מים"/>
        <filter val="בריאות"/>
        <filter val="בריאות - כללי"/>
        <filter val="גז"/>
        <filter val="גינה"/>
        <filter val="דיור"/>
        <filter val="דיור - כללי"/>
        <filter val="דלק"/>
        <filter val="דמי כיס"/>
        <filter val="הגרלות"/>
        <filter val="החזר חובות חודשי (למעט משכנתה) - כללי"/>
        <filter val="הסעות"/>
        <filter val="הפקדות לחסכונות - כללי"/>
        <filter val="הת1"/>
        <filter val="הת2"/>
        <filter val="הת3"/>
        <filter val="הת4"/>
        <filter val="הת5"/>
        <filter val="הת6"/>
        <filter val="התחייבויות"/>
        <filter val="חגים וצרכי דת"/>
        <filter val="חובות קודמים"/>
        <filter val="חוגי מבוגרים"/>
        <filter val="חוגים ותנועת נוער"/>
        <filter val="חופשות"/>
        <filter val="חינוך"/>
        <filter val="חינוך - כללי"/>
        <filter val="חיתולים"/>
        <filter val="חניה"/>
        <filter val="חשמל"/>
        <filter val="טיפוח"/>
        <filter val="טיפוח - כללי"/>
        <filter val="טיפולי שיניים / אורטודנט"/>
        <filter val="טיפולים פרטיים"/>
        <filter val="טלויזיה ואינטרנט (ספק ותשתית)"/>
        <filter val="טלפון נייד ונייח"/>
        <filter val="כבישי אגרה"/>
        <filter val="כבלים"/>
        <filter val="כלי בית"/>
        <filter val="לימודים והשתלמות לבוגרים"/>
        <filter val="ליסינג"/>
        <filter val="מוצרי חשמל ואלקטרוניקה"/>
        <filter val="מזון"/>
        <filter val="מזון ופארמה - כללי"/>
        <filter val="מים וביוב"/>
        <filter val="מיסי ישוב / ועד בית"/>
        <filter val="מנוי מנהרות הכרמל"/>
        <filter val="מסגרות יום"/>
        <filter val="מסגרות צהריים"/>
        <filter val="מסגרות קיץ"/>
        <filter val="מסעדות ומשלוחים"/>
        <filter val="מספרה"/>
        <filter val="מע&quot;מ"/>
        <filter val="מפ1"/>
        <filter val="מפ2"/>
        <filter val="מפ3"/>
        <filter val="משחקים, צעצועים וספרים"/>
        <filter val="משכנתה"/>
        <filter val="משפחה"/>
        <filter val="משפחה - כללי"/>
        <filter val="נ1"/>
        <filter val="נ10"/>
        <filter val="נ11"/>
        <filter val="נ12"/>
        <filter val="נ13"/>
        <filter val="נ14"/>
        <filter val="נ15"/>
        <filter val="נ16"/>
        <filter val="נ2"/>
        <filter val="נ3"/>
        <filter val="נ4"/>
        <filter val="נ5"/>
        <filter val="נ6"/>
        <filter val="נ7"/>
        <filter val="נ8"/>
        <filter val="נ9"/>
        <filter val="ניקיון"/>
        <filter val="נכסים"/>
        <filter val="נעליים"/>
        <filter val="ספורט"/>
        <filter val="עזרה למשפחה"/>
        <filter val="עישון"/>
        <filter val="עמלות"/>
        <filter val="פארמה וטואלטיקה"/>
        <filter val="פיננסים"/>
        <filter val="פנאי - כללי"/>
        <filter val="פנאי, בילוי ותחביבים"/>
        <filter val="צהרון / מטפלת / בייביסיטר"/>
        <filter val="קוסמטיקה"/>
        <filter val="קנסות"/>
        <filter val="ריביות משיכת יתר"/>
        <filter val="ריהוט"/>
        <filter val="רישוי רכב"/>
        <filter val="רכב ליסניג"/>
        <filter val="שיעור פרטי"/>
        <filter val="שירותי תוכן"/>
        <filter val="שכר דירה"/>
        <filter val="ת1"/>
        <filter val="תחבורה"/>
        <filter val="תחבורה - כללי"/>
        <filter val="תחבורה ציבורית"/>
        <filter val="תחבורה שיתופית"/>
        <filter val="תחזוקת רכב"/>
        <filter val="תיקונים בבית / במכשירים"/>
        <filter val="תכולת בית"/>
        <filter val="תקשורת"/>
        <filter val="תקשורת - כללי"/>
        <filter val="תרומות"/>
        <filter val="תרופות"/>
        <filter val="תשלום לעורך דין"/>
        <filter val="תשלום מזונות"/>
        <filter val="תשלום קבוע קופ&quot;ח"/>
      </filters>
    </filterColumn>
    <filterColumn colId="1">
      <filters>
        <filter val="₪ 221"/>
        <filter val="₪ 360"/>
        <filter val="120"/>
        <filter val="1350"/>
        <filter val="178"/>
        <filter val="187"/>
        <filter val="191"/>
        <filter val="220"/>
        <filter val="320"/>
        <filter val="5"/>
        <filter val="500"/>
        <filter val="567"/>
        <filter val="830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outlinePr summaryBelow="0" summaryRight="0"/>
  </sheetPr>
  <dimension ref="A1:T1002"/>
  <sheetViews>
    <sheetView rightToLeft="1" workbookViewId="0"/>
  </sheetViews>
  <sheetFormatPr defaultColWidth="12.625" defaultRowHeight="15" customHeight="1"/>
  <cols>
    <col min="1" max="1" customWidth="true" width="32.75"/>
    <col min="2" max="2" customWidth="true" width="13.625"/>
    <col min="3" max="3" customWidth="true" width="13.5"/>
    <col min="5" max="6" customWidth="true" width="20.375"/>
    <col min="7" max="7" customWidth="true" width="19.0"/>
    <col min="10" max="10" customWidth="true" width="19.0"/>
    <col min="12" max="12" customWidth="true" width="16.875"/>
    <col min="13" max="13" customWidth="true" width="16.625"/>
    <col min="16" max="16" customWidth="true" width="15.875"/>
  </cols>
  <sheetData>
    <row r="1" spans="1:20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S1" s="3"/>
      <c r="T1" s="3"/>
    </row>
    <row r="2" spans="1:20" ht="15" customHeight="1">
      <c r="A2" s="5" t="s">
        <v>19</v>
      </c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S2" s="3"/>
      <c r="T2" s="3"/>
    </row>
    <row r="3" spans="1:20" ht="14.25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7" t="s">
        <v>33</v>
      </c>
      <c r="O3" s="7" t="s">
        <v>34</v>
      </c>
      <c r="P3" s="7" t="s">
        <v>35</v>
      </c>
      <c r="Q3" s="7" t="s">
        <v>10</v>
      </c>
    </row>
    <row r="4" spans="1:20" ht="14.25">
      <c r="A4" s="8" t="s">
        <v>36</v>
      </c>
      <c r="B4" s="2"/>
      <c r="C4" s="2"/>
      <c r="D4" s="9"/>
      <c r="E4" s="2"/>
      <c r="F4" s="2"/>
    </row>
    <row r="5" spans="1:20" ht="14.25">
      <c r="B5" s="2"/>
      <c r="C5" s="2"/>
      <c r="E5" s="2"/>
      <c r="F5" s="2"/>
      <c r="G5" s="2"/>
    </row>
    <row r="6" spans="1:20" ht="14.25">
      <c r="B6" s="2"/>
      <c r="C6" s="2"/>
      <c r="D6" s="9"/>
      <c r="E6" s="2"/>
      <c r="F6" s="2"/>
    </row>
    <row r="7" spans="1:20" ht="14.25">
      <c r="B7" s="2"/>
      <c r="C7" s="2"/>
      <c r="D7" s="9"/>
      <c r="E7" s="2"/>
      <c r="F7" s="2"/>
    </row>
    <row r="8" spans="1:20" ht="14.25">
      <c r="B8" s="2"/>
      <c r="C8" s="2"/>
      <c r="D8" s="9"/>
      <c r="E8" s="2"/>
      <c r="F8" s="2"/>
    </row>
    <row r="9" spans="1:20" ht="14.25">
      <c r="B9" s="2"/>
      <c r="C9" s="2"/>
      <c r="D9" s="9"/>
      <c r="E9" s="2"/>
      <c r="F9" s="2"/>
    </row>
    <row r="10" spans="1:20" ht="14.25">
      <c r="B10" s="2"/>
      <c r="C10" s="2"/>
      <c r="D10" s="9"/>
      <c r="E10" s="2"/>
      <c r="F10" s="2"/>
    </row>
    <row r="11" spans="1:20" ht="14.25">
      <c r="B11" s="2"/>
      <c r="C11" s="2"/>
      <c r="D11" s="9"/>
      <c r="E11" s="2"/>
      <c r="F11" s="2"/>
    </row>
    <row r="12" spans="1:20" ht="14.25">
      <c r="B12" s="2"/>
      <c r="C12" s="2"/>
      <c r="D12" s="9"/>
      <c r="E12" s="2"/>
      <c r="F12" s="2"/>
    </row>
    <row r="13" spans="1:20" ht="14.25">
      <c r="B13" s="2"/>
      <c r="C13" s="2"/>
      <c r="D13" s="9"/>
      <c r="E13" s="2"/>
      <c r="F13" s="2"/>
    </row>
    <row r="14" spans="1:20" ht="14.25">
      <c r="B14" s="2"/>
      <c r="C14" s="2"/>
      <c r="D14" s="9"/>
      <c r="E14" s="2"/>
      <c r="F14" s="2"/>
    </row>
    <row r="15" spans="1:20" ht="14.25">
      <c r="B15" s="2"/>
      <c r="C15" s="2"/>
      <c r="D15" s="9"/>
      <c r="E15" s="2"/>
      <c r="F15" s="2"/>
    </row>
    <row r="16" spans="1:20" ht="14.25">
      <c r="B16" s="2"/>
      <c r="C16" s="2"/>
      <c r="D16" s="9"/>
      <c r="E16" s="2"/>
      <c r="F16" s="2"/>
    </row>
    <row r="17" spans="2:6" ht="14.25">
      <c r="B17" s="2"/>
      <c r="C17" s="2"/>
      <c r="D17" s="9"/>
      <c r="E17" s="2"/>
      <c r="F17" s="2"/>
    </row>
    <row r="18" spans="2:6" ht="14.25">
      <c r="B18" s="2"/>
      <c r="C18" s="2"/>
      <c r="D18" s="9"/>
      <c r="E18" s="2"/>
      <c r="F18" s="2"/>
    </row>
    <row r="19" spans="2:6" ht="14.25">
      <c r="B19" s="2"/>
      <c r="C19" s="2"/>
      <c r="D19" s="9"/>
      <c r="E19" s="2"/>
      <c r="F19" s="2"/>
    </row>
    <row r="20" spans="2:6" ht="14.25">
      <c r="B20" s="2"/>
      <c r="C20" s="2"/>
      <c r="D20" s="9"/>
      <c r="E20" s="2"/>
      <c r="F20" s="2"/>
    </row>
    <row r="21" spans="2:6" ht="14.25">
      <c r="B21" s="2"/>
      <c r="C21" s="2"/>
      <c r="D21" s="9"/>
      <c r="E21" s="2"/>
      <c r="F21" s="2"/>
    </row>
    <row r="22" spans="2:6" ht="14.25">
      <c r="B22" s="2"/>
      <c r="C22" s="2"/>
      <c r="D22" s="9"/>
      <c r="E22" s="2"/>
      <c r="F22" s="2"/>
    </row>
    <row r="23" spans="2:6" ht="14.25">
      <c r="B23" s="2"/>
      <c r="C23" s="2"/>
      <c r="D23" s="9"/>
      <c r="E23" s="2"/>
      <c r="F23" s="2"/>
    </row>
    <row r="24" spans="2:6" ht="14.25">
      <c r="B24" s="2"/>
      <c r="C24" s="2"/>
      <c r="D24" s="9"/>
      <c r="E24" s="2"/>
      <c r="F24" s="2"/>
    </row>
    <row r="25" spans="2:6" ht="14.25">
      <c r="B25" s="2"/>
      <c r="C25" s="2"/>
      <c r="D25" s="9"/>
      <c r="E25" s="2"/>
      <c r="F25" s="2"/>
    </row>
    <row r="26" spans="2:6" ht="14.25">
      <c r="B26" s="2"/>
      <c r="C26" s="2"/>
      <c r="D26" s="9"/>
      <c r="E26" s="2"/>
      <c r="F26" s="2"/>
    </row>
    <row r="27" spans="2:6" ht="14.25">
      <c r="B27" s="2"/>
      <c r="C27" s="2"/>
      <c r="D27" s="9"/>
      <c r="E27" s="2"/>
      <c r="F27" s="2"/>
    </row>
    <row r="28" spans="2:6" ht="14.25">
      <c r="B28" s="2"/>
      <c r="C28" s="2"/>
      <c r="D28" s="9"/>
      <c r="E28" s="2"/>
      <c r="F28" s="2"/>
    </row>
    <row r="29" spans="2:6" ht="14.25">
      <c r="B29" s="2"/>
      <c r="C29" s="2"/>
      <c r="D29" s="9"/>
      <c r="E29" s="2"/>
      <c r="F29" s="2"/>
    </row>
    <row r="30" spans="2:6" ht="14.25">
      <c r="B30" s="2"/>
      <c r="C30" s="2"/>
      <c r="D30" s="9"/>
      <c r="E30" s="2"/>
      <c r="F30" s="2"/>
    </row>
    <row r="31" spans="2:6" ht="14.25">
      <c r="B31" s="2"/>
      <c r="C31" s="2"/>
      <c r="D31" s="9"/>
      <c r="E31" s="2"/>
      <c r="F31" s="2"/>
    </row>
    <row r="32" spans="2:6" ht="14.25">
      <c r="B32" s="2"/>
      <c r="C32" s="2"/>
      <c r="D32" s="9"/>
      <c r="E32" s="2"/>
      <c r="F32" s="2"/>
    </row>
    <row r="33" spans="2:6" ht="14.25">
      <c r="B33" s="2"/>
      <c r="C33" s="2"/>
      <c r="D33" s="9"/>
      <c r="E33" s="2"/>
      <c r="F33" s="2"/>
    </row>
    <row r="34" spans="2:6" ht="14.25">
      <c r="B34" s="2"/>
      <c r="C34" s="2"/>
      <c r="D34" s="9"/>
      <c r="E34" s="2"/>
      <c r="F34" s="2"/>
    </row>
    <row r="35" spans="2:6" ht="14.25">
      <c r="B35" s="2"/>
      <c r="C35" s="2"/>
      <c r="D35" s="9"/>
      <c r="E35" s="2"/>
      <c r="F35" s="2"/>
    </row>
    <row r="36" spans="2:6" ht="14.25">
      <c r="B36" s="2"/>
      <c r="C36" s="2"/>
      <c r="D36" s="9"/>
      <c r="E36" s="2"/>
      <c r="F36" s="2"/>
    </row>
    <row r="37" spans="2:6" ht="14.25">
      <c r="B37" s="2"/>
      <c r="C37" s="2"/>
      <c r="D37" s="9"/>
      <c r="E37" s="2"/>
      <c r="F37" s="2"/>
    </row>
    <row r="38" spans="2:6" ht="14.25">
      <c r="B38" s="2"/>
      <c r="C38" s="2"/>
      <c r="D38" s="9"/>
      <c r="E38" s="2"/>
      <c r="F38" s="2"/>
    </row>
    <row r="39" spans="2:6" ht="14.25">
      <c r="B39" s="2"/>
      <c r="C39" s="2"/>
      <c r="D39" s="9"/>
      <c r="E39" s="2"/>
      <c r="F39" s="2"/>
    </row>
    <row r="40" spans="2:6" ht="14.25">
      <c r="B40" s="2"/>
      <c r="C40" s="2"/>
      <c r="D40" s="9"/>
      <c r="E40" s="2"/>
      <c r="F40" s="2"/>
    </row>
    <row r="41" spans="2:6" ht="14.25">
      <c r="B41" s="2"/>
      <c r="C41" s="2"/>
      <c r="D41" s="9"/>
      <c r="E41" s="2"/>
      <c r="F41" s="2"/>
    </row>
    <row r="42" spans="2:6" ht="14.25">
      <c r="B42" s="2"/>
      <c r="C42" s="2"/>
      <c r="D42" s="9"/>
      <c r="E42" s="2"/>
      <c r="F42" s="2"/>
    </row>
    <row r="43" spans="2:6" ht="14.25">
      <c r="B43" s="2"/>
      <c r="C43" s="2"/>
      <c r="D43" s="9"/>
      <c r="E43" s="2"/>
      <c r="F43" s="2"/>
    </row>
    <row r="44" spans="2:6" ht="14.25">
      <c r="B44" s="2"/>
      <c r="C44" s="2"/>
      <c r="D44" s="9"/>
      <c r="E44" s="2"/>
      <c r="F44" s="2"/>
    </row>
    <row r="45" spans="2:6" ht="14.25">
      <c r="B45" s="2"/>
      <c r="C45" s="2"/>
      <c r="D45" s="9"/>
      <c r="E45" s="2"/>
      <c r="F45" s="2"/>
    </row>
    <row r="46" spans="2:6" ht="14.25">
      <c r="B46" s="2"/>
      <c r="C46" s="2"/>
      <c r="D46" s="9"/>
      <c r="E46" s="2"/>
      <c r="F46" s="2"/>
    </row>
    <row r="47" spans="2:6" ht="14.25">
      <c r="B47" s="2"/>
      <c r="C47" s="2"/>
      <c r="D47" s="9"/>
      <c r="E47" s="2"/>
      <c r="F47" s="2"/>
    </row>
    <row r="48" spans="2:6" ht="14.25">
      <c r="B48" s="2"/>
      <c r="C48" s="2"/>
      <c r="D48" s="9"/>
      <c r="E48" s="2"/>
      <c r="F48" s="2"/>
    </row>
    <row r="49" spans="2:6" ht="14.25">
      <c r="B49" s="2"/>
      <c r="C49" s="2"/>
      <c r="D49" s="9"/>
      <c r="E49" s="2"/>
      <c r="F49" s="2"/>
    </row>
    <row r="50" spans="2:6" ht="14.25">
      <c r="B50" s="2"/>
      <c r="C50" s="2"/>
      <c r="D50" s="9"/>
      <c r="E50" s="2"/>
      <c r="F50" s="2"/>
    </row>
    <row r="51" spans="2:6" ht="14.25">
      <c r="B51" s="2"/>
      <c r="C51" s="2"/>
      <c r="D51" s="9"/>
      <c r="E51" s="2"/>
      <c r="F51" s="2"/>
    </row>
    <row r="52" spans="2:6" ht="14.25">
      <c r="B52" s="2"/>
      <c r="C52" s="2"/>
      <c r="D52" s="9"/>
      <c r="E52" s="2"/>
      <c r="F52" s="2"/>
    </row>
    <row r="53" spans="2:6" ht="14.25">
      <c r="B53" s="2"/>
      <c r="C53" s="2"/>
      <c r="D53" s="9"/>
      <c r="E53" s="2"/>
      <c r="F53" s="2"/>
    </row>
    <row r="54" spans="2:6" ht="14.25">
      <c r="B54" s="2"/>
      <c r="C54" s="2"/>
      <c r="D54" s="9"/>
      <c r="E54" s="2"/>
      <c r="F54" s="2"/>
    </row>
    <row r="55" spans="2:6" ht="14.25">
      <c r="B55" s="2"/>
      <c r="C55" s="2"/>
      <c r="D55" s="9"/>
      <c r="E55" s="2"/>
      <c r="F55" s="2"/>
    </row>
    <row r="56" spans="2:6" ht="14.25">
      <c r="B56" s="2"/>
      <c r="C56" s="2"/>
      <c r="D56" s="9"/>
      <c r="E56" s="2"/>
      <c r="F56" s="2"/>
    </row>
    <row r="57" spans="2:6" ht="14.25">
      <c r="B57" s="2"/>
      <c r="C57" s="2"/>
      <c r="D57" s="9"/>
      <c r="E57" s="2"/>
      <c r="F57" s="2"/>
    </row>
    <row r="58" spans="2:6" ht="14.25">
      <c r="B58" s="2"/>
      <c r="C58" s="2"/>
      <c r="D58" s="9"/>
      <c r="E58" s="2"/>
      <c r="F58" s="2"/>
    </row>
    <row r="59" spans="2:6" ht="14.25">
      <c r="B59" s="2"/>
      <c r="C59" s="2"/>
      <c r="D59" s="9"/>
      <c r="E59" s="2"/>
      <c r="F59" s="2"/>
    </row>
    <row r="60" spans="2:6" ht="14.25">
      <c r="B60" s="2"/>
      <c r="C60" s="2"/>
      <c r="D60" s="9"/>
      <c r="E60" s="2"/>
      <c r="F60" s="2"/>
    </row>
    <row r="61" spans="2:6" ht="14.25">
      <c r="B61" s="2"/>
      <c r="C61" s="2"/>
      <c r="D61" s="9"/>
      <c r="E61" s="2"/>
      <c r="F61" s="2"/>
    </row>
    <row r="62" spans="2:6" ht="14.25">
      <c r="B62" s="2"/>
      <c r="C62" s="2"/>
      <c r="D62" s="9"/>
      <c r="E62" s="2"/>
      <c r="F62" s="2"/>
    </row>
    <row r="63" spans="2:6" ht="14.25">
      <c r="B63" s="2"/>
      <c r="C63" s="2"/>
      <c r="D63" s="9"/>
      <c r="E63" s="2"/>
      <c r="F63" s="2"/>
    </row>
    <row r="64" spans="2:6" ht="14.25">
      <c r="B64" s="2"/>
      <c r="C64" s="2"/>
      <c r="D64" s="9"/>
      <c r="E64" s="2"/>
      <c r="F64" s="2"/>
    </row>
    <row r="65" spans="2:6" ht="14.25">
      <c r="B65" s="2"/>
      <c r="C65" s="2"/>
      <c r="D65" s="9"/>
      <c r="E65" s="2"/>
      <c r="F65" s="2"/>
    </row>
    <row r="66" spans="2:6" ht="14.25">
      <c r="B66" s="2"/>
      <c r="C66" s="2"/>
      <c r="D66" s="9"/>
      <c r="E66" s="2"/>
      <c r="F66" s="2"/>
    </row>
    <row r="67" spans="2:6" ht="14.25">
      <c r="B67" s="2"/>
      <c r="C67" s="2"/>
      <c r="D67" s="9"/>
      <c r="E67" s="2"/>
      <c r="F67" s="2"/>
    </row>
    <row r="68" spans="2:6" ht="14.25">
      <c r="B68" s="2"/>
      <c r="C68" s="2"/>
      <c r="D68" s="9"/>
      <c r="E68" s="2"/>
      <c r="F68" s="2"/>
    </row>
    <row r="69" spans="2:6" ht="14.25">
      <c r="B69" s="2"/>
      <c r="C69" s="2"/>
      <c r="D69" s="9"/>
      <c r="E69" s="2"/>
      <c r="F69" s="2"/>
    </row>
    <row r="70" spans="2:6" ht="14.25">
      <c r="B70" s="2"/>
      <c r="C70" s="2"/>
      <c r="D70" s="9"/>
      <c r="E70" s="2"/>
      <c r="F70" s="2"/>
    </row>
    <row r="71" spans="2:6" ht="14.25">
      <c r="B71" s="2"/>
      <c r="C71" s="2"/>
      <c r="D71" s="9"/>
      <c r="E71" s="2"/>
      <c r="F71" s="2"/>
    </row>
    <row r="72" spans="2:6" ht="14.25">
      <c r="B72" s="2"/>
      <c r="C72" s="2"/>
      <c r="D72" s="9"/>
      <c r="E72" s="2"/>
      <c r="F72" s="2"/>
    </row>
    <row r="73" spans="2:6" ht="14.25">
      <c r="B73" s="2"/>
      <c r="C73" s="2"/>
      <c r="D73" s="9"/>
      <c r="E73" s="2"/>
      <c r="F73" s="2"/>
    </row>
    <row r="74" spans="2:6" ht="14.25">
      <c r="B74" s="2"/>
      <c r="C74" s="2"/>
      <c r="D74" s="9"/>
      <c r="E74" s="2"/>
      <c r="F74" s="2"/>
    </row>
    <row r="75" spans="2:6" ht="14.25">
      <c r="B75" s="2"/>
      <c r="C75" s="2"/>
      <c r="D75" s="9"/>
      <c r="E75" s="2"/>
      <c r="F75" s="2"/>
    </row>
    <row r="76" spans="2:6" ht="14.25">
      <c r="B76" s="2"/>
      <c r="C76" s="2"/>
      <c r="D76" s="9"/>
      <c r="E76" s="2"/>
      <c r="F76" s="2"/>
    </row>
    <row r="77" spans="2:6" ht="14.25">
      <c r="B77" s="2"/>
      <c r="C77" s="2"/>
      <c r="D77" s="9"/>
      <c r="E77" s="2"/>
      <c r="F77" s="2"/>
    </row>
    <row r="78" spans="2:6" ht="14.25">
      <c r="B78" s="2"/>
      <c r="C78" s="2"/>
      <c r="D78" s="9"/>
      <c r="E78" s="2"/>
      <c r="F78" s="2"/>
    </row>
    <row r="79" spans="2:6" ht="14.25">
      <c r="B79" s="2"/>
      <c r="C79" s="2"/>
      <c r="D79" s="9"/>
      <c r="E79" s="2"/>
      <c r="F79" s="2"/>
    </row>
    <row r="80" spans="2:6" ht="14.25">
      <c r="B80" s="2"/>
      <c r="C80" s="2"/>
      <c r="D80" s="9"/>
      <c r="E80" s="2"/>
      <c r="F80" s="2"/>
    </row>
    <row r="81" spans="2:6" ht="14.25">
      <c r="B81" s="2"/>
      <c r="C81" s="2"/>
      <c r="D81" s="9"/>
      <c r="E81" s="2"/>
      <c r="F81" s="2"/>
    </row>
    <row r="82" spans="2:6" ht="14.25">
      <c r="B82" s="2"/>
      <c r="C82" s="2"/>
      <c r="D82" s="9"/>
      <c r="E82" s="2"/>
      <c r="F82" s="2"/>
    </row>
    <row r="83" spans="2:6" ht="14.25">
      <c r="B83" s="2"/>
      <c r="C83" s="2"/>
      <c r="D83" s="9"/>
      <c r="E83" s="2"/>
      <c r="F83" s="2"/>
    </row>
    <row r="84" spans="2:6" ht="14.25">
      <c r="B84" s="2"/>
      <c r="C84" s="2"/>
      <c r="D84" s="9"/>
      <c r="E84" s="2"/>
      <c r="F84" s="2"/>
    </row>
    <row r="85" spans="2:6" ht="14.25">
      <c r="B85" s="2"/>
      <c r="C85" s="2"/>
      <c r="D85" s="9"/>
      <c r="E85" s="2"/>
      <c r="F85" s="2"/>
    </row>
    <row r="86" spans="2:6" ht="14.25">
      <c r="B86" s="2"/>
      <c r="C86" s="2"/>
      <c r="D86" s="9"/>
      <c r="E86" s="2"/>
      <c r="F86" s="2"/>
    </row>
    <row r="87" spans="2:6" ht="14.25">
      <c r="B87" s="2"/>
      <c r="C87" s="2"/>
      <c r="D87" s="9"/>
      <c r="E87" s="2"/>
      <c r="F87" s="2"/>
    </row>
    <row r="88" spans="2:6" ht="14.25">
      <c r="B88" s="2"/>
      <c r="C88" s="2"/>
      <c r="D88" s="9"/>
      <c r="E88" s="2"/>
      <c r="F88" s="2"/>
    </row>
    <row r="89" spans="2:6" ht="14.25">
      <c r="B89" s="2"/>
      <c r="C89" s="2"/>
      <c r="D89" s="9"/>
      <c r="E89" s="2"/>
      <c r="F89" s="2"/>
    </row>
    <row r="90" spans="2:6" ht="14.25">
      <c r="B90" s="2"/>
      <c r="C90" s="2"/>
      <c r="D90" s="9"/>
      <c r="E90" s="2"/>
      <c r="F90" s="2"/>
    </row>
    <row r="91" spans="2:6" ht="14.25">
      <c r="B91" s="2"/>
      <c r="C91" s="2"/>
      <c r="D91" s="9"/>
      <c r="E91" s="2"/>
      <c r="F91" s="2"/>
    </row>
    <row r="92" spans="2:6" ht="14.25">
      <c r="B92" s="2"/>
      <c r="C92" s="2"/>
      <c r="D92" s="9"/>
      <c r="E92" s="2"/>
      <c r="F92" s="2"/>
    </row>
    <row r="93" spans="2:6" ht="14.25">
      <c r="B93" s="2"/>
      <c r="C93" s="2"/>
      <c r="D93" s="9"/>
      <c r="E93" s="2"/>
      <c r="F93" s="2"/>
    </row>
    <row r="94" spans="2:6" ht="14.25">
      <c r="B94" s="2"/>
      <c r="C94" s="2"/>
      <c r="D94" s="9"/>
      <c r="E94" s="2"/>
      <c r="F94" s="2"/>
    </row>
    <row r="95" spans="2:6" ht="14.25">
      <c r="B95" s="2"/>
      <c r="C95" s="2"/>
      <c r="D95" s="9"/>
      <c r="E95" s="2"/>
      <c r="F95" s="2"/>
    </row>
    <row r="96" spans="2:6" ht="14.25">
      <c r="B96" s="2"/>
      <c r="C96" s="2"/>
      <c r="D96" s="9"/>
      <c r="E96" s="2"/>
      <c r="F96" s="2"/>
    </row>
    <row r="97" spans="2:6" ht="14.25">
      <c r="B97" s="2"/>
      <c r="C97" s="2"/>
      <c r="D97" s="9"/>
      <c r="E97" s="2"/>
      <c r="F97" s="2"/>
    </row>
    <row r="98" spans="2:6" ht="14.25">
      <c r="B98" s="2"/>
      <c r="C98" s="2"/>
      <c r="D98" s="9"/>
      <c r="E98" s="2"/>
      <c r="F98" s="2"/>
    </row>
    <row r="99" spans="2:6" ht="14.25">
      <c r="B99" s="2"/>
      <c r="C99" s="2"/>
      <c r="D99" s="9"/>
      <c r="E99" s="2"/>
      <c r="F99" s="2"/>
    </row>
    <row r="100" spans="2:6" ht="14.25">
      <c r="B100" s="2"/>
      <c r="C100" s="2"/>
      <c r="D100" s="9"/>
      <c r="E100" s="2"/>
      <c r="F100" s="2"/>
    </row>
    <row r="101" spans="2:6" ht="14.25">
      <c r="B101" s="2"/>
      <c r="C101" s="2"/>
      <c r="D101" s="9"/>
      <c r="E101" s="2"/>
      <c r="F101" s="2"/>
    </row>
    <row r="102" spans="2:6" ht="14.25">
      <c r="B102" s="2"/>
      <c r="C102" s="2"/>
      <c r="D102" s="9"/>
      <c r="E102" s="2"/>
      <c r="F102" s="2"/>
    </row>
    <row r="103" spans="2:6" ht="14.25">
      <c r="B103" s="2"/>
      <c r="C103" s="2"/>
      <c r="D103" s="9"/>
      <c r="E103" s="2"/>
      <c r="F103" s="2"/>
    </row>
    <row r="104" spans="2:6" ht="14.25">
      <c r="B104" s="2"/>
      <c r="C104" s="2"/>
      <c r="D104" s="9"/>
      <c r="E104" s="2"/>
      <c r="F104" s="2"/>
    </row>
    <row r="105" spans="2:6" ht="14.25">
      <c r="B105" s="2"/>
      <c r="C105" s="2"/>
      <c r="D105" s="9"/>
      <c r="E105" s="2"/>
      <c r="F105" s="2"/>
    </row>
    <row r="106" spans="2:6" ht="14.25">
      <c r="B106" s="2"/>
      <c r="C106" s="2"/>
      <c r="D106" s="9"/>
      <c r="E106" s="2"/>
      <c r="F106" s="2"/>
    </row>
    <row r="107" spans="2:6" ht="14.25">
      <c r="B107" s="2"/>
      <c r="C107" s="2"/>
      <c r="D107" s="9"/>
      <c r="E107" s="2"/>
      <c r="F107" s="2"/>
    </row>
    <row r="108" spans="2:6" ht="14.25">
      <c r="B108" s="2"/>
      <c r="C108" s="2"/>
      <c r="D108" s="9"/>
      <c r="E108" s="2"/>
      <c r="F108" s="2"/>
    </row>
    <row r="109" spans="2:6" ht="14.25">
      <c r="B109" s="2"/>
      <c r="C109" s="2"/>
      <c r="D109" s="9"/>
      <c r="E109" s="2"/>
      <c r="F109" s="2"/>
    </row>
    <row r="110" spans="2:6" ht="14.25">
      <c r="B110" s="2"/>
      <c r="C110" s="2"/>
      <c r="D110" s="9"/>
      <c r="E110" s="2"/>
      <c r="F110" s="2"/>
    </row>
    <row r="111" spans="2:6" ht="14.25">
      <c r="B111" s="2"/>
      <c r="C111" s="2"/>
      <c r="D111" s="9"/>
      <c r="E111" s="2"/>
      <c r="F111" s="2"/>
    </row>
    <row r="112" spans="2:6" ht="14.25">
      <c r="B112" s="2"/>
      <c r="C112" s="2"/>
      <c r="D112" s="9"/>
      <c r="E112" s="2"/>
      <c r="F112" s="2"/>
    </row>
    <row r="113" spans="2:6" ht="14.25">
      <c r="B113" s="2"/>
      <c r="C113" s="2"/>
      <c r="D113" s="9"/>
      <c r="E113" s="2"/>
      <c r="F113" s="2"/>
    </row>
    <row r="114" spans="2:6" ht="14.25">
      <c r="B114" s="2"/>
      <c r="C114" s="2"/>
      <c r="D114" s="9"/>
      <c r="E114" s="2"/>
      <c r="F114" s="2"/>
    </row>
    <row r="115" spans="2:6" ht="14.25">
      <c r="B115" s="2"/>
      <c r="C115" s="2"/>
      <c r="D115" s="9"/>
      <c r="E115" s="2"/>
      <c r="F115" s="2"/>
    </row>
    <row r="116" spans="2:6" ht="14.25">
      <c r="B116" s="2"/>
      <c r="C116" s="2"/>
      <c r="D116" s="9"/>
      <c r="E116" s="2"/>
      <c r="F116" s="2"/>
    </row>
    <row r="117" spans="2:6" ht="14.25">
      <c r="B117" s="2"/>
      <c r="C117" s="2"/>
      <c r="D117" s="9"/>
      <c r="E117" s="2"/>
      <c r="F117" s="2"/>
    </row>
    <row r="118" spans="2:6" ht="14.25">
      <c r="B118" s="2"/>
      <c r="C118" s="2"/>
      <c r="D118" s="9"/>
      <c r="E118" s="2"/>
      <c r="F118" s="2"/>
    </row>
    <row r="119" spans="2:6" ht="14.25">
      <c r="B119" s="2"/>
      <c r="C119" s="2"/>
      <c r="D119" s="9"/>
      <c r="E119" s="2"/>
      <c r="F119" s="2"/>
    </row>
    <row r="120" spans="2:6" ht="14.25">
      <c r="B120" s="2"/>
      <c r="C120" s="2"/>
      <c r="D120" s="9"/>
      <c r="E120" s="2"/>
      <c r="F120" s="2"/>
    </row>
    <row r="121" spans="2:6" ht="14.25">
      <c r="B121" s="2"/>
      <c r="C121" s="2"/>
      <c r="D121" s="9"/>
      <c r="E121" s="2"/>
      <c r="F121" s="2"/>
    </row>
    <row r="122" spans="2:6" ht="14.25">
      <c r="B122" s="2"/>
      <c r="C122" s="2"/>
      <c r="D122" s="9"/>
      <c r="E122" s="2"/>
      <c r="F122" s="2"/>
    </row>
    <row r="123" spans="2:6" ht="14.25">
      <c r="B123" s="2"/>
      <c r="C123" s="2"/>
      <c r="D123" s="9"/>
      <c r="E123" s="2"/>
      <c r="F123" s="2"/>
    </row>
    <row r="124" spans="2:6" ht="14.25">
      <c r="B124" s="2"/>
      <c r="C124" s="2"/>
      <c r="D124" s="9"/>
      <c r="E124" s="2"/>
      <c r="F124" s="2"/>
    </row>
    <row r="125" spans="2:6" ht="14.25">
      <c r="B125" s="2"/>
      <c r="C125" s="2"/>
      <c r="D125" s="9"/>
      <c r="E125" s="2"/>
      <c r="F125" s="2"/>
    </row>
    <row r="126" spans="2:6" ht="14.25">
      <c r="B126" s="2"/>
      <c r="C126" s="2"/>
      <c r="D126" s="9"/>
      <c r="E126" s="2"/>
      <c r="F126" s="2"/>
    </row>
    <row r="127" spans="2:6" ht="14.25">
      <c r="B127" s="2"/>
      <c r="C127" s="2"/>
      <c r="D127" s="9"/>
      <c r="E127" s="2"/>
      <c r="F127" s="2"/>
    </row>
    <row r="128" spans="2:6" ht="14.25">
      <c r="B128" s="2"/>
      <c r="C128" s="2"/>
      <c r="D128" s="9"/>
      <c r="E128" s="2"/>
      <c r="F128" s="2"/>
    </row>
    <row r="129" spans="2:6" ht="14.25">
      <c r="B129" s="2"/>
      <c r="C129" s="2"/>
      <c r="D129" s="9"/>
      <c r="E129" s="2"/>
      <c r="F129" s="2"/>
    </row>
    <row r="130" spans="2:6" ht="14.25">
      <c r="B130" s="2"/>
      <c r="C130" s="2"/>
      <c r="D130" s="9"/>
      <c r="E130" s="2"/>
      <c r="F130" s="2"/>
    </row>
    <row r="131" spans="2:6" ht="14.25">
      <c r="B131" s="2"/>
      <c r="C131" s="2"/>
      <c r="D131" s="9"/>
      <c r="E131" s="2"/>
      <c r="F131" s="2"/>
    </row>
    <row r="132" spans="2:6" ht="14.25">
      <c r="B132" s="2"/>
      <c r="C132" s="2"/>
      <c r="D132" s="9"/>
      <c r="E132" s="2"/>
      <c r="F132" s="2"/>
    </row>
    <row r="133" spans="2:6" ht="14.25">
      <c r="B133" s="2"/>
      <c r="C133" s="2"/>
      <c r="D133" s="9"/>
      <c r="E133" s="2"/>
      <c r="F133" s="2"/>
    </row>
    <row r="134" spans="2:6" ht="14.25">
      <c r="B134" s="2"/>
      <c r="C134" s="2"/>
      <c r="D134" s="9"/>
      <c r="E134" s="2"/>
      <c r="F134" s="2"/>
    </row>
    <row r="135" spans="2:6" ht="14.25">
      <c r="B135" s="2"/>
      <c r="C135" s="2"/>
      <c r="D135" s="9"/>
      <c r="E135" s="2"/>
      <c r="F135" s="2"/>
    </row>
    <row r="136" spans="2:6" ht="14.25">
      <c r="B136" s="2"/>
      <c r="C136" s="2"/>
      <c r="D136" s="9"/>
      <c r="E136" s="2"/>
      <c r="F136" s="2"/>
    </row>
    <row r="137" spans="2:6" ht="14.25">
      <c r="B137" s="2"/>
      <c r="C137" s="2"/>
      <c r="D137" s="9"/>
      <c r="E137" s="2"/>
      <c r="F137" s="2"/>
    </row>
    <row r="138" spans="2:6" ht="14.25">
      <c r="B138" s="2"/>
      <c r="C138" s="2"/>
      <c r="D138" s="9"/>
      <c r="E138" s="2"/>
      <c r="F138" s="2"/>
    </row>
    <row r="139" spans="2:6" ht="14.25">
      <c r="B139" s="2"/>
      <c r="C139" s="2"/>
      <c r="D139" s="9"/>
      <c r="E139" s="2"/>
      <c r="F139" s="2"/>
    </row>
    <row r="140" spans="2:6" ht="14.25">
      <c r="B140" s="2"/>
      <c r="C140" s="2"/>
      <c r="D140" s="9"/>
      <c r="E140" s="2"/>
      <c r="F140" s="2"/>
    </row>
    <row r="141" spans="2:6" ht="14.25">
      <c r="B141" s="2"/>
      <c r="C141" s="2"/>
      <c r="D141" s="9"/>
      <c r="E141" s="2"/>
      <c r="F141" s="2"/>
    </row>
    <row r="142" spans="2:6" ht="14.25">
      <c r="B142" s="2"/>
      <c r="C142" s="2"/>
      <c r="D142" s="9"/>
      <c r="E142" s="2"/>
      <c r="F142" s="2"/>
    </row>
    <row r="143" spans="2:6" ht="14.25">
      <c r="B143" s="2"/>
      <c r="C143" s="2"/>
      <c r="D143" s="9"/>
      <c r="E143" s="2"/>
      <c r="F143" s="2"/>
    </row>
    <row r="144" spans="2:6" ht="14.25">
      <c r="B144" s="2"/>
      <c r="C144" s="2"/>
      <c r="D144" s="9"/>
      <c r="E144" s="2"/>
      <c r="F144" s="2"/>
    </row>
    <row r="145" spans="2:6" ht="14.25">
      <c r="B145" s="2"/>
      <c r="C145" s="2"/>
      <c r="D145" s="9"/>
      <c r="E145" s="2"/>
      <c r="F145" s="2"/>
    </row>
    <row r="146" spans="2:6" ht="14.25">
      <c r="B146" s="2"/>
      <c r="C146" s="2"/>
      <c r="D146" s="9"/>
      <c r="E146" s="2"/>
      <c r="F146" s="2"/>
    </row>
    <row r="147" spans="2:6" ht="14.25">
      <c r="B147" s="2"/>
      <c r="C147" s="2"/>
      <c r="D147" s="9"/>
      <c r="E147" s="2"/>
      <c r="F147" s="2"/>
    </row>
    <row r="148" spans="2:6" ht="14.25">
      <c r="B148" s="2"/>
      <c r="C148" s="2"/>
      <c r="D148" s="9"/>
      <c r="E148" s="2"/>
      <c r="F148" s="2"/>
    </row>
    <row r="149" spans="2:6" ht="14.25">
      <c r="B149" s="2"/>
      <c r="C149" s="2"/>
      <c r="D149" s="9"/>
      <c r="E149" s="2"/>
      <c r="F149" s="2"/>
    </row>
    <row r="150" spans="2:6" ht="14.25">
      <c r="B150" s="2"/>
      <c r="C150" s="2"/>
      <c r="D150" s="9"/>
      <c r="E150" s="2"/>
      <c r="F150" s="2"/>
    </row>
    <row r="151" spans="2:6" ht="14.25">
      <c r="B151" s="2"/>
      <c r="C151" s="2"/>
      <c r="D151" s="9"/>
      <c r="E151" s="2"/>
      <c r="F151" s="2"/>
    </row>
    <row r="152" spans="2:6" ht="14.25">
      <c r="B152" s="2"/>
      <c r="C152" s="2"/>
      <c r="D152" s="9"/>
      <c r="E152" s="2"/>
      <c r="F152" s="2"/>
    </row>
    <row r="153" spans="2:6" ht="14.25">
      <c r="B153" s="2"/>
      <c r="C153" s="2"/>
      <c r="D153" s="9"/>
      <c r="E153" s="2"/>
      <c r="F153" s="2"/>
    </row>
    <row r="154" spans="2:6" ht="14.25">
      <c r="B154" s="2"/>
      <c r="C154" s="2"/>
      <c r="D154" s="9"/>
      <c r="E154" s="2"/>
      <c r="F154" s="2"/>
    </row>
    <row r="155" spans="2:6" ht="14.25">
      <c r="B155" s="2"/>
      <c r="C155" s="2"/>
      <c r="D155" s="9"/>
      <c r="E155" s="2"/>
      <c r="F155" s="2"/>
    </row>
    <row r="156" spans="2:6" ht="14.25">
      <c r="B156" s="2"/>
      <c r="C156" s="2"/>
      <c r="D156" s="9"/>
      <c r="E156" s="2"/>
      <c r="F156" s="2"/>
    </row>
    <row r="157" spans="2:6" ht="14.25">
      <c r="B157" s="2"/>
      <c r="C157" s="2"/>
      <c r="D157" s="9"/>
      <c r="E157" s="2"/>
      <c r="F157" s="2"/>
    </row>
    <row r="158" spans="2:6" ht="14.25">
      <c r="B158" s="2"/>
      <c r="C158" s="2"/>
      <c r="D158" s="9"/>
      <c r="E158" s="2"/>
      <c r="F158" s="2"/>
    </row>
    <row r="159" spans="2:6" ht="14.25">
      <c r="B159" s="2"/>
      <c r="C159" s="2"/>
      <c r="D159" s="9"/>
      <c r="E159" s="2"/>
      <c r="F159" s="2"/>
    </row>
    <row r="160" spans="2:6" ht="14.25">
      <c r="B160" s="2"/>
      <c r="C160" s="2"/>
      <c r="D160" s="9"/>
      <c r="E160" s="2"/>
      <c r="F160" s="2"/>
    </row>
    <row r="161" spans="2:6" ht="14.25">
      <c r="B161" s="2"/>
      <c r="C161" s="2"/>
      <c r="D161" s="9"/>
      <c r="E161" s="2"/>
      <c r="F161" s="2"/>
    </row>
    <row r="162" spans="2:6" ht="14.25">
      <c r="B162" s="2"/>
      <c r="C162" s="2"/>
      <c r="D162" s="9"/>
      <c r="E162" s="2"/>
      <c r="F162" s="2"/>
    </row>
    <row r="163" spans="2:6" ht="14.25">
      <c r="B163" s="2"/>
      <c r="C163" s="2"/>
      <c r="D163" s="9"/>
      <c r="E163" s="2"/>
      <c r="F163" s="2"/>
    </row>
    <row r="164" spans="2:6" ht="14.25">
      <c r="B164" s="2"/>
      <c r="C164" s="2"/>
      <c r="D164" s="9"/>
      <c r="E164" s="2"/>
      <c r="F164" s="2"/>
    </row>
    <row r="165" spans="2:6" ht="14.25">
      <c r="B165" s="2"/>
      <c r="C165" s="2"/>
      <c r="D165" s="9"/>
      <c r="E165" s="2"/>
      <c r="F165" s="2"/>
    </row>
    <row r="166" spans="2:6" ht="14.25">
      <c r="B166" s="2"/>
      <c r="C166" s="2"/>
      <c r="D166" s="9"/>
      <c r="E166" s="2"/>
      <c r="F166" s="2"/>
    </row>
    <row r="167" spans="2:6" ht="14.25">
      <c r="B167" s="2"/>
      <c r="C167" s="2"/>
      <c r="D167" s="9"/>
      <c r="E167" s="2"/>
      <c r="F167" s="2"/>
    </row>
    <row r="168" spans="2:6" ht="14.25">
      <c r="B168" s="2"/>
      <c r="C168" s="2"/>
      <c r="D168" s="9"/>
      <c r="E168" s="2"/>
      <c r="F168" s="2"/>
    </row>
    <row r="169" spans="2:6" ht="14.25">
      <c r="B169" s="2"/>
      <c r="C169" s="2"/>
      <c r="D169" s="9"/>
      <c r="E169" s="2"/>
      <c r="F169" s="2"/>
    </row>
    <row r="170" spans="2:6" ht="14.25">
      <c r="B170" s="2"/>
      <c r="C170" s="2"/>
      <c r="D170" s="9"/>
      <c r="E170" s="2"/>
      <c r="F170" s="2"/>
    </row>
    <row r="171" spans="2:6" ht="14.25">
      <c r="B171" s="2"/>
      <c r="C171" s="2"/>
      <c r="D171" s="9"/>
      <c r="E171" s="2"/>
      <c r="F171" s="2"/>
    </row>
    <row r="172" spans="2:6" ht="14.25">
      <c r="B172" s="2"/>
      <c r="C172" s="2"/>
      <c r="D172" s="9"/>
      <c r="E172" s="2"/>
      <c r="F172" s="2"/>
    </row>
    <row r="173" spans="2:6" ht="14.25">
      <c r="B173" s="2"/>
      <c r="C173" s="2"/>
      <c r="D173" s="9"/>
      <c r="E173" s="2"/>
      <c r="F173" s="2"/>
    </row>
    <row r="174" spans="2:6" ht="14.25">
      <c r="B174" s="2"/>
      <c r="C174" s="2"/>
      <c r="D174" s="9"/>
      <c r="E174" s="2"/>
      <c r="F174" s="2"/>
    </row>
    <row r="175" spans="2:6" ht="14.25">
      <c r="B175" s="2"/>
      <c r="C175" s="2"/>
      <c r="D175" s="9"/>
      <c r="E175" s="2"/>
      <c r="F175" s="2"/>
    </row>
    <row r="176" spans="2:6" ht="14.25">
      <c r="B176" s="2"/>
      <c r="C176" s="2"/>
      <c r="D176" s="9"/>
      <c r="E176" s="2"/>
      <c r="F176" s="2"/>
    </row>
    <row r="177" spans="2:6" ht="14.25">
      <c r="B177" s="2"/>
      <c r="C177" s="2"/>
      <c r="D177" s="9"/>
      <c r="E177" s="2"/>
      <c r="F177" s="2"/>
    </row>
    <row r="178" spans="2:6" ht="14.25">
      <c r="B178" s="2"/>
      <c r="C178" s="2"/>
      <c r="D178" s="9"/>
      <c r="E178" s="2"/>
      <c r="F178" s="2"/>
    </row>
    <row r="179" spans="2:6" ht="14.25">
      <c r="B179" s="2"/>
      <c r="C179" s="2"/>
      <c r="D179" s="9"/>
      <c r="E179" s="2"/>
      <c r="F179" s="2"/>
    </row>
    <row r="180" spans="2:6" ht="14.25">
      <c r="B180" s="2"/>
      <c r="C180" s="2"/>
      <c r="D180" s="9"/>
      <c r="E180" s="2"/>
      <c r="F180" s="2"/>
    </row>
    <row r="181" spans="2:6" ht="14.25">
      <c r="B181" s="2"/>
      <c r="C181" s="2"/>
      <c r="D181" s="9"/>
      <c r="E181" s="2"/>
      <c r="F181" s="2"/>
    </row>
    <row r="182" spans="2:6" ht="14.25">
      <c r="B182" s="2"/>
      <c r="C182" s="2"/>
      <c r="D182" s="9"/>
      <c r="E182" s="2"/>
      <c r="F182" s="2"/>
    </row>
    <row r="183" spans="2:6" ht="14.25">
      <c r="B183" s="2"/>
      <c r="C183" s="2"/>
      <c r="D183" s="9"/>
      <c r="E183" s="2"/>
      <c r="F183" s="2"/>
    </row>
    <row r="184" spans="2:6" ht="14.25">
      <c r="B184" s="2"/>
      <c r="C184" s="2"/>
      <c r="D184" s="9"/>
      <c r="E184" s="2"/>
      <c r="F184" s="2"/>
    </row>
    <row r="185" spans="2:6" ht="14.25">
      <c r="B185" s="2"/>
      <c r="C185" s="2"/>
      <c r="D185" s="9"/>
      <c r="E185" s="2"/>
      <c r="F185" s="2"/>
    </row>
    <row r="186" spans="2:6" ht="14.25">
      <c r="B186" s="2"/>
      <c r="C186" s="2"/>
      <c r="D186" s="9"/>
      <c r="E186" s="2"/>
      <c r="F186" s="2"/>
    </row>
    <row r="187" spans="2:6" ht="14.25">
      <c r="B187" s="2"/>
      <c r="C187" s="2"/>
      <c r="D187" s="9"/>
      <c r="E187" s="2"/>
      <c r="F187" s="2"/>
    </row>
    <row r="188" spans="2:6" ht="14.25">
      <c r="B188" s="2"/>
      <c r="C188" s="2"/>
      <c r="D188" s="9"/>
      <c r="E188" s="2"/>
      <c r="F188" s="2"/>
    </row>
    <row r="189" spans="2:6" ht="14.25">
      <c r="B189" s="2"/>
      <c r="C189" s="2"/>
      <c r="D189" s="9"/>
      <c r="E189" s="2"/>
      <c r="F189" s="2"/>
    </row>
    <row r="190" spans="2:6" ht="14.25">
      <c r="B190" s="2"/>
      <c r="C190" s="2"/>
      <c r="D190" s="9"/>
      <c r="E190" s="2"/>
      <c r="F190" s="2"/>
    </row>
    <row r="191" spans="2:6" ht="14.25">
      <c r="B191" s="2"/>
      <c r="C191" s="2"/>
      <c r="D191" s="9"/>
      <c r="E191" s="2"/>
      <c r="F191" s="2"/>
    </row>
    <row r="192" spans="2:6" ht="14.25">
      <c r="B192" s="2"/>
      <c r="C192" s="2"/>
      <c r="D192" s="9"/>
      <c r="E192" s="2"/>
      <c r="F192" s="2"/>
    </row>
    <row r="193" spans="2:6" ht="14.25">
      <c r="B193" s="2"/>
      <c r="C193" s="2"/>
      <c r="D193" s="9"/>
      <c r="E193" s="2"/>
      <c r="F193" s="2"/>
    </row>
    <row r="194" spans="2:6" ht="14.25">
      <c r="B194" s="2"/>
      <c r="C194" s="2"/>
      <c r="D194" s="9"/>
      <c r="E194" s="2"/>
      <c r="F194" s="2"/>
    </row>
    <row r="195" spans="2:6" ht="14.25">
      <c r="B195" s="2"/>
      <c r="C195" s="2"/>
      <c r="D195" s="9"/>
      <c r="E195" s="2"/>
      <c r="F195" s="2"/>
    </row>
    <row r="196" spans="2:6" ht="14.25">
      <c r="B196" s="2"/>
      <c r="C196" s="2"/>
      <c r="D196" s="9"/>
      <c r="E196" s="2"/>
      <c r="F196" s="2"/>
    </row>
    <row r="197" spans="2:6" ht="14.25">
      <c r="B197" s="2"/>
      <c r="C197" s="2"/>
      <c r="D197" s="9"/>
      <c r="E197" s="2"/>
      <c r="F197" s="2"/>
    </row>
    <row r="198" spans="2:6" ht="14.25">
      <c r="B198" s="2"/>
      <c r="C198" s="2"/>
      <c r="D198" s="9"/>
      <c r="E198" s="2"/>
      <c r="F198" s="2"/>
    </row>
    <row r="199" spans="2:6" ht="14.25">
      <c r="B199" s="2"/>
      <c r="C199" s="2"/>
      <c r="D199" s="9"/>
      <c r="E199" s="2"/>
      <c r="F199" s="2"/>
    </row>
    <row r="200" spans="2:6" ht="14.25">
      <c r="B200" s="2"/>
      <c r="C200" s="2"/>
      <c r="D200" s="9"/>
      <c r="E200" s="2"/>
      <c r="F200" s="2"/>
    </row>
    <row r="201" spans="2:6" ht="14.25">
      <c r="B201" s="2"/>
      <c r="C201" s="2"/>
      <c r="D201" s="9"/>
      <c r="E201" s="2"/>
      <c r="F201" s="2"/>
    </row>
    <row r="202" spans="2:6" ht="14.25">
      <c r="B202" s="2"/>
      <c r="C202" s="2"/>
      <c r="D202" s="9"/>
      <c r="E202" s="2"/>
      <c r="F202" s="2"/>
    </row>
    <row r="203" spans="2:6" ht="14.25">
      <c r="B203" s="2"/>
      <c r="C203" s="2"/>
      <c r="D203" s="9"/>
      <c r="E203" s="2"/>
      <c r="F203" s="2"/>
    </row>
    <row r="204" spans="2:6" ht="14.25">
      <c r="B204" s="2"/>
      <c r="C204" s="2"/>
      <c r="D204" s="9"/>
      <c r="E204" s="2"/>
      <c r="F204" s="2"/>
    </row>
    <row r="205" spans="2:6" ht="14.25">
      <c r="B205" s="2"/>
      <c r="C205" s="2"/>
      <c r="D205" s="9"/>
      <c r="E205" s="2"/>
      <c r="F205" s="2"/>
    </row>
    <row r="206" spans="2:6" ht="14.25">
      <c r="B206" s="2"/>
      <c r="C206" s="2"/>
      <c r="D206" s="9"/>
      <c r="E206" s="2"/>
      <c r="F206" s="2"/>
    </row>
    <row r="207" spans="2:6" ht="14.25">
      <c r="B207" s="2"/>
      <c r="C207" s="2"/>
      <c r="D207" s="9"/>
      <c r="E207" s="2"/>
      <c r="F207" s="2"/>
    </row>
    <row r="208" spans="2:6" ht="14.25">
      <c r="B208" s="2"/>
      <c r="C208" s="2"/>
      <c r="D208" s="9"/>
      <c r="E208" s="2"/>
      <c r="F208" s="2"/>
    </row>
    <row r="209" spans="2:6" ht="14.25">
      <c r="B209" s="2"/>
      <c r="C209" s="2"/>
      <c r="D209" s="9"/>
      <c r="E209" s="2"/>
      <c r="F209" s="2"/>
    </row>
    <row r="210" spans="2:6" ht="14.25">
      <c r="B210" s="2"/>
      <c r="C210" s="2"/>
      <c r="D210" s="9"/>
      <c r="E210" s="2"/>
      <c r="F210" s="2"/>
    </row>
    <row r="211" spans="2:6" ht="14.25">
      <c r="B211" s="2"/>
      <c r="C211" s="2"/>
      <c r="D211" s="9"/>
      <c r="E211" s="2"/>
      <c r="F211" s="2"/>
    </row>
    <row r="212" spans="2:6" ht="14.25">
      <c r="B212" s="2"/>
      <c r="C212" s="2"/>
      <c r="D212" s="9"/>
      <c r="E212" s="2"/>
      <c r="F212" s="2"/>
    </row>
    <row r="213" spans="2:6" ht="14.25">
      <c r="B213" s="2"/>
      <c r="C213" s="2"/>
      <c r="D213" s="9"/>
      <c r="E213" s="2"/>
      <c r="F213" s="2"/>
    </row>
    <row r="214" spans="2:6" ht="14.25">
      <c r="B214" s="2"/>
      <c r="C214" s="2"/>
      <c r="D214" s="9"/>
      <c r="E214" s="2"/>
      <c r="F214" s="2"/>
    </row>
    <row r="215" spans="2:6" ht="14.25">
      <c r="B215" s="2"/>
      <c r="C215" s="2"/>
      <c r="D215" s="9"/>
      <c r="E215" s="2"/>
      <c r="F215" s="2"/>
    </row>
    <row r="216" spans="2:6" ht="14.25">
      <c r="B216" s="2"/>
      <c r="C216" s="2"/>
      <c r="D216" s="9"/>
      <c r="E216" s="2"/>
      <c r="F216" s="2"/>
    </row>
    <row r="217" spans="2:6" ht="14.25">
      <c r="B217" s="2"/>
      <c r="C217" s="2"/>
      <c r="D217" s="9"/>
      <c r="E217" s="2"/>
      <c r="F217" s="2"/>
    </row>
    <row r="218" spans="2:6" ht="14.25">
      <c r="B218" s="2"/>
      <c r="C218" s="2"/>
      <c r="D218" s="9"/>
      <c r="E218" s="2"/>
      <c r="F218" s="2"/>
    </row>
    <row r="219" spans="2:6" ht="14.25">
      <c r="B219" s="2"/>
      <c r="C219" s="2"/>
      <c r="D219" s="9"/>
      <c r="E219" s="2"/>
      <c r="F219" s="2"/>
    </row>
    <row r="220" spans="2:6" ht="14.25">
      <c r="B220" s="2"/>
      <c r="C220" s="2"/>
      <c r="D220" s="9"/>
      <c r="E220" s="2"/>
      <c r="F220" s="2"/>
    </row>
    <row r="221" spans="2:6" ht="14.25">
      <c r="B221" s="2"/>
      <c r="C221" s="2"/>
      <c r="D221" s="9"/>
      <c r="E221" s="2"/>
      <c r="F221" s="2"/>
    </row>
    <row r="222" spans="2:6" ht="14.25">
      <c r="B222" s="2"/>
      <c r="C222" s="2"/>
      <c r="D222" s="9"/>
      <c r="E222" s="2"/>
      <c r="F222" s="2"/>
    </row>
    <row r="223" spans="2:6" ht="14.25">
      <c r="B223" s="2"/>
      <c r="C223" s="2"/>
      <c r="D223" s="9"/>
      <c r="E223" s="2"/>
      <c r="F223" s="2"/>
    </row>
    <row r="224" spans="2:6" ht="14.25">
      <c r="B224" s="2"/>
      <c r="C224" s="2"/>
      <c r="D224" s="9"/>
      <c r="E224" s="2"/>
      <c r="F224" s="2"/>
    </row>
    <row r="225" spans="2:6" ht="14.25">
      <c r="B225" s="2"/>
      <c r="C225" s="2"/>
      <c r="D225" s="9"/>
      <c r="E225" s="2"/>
      <c r="F225" s="2"/>
    </row>
    <row r="226" spans="2:6" ht="14.25">
      <c r="B226" s="2"/>
      <c r="C226" s="2"/>
      <c r="D226" s="9"/>
      <c r="E226" s="2"/>
      <c r="F226" s="2"/>
    </row>
    <row r="227" spans="2:6" ht="14.25">
      <c r="B227" s="2"/>
      <c r="C227" s="2"/>
      <c r="D227" s="9"/>
      <c r="E227" s="2"/>
      <c r="F227" s="2"/>
    </row>
    <row r="228" spans="2:6" ht="14.25">
      <c r="B228" s="2"/>
      <c r="C228" s="2"/>
      <c r="D228" s="9"/>
      <c r="E228" s="2"/>
      <c r="F228" s="2"/>
    </row>
    <row r="229" spans="2:6" ht="14.25">
      <c r="B229" s="2"/>
      <c r="C229" s="2"/>
      <c r="D229" s="9"/>
      <c r="E229" s="2"/>
      <c r="F229" s="2"/>
    </row>
    <row r="230" spans="2:6" ht="14.25">
      <c r="B230" s="2"/>
      <c r="C230" s="2"/>
      <c r="D230" s="9"/>
      <c r="E230" s="2"/>
      <c r="F230" s="2"/>
    </row>
    <row r="231" spans="2:6" ht="14.25">
      <c r="B231" s="2"/>
      <c r="C231" s="2"/>
      <c r="D231" s="9"/>
      <c r="E231" s="2"/>
      <c r="F231" s="2"/>
    </row>
    <row r="232" spans="2:6" ht="14.25">
      <c r="B232" s="2"/>
      <c r="C232" s="2"/>
      <c r="D232" s="9"/>
      <c r="E232" s="2"/>
      <c r="F232" s="2"/>
    </row>
    <row r="233" spans="2:6" ht="14.25">
      <c r="B233" s="2"/>
      <c r="C233" s="2"/>
      <c r="D233" s="9"/>
      <c r="E233" s="2"/>
      <c r="F233" s="2"/>
    </row>
    <row r="234" spans="2:6" ht="14.25">
      <c r="B234" s="2"/>
      <c r="C234" s="2"/>
      <c r="D234" s="9"/>
      <c r="E234" s="2"/>
      <c r="F234" s="2"/>
    </row>
    <row r="235" spans="2:6" ht="14.25">
      <c r="B235" s="2"/>
      <c r="C235" s="2"/>
      <c r="D235" s="9"/>
      <c r="E235" s="2"/>
      <c r="F235" s="2"/>
    </row>
    <row r="236" spans="2:6" ht="14.25">
      <c r="B236" s="2"/>
      <c r="C236" s="2"/>
      <c r="D236" s="9"/>
      <c r="E236" s="2"/>
      <c r="F236" s="2"/>
    </row>
    <row r="237" spans="2:6" ht="14.25">
      <c r="B237" s="2"/>
      <c r="C237" s="2"/>
      <c r="D237" s="9"/>
      <c r="E237" s="2"/>
      <c r="F237" s="2"/>
    </row>
    <row r="238" spans="2:6" ht="14.25">
      <c r="B238" s="2"/>
      <c r="C238" s="2"/>
      <c r="D238" s="9"/>
      <c r="E238" s="2"/>
      <c r="F238" s="2"/>
    </row>
    <row r="239" spans="2:6" ht="14.25">
      <c r="B239" s="2"/>
      <c r="C239" s="2"/>
      <c r="D239" s="9"/>
      <c r="E239" s="2"/>
      <c r="F239" s="2"/>
    </row>
    <row r="240" spans="2:6" ht="14.25">
      <c r="B240" s="2"/>
      <c r="C240" s="2"/>
      <c r="D240" s="9"/>
      <c r="E240" s="2"/>
      <c r="F240" s="2"/>
    </row>
    <row r="241" spans="2:6" ht="14.25">
      <c r="B241" s="2"/>
      <c r="C241" s="2"/>
      <c r="D241" s="9"/>
      <c r="E241" s="2"/>
      <c r="F241" s="2"/>
    </row>
    <row r="242" spans="2:6" ht="14.25">
      <c r="B242" s="2"/>
      <c r="C242" s="2"/>
      <c r="D242" s="9"/>
      <c r="E242" s="2"/>
      <c r="F242" s="2"/>
    </row>
    <row r="243" spans="2:6" ht="14.25">
      <c r="B243" s="2"/>
      <c r="C243" s="2"/>
      <c r="D243" s="9"/>
      <c r="E243" s="2"/>
      <c r="F243" s="2"/>
    </row>
    <row r="244" spans="2:6" ht="14.25">
      <c r="B244" s="2"/>
      <c r="C244" s="2"/>
      <c r="D244" s="9"/>
      <c r="E244" s="2"/>
      <c r="F244" s="2"/>
    </row>
    <row r="245" spans="2:6" ht="14.25">
      <c r="B245" s="2"/>
      <c r="C245" s="2"/>
      <c r="D245" s="9"/>
      <c r="E245" s="2"/>
      <c r="F245" s="2"/>
    </row>
    <row r="246" spans="2:6" ht="14.25">
      <c r="B246" s="2"/>
      <c r="C246" s="2"/>
      <c r="D246" s="9"/>
      <c r="E246" s="2"/>
      <c r="F246" s="2"/>
    </row>
    <row r="247" spans="2:6" ht="14.25">
      <c r="B247" s="2"/>
      <c r="C247" s="2"/>
      <c r="D247" s="9"/>
      <c r="E247" s="2"/>
      <c r="F247" s="2"/>
    </row>
    <row r="248" spans="2:6" ht="14.25">
      <c r="B248" s="2"/>
      <c r="C248" s="2"/>
      <c r="D248" s="9"/>
      <c r="E248" s="2"/>
      <c r="F248" s="2"/>
    </row>
    <row r="249" spans="2:6" ht="14.25">
      <c r="B249" s="2"/>
      <c r="C249" s="2"/>
      <c r="D249" s="9"/>
      <c r="E249" s="2"/>
      <c r="F249" s="2"/>
    </row>
    <row r="250" spans="2:6" ht="14.25">
      <c r="B250" s="2"/>
      <c r="C250" s="2"/>
      <c r="D250" s="9"/>
      <c r="E250" s="2"/>
      <c r="F250" s="2"/>
    </row>
    <row r="251" spans="2:6" ht="14.25">
      <c r="B251" s="2"/>
      <c r="C251" s="2"/>
      <c r="D251" s="9"/>
      <c r="E251" s="2"/>
      <c r="F251" s="2"/>
    </row>
    <row r="252" spans="2:6" ht="14.25">
      <c r="B252" s="2"/>
      <c r="C252" s="2"/>
      <c r="D252" s="9"/>
      <c r="E252" s="2"/>
      <c r="F252" s="2"/>
    </row>
    <row r="253" spans="2:6" ht="14.25">
      <c r="B253" s="2"/>
      <c r="C253" s="2"/>
      <c r="D253" s="9"/>
      <c r="E253" s="2"/>
      <c r="F253" s="2"/>
    </row>
    <row r="254" spans="2:6" ht="14.25">
      <c r="B254" s="2"/>
      <c r="C254" s="2"/>
      <c r="D254" s="9"/>
      <c r="E254" s="2"/>
      <c r="F254" s="2"/>
    </row>
    <row r="255" spans="2:6" ht="14.25">
      <c r="B255" s="2"/>
      <c r="C255" s="2"/>
      <c r="D255" s="9"/>
      <c r="E255" s="2"/>
      <c r="F255" s="2"/>
    </row>
    <row r="256" spans="2:6" ht="14.25">
      <c r="B256" s="2"/>
      <c r="C256" s="2"/>
      <c r="D256" s="9"/>
      <c r="E256" s="2"/>
      <c r="F256" s="2"/>
    </row>
    <row r="257" spans="2:6" ht="14.25">
      <c r="B257" s="2"/>
      <c r="C257" s="2"/>
      <c r="D257" s="9"/>
      <c r="E257" s="2"/>
      <c r="F257" s="2"/>
    </row>
    <row r="258" spans="2:6" ht="14.25">
      <c r="B258" s="2"/>
      <c r="C258" s="2"/>
      <c r="D258" s="9"/>
      <c r="E258" s="2"/>
      <c r="F258" s="2"/>
    </row>
    <row r="259" spans="2:6" ht="14.25">
      <c r="B259" s="2"/>
      <c r="C259" s="2"/>
      <c r="D259" s="9"/>
      <c r="E259" s="2"/>
      <c r="F259" s="2"/>
    </row>
    <row r="260" spans="2:6" ht="14.25">
      <c r="B260" s="2"/>
      <c r="C260" s="2"/>
      <c r="D260" s="9"/>
      <c r="E260" s="2"/>
      <c r="F260" s="2"/>
    </row>
    <row r="261" spans="2:6" ht="14.25">
      <c r="B261" s="2"/>
      <c r="C261" s="2"/>
      <c r="D261" s="9"/>
      <c r="E261" s="2"/>
      <c r="F261" s="2"/>
    </row>
    <row r="262" spans="2:6" ht="14.25">
      <c r="B262" s="2"/>
      <c r="C262" s="2"/>
      <c r="D262" s="9"/>
      <c r="E262" s="2"/>
      <c r="F262" s="2"/>
    </row>
    <row r="263" spans="2:6" ht="14.25">
      <c r="B263" s="2"/>
      <c r="C263" s="2"/>
      <c r="D263" s="9"/>
      <c r="E263" s="2"/>
      <c r="F263" s="2"/>
    </row>
    <row r="264" spans="2:6" ht="14.25">
      <c r="B264" s="2"/>
      <c r="C264" s="2"/>
      <c r="D264" s="9"/>
      <c r="E264" s="2"/>
      <c r="F264" s="2"/>
    </row>
    <row r="265" spans="2:6" ht="14.25">
      <c r="B265" s="2"/>
      <c r="C265" s="2"/>
      <c r="D265" s="9"/>
      <c r="E265" s="2"/>
      <c r="F265" s="2"/>
    </row>
    <row r="266" spans="2:6" ht="14.25">
      <c r="B266" s="2"/>
      <c r="C266" s="2"/>
      <c r="D266" s="9"/>
      <c r="E266" s="2"/>
      <c r="F266" s="2"/>
    </row>
    <row r="267" spans="2:6" ht="14.25">
      <c r="B267" s="2"/>
      <c r="C267" s="2"/>
      <c r="D267" s="9"/>
      <c r="E267" s="2"/>
      <c r="F267" s="2"/>
    </row>
    <row r="268" spans="2:6" ht="14.25">
      <c r="B268" s="2"/>
      <c r="C268" s="2"/>
      <c r="D268" s="9"/>
      <c r="E268" s="2"/>
      <c r="F268" s="2"/>
    </row>
    <row r="269" spans="2:6" ht="14.25">
      <c r="B269" s="2"/>
      <c r="C269" s="2"/>
      <c r="D269" s="9"/>
      <c r="E269" s="2"/>
      <c r="F269" s="2"/>
    </row>
    <row r="270" spans="2:6" ht="14.25">
      <c r="B270" s="2"/>
      <c r="C270" s="2"/>
      <c r="D270" s="9"/>
      <c r="E270" s="2"/>
      <c r="F270" s="2"/>
    </row>
    <row r="271" spans="2:6" ht="14.25">
      <c r="B271" s="2"/>
      <c r="C271" s="2"/>
      <c r="D271" s="9"/>
      <c r="E271" s="2"/>
      <c r="F271" s="2"/>
    </row>
    <row r="272" spans="2:6" ht="14.25">
      <c r="B272" s="2"/>
      <c r="C272" s="2"/>
      <c r="D272" s="9"/>
      <c r="E272" s="2"/>
      <c r="F272" s="2"/>
    </row>
    <row r="273" spans="2:6" ht="14.25">
      <c r="B273" s="2"/>
      <c r="C273" s="2"/>
      <c r="D273" s="9"/>
      <c r="E273" s="2"/>
      <c r="F273" s="2"/>
    </row>
    <row r="274" spans="2:6" ht="14.25">
      <c r="B274" s="2"/>
      <c r="C274" s="2"/>
      <c r="D274" s="9"/>
      <c r="E274" s="2"/>
      <c r="F274" s="2"/>
    </row>
    <row r="275" spans="2:6" ht="14.25">
      <c r="B275" s="2"/>
      <c r="C275" s="2"/>
      <c r="D275" s="9"/>
      <c r="E275" s="2"/>
      <c r="F275" s="2"/>
    </row>
    <row r="276" spans="2:6" ht="14.25">
      <c r="B276" s="2"/>
      <c r="C276" s="2"/>
      <c r="D276" s="9"/>
      <c r="E276" s="2"/>
      <c r="F276" s="2"/>
    </row>
    <row r="277" spans="2:6" ht="14.25">
      <c r="B277" s="2"/>
      <c r="C277" s="2"/>
      <c r="D277" s="9"/>
      <c r="E277" s="2"/>
      <c r="F277" s="2"/>
    </row>
    <row r="278" spans="2:6" ht="14.25">
      <c r="B278" s="2"/>
      <c r="C278" s="2"/>
      <c r="D278" s="9"/>
      <c r="E278" s="2"/>
      <c r="F278" s="2"/>
    </row>
    <row r="279" spans="2:6" ht="14.25">
      <c r="B279" s="2"/>
      <c r="C279" s="2"/>
      <c r="D279" s="9"/>
      <c r="E279" s="2"/>
      <c r="F279" s="2"/>
    </row>
    <row r="280" spans="2:6" ht="14.25">
      <c r="B280" s="2"/>
      <c r="C280" s="2"/>
      <c r="D280" s="9"/>
      <c r="E280" s="2"/>
      <c r="F280" s="2"/>
    </row>
    <row r="281" spans="2:6" ht="14.25">
      <c r="B281" s="2"/>
      <c r="C281" s="2"/>
      <c r="D281" s="9"/>
      <c r="E281" s="2"/>
      <c r="F281" s="2"/>
    </row>
    <row r="282" spans="2:6" ht="14.25">
      <c r="B282" s="2"/>
      <c r="C282" s="2"/>
      <c r="D282" s="9"/>
      <c r="E282" s="2"/>
      <c r="F282" s="2"/>
    </row>
    <row r="283" spans="2:6" ht="14.25">
      <c r="B283" s="2"/>
      <c r="C283" s="2"/>
      <c r="D283" s="9"/>
      <c r="E283" s="2"/>
      <c r="F283" s="2"/>
    </row>
    <row r="284" spans="2:6" ht="14.25">
      <c r="B284" s="2"/>
      <c r="C284" s="2"/>
      <c r="D284" s="9"/>
      <c r="E284" s="2"/>
      <c r="F284" s="2"/>
    </row>
    <row r="285" spans="2:6" ht="14.25">
      <c r="B285" s="2"/>
      <c r="C285" s="2"/>
      <c r="D285" s="9"/>
      <c r="E285" s="2"/>
      <c r="F285" s="2"/>
    </row>
    <row r="286" spans="2:6" ht="14.25">
      <c r="B286" s="2"/>
      <c r="C286" s="2"/>
      <c r="D286" s="9"/>
      <c r="E286" s="2"/>
      <c r="F286" s="2"/>
    </row>
    <row r="287" spans="2:6" ht="14.25">
      <c r="B287" s="2"/>
      <c r="C287" s="2"/>
      <c r="D287" s="9"/>
      <c r="E287" s="2"/>
      <c r="F287" s="2"/>
    </row>
    <row r="288" spans="2:6" ht="14.25">
      <c r="B288" s="2"/>
      <c r="C288" s="2"/>
      <c r="D288" s="9"/>
      <c r="E288" s="2"/>
      <c r="F288" s="2"/>
    </row>
    <row r="289" spans="2:6" ht="14.25">
      <c r="B289" s="2"/>
      <c r="C289" s="2"/>
      <c r="D289" s="9"/>
      <c r="E289" s="2"/>
      <c r="F289" s="2"/>
    </row>
    <row r="290" spans="2:6" ht="14.25">
      <c r="B290" s="2"/>
      <c r="C290" s="2"/>
      <c r="D290" s="9"/>
      <c r="E290" s="2"/>
      <c r="F290" s="2"/>
    </row>
    <row r="291" spans="2:6" ht="14.25">
      <c r="B291" s="2"/>
      <c r="C291" s="2"/>
      <c r="D291" s="9"/>
      <c r="E291" s="2"/>
      <c r="F291" s="2"/>
    </row>
    <row r="292" spans="2:6" ht="14.25">
      <c r="B292" s="2"/>
      <c r="C292" s="2"/>
      <c r="D292" s="9"/>
      <c r="E292" s="2"/>
      <c r="F292" s="2"/>
    </row>
    <row r="293" spans="2:6" ht="14.25">
      <c r="B293" s="2"/>
      <c r="C293" s="2"/>
      <c r="D293" s="9"/>
      <c r="E293" s="2"/>
      <c r="F293" s="2"/>
    </row>
    <row r="294" spans="2:6" ht="14.25">
      <c r="B294" s="2"/>
      <c r="C294" s="2"/>
      <c r="D294" s="9"/>
      <c r="E294" s="2"/>
      <c r="F294" s="2"/>
    </row>
    <row r="295" spans="2:6" ht="14.25">
      <c r="B295" s="2"/>
      <c r="C295" s="2"/>
      <c r="D295" s="9"/>
      <c r="E295" s="2"/>
      <c r="F295" s="2"/>
    </row>
    <row r="296" spans="2:6" ht="14.25">
      <c r="B296" s="2"/>
      <c r="C296" s="2"/>
      <c r="D296" s="9"/>
      <c r="E296" s="2"/>
      <c r="F296" s="2"/>
    </row>
    <row r="297" spans="2:6" ht="14.25">
      <c r="B297" s="2"/>
      <c r="C297" s="2"/>
      <c r="D297" s="9"/>
      <c r="E297" s="2"/>
      <c r="F297" s="2"/>
    </row>
    <row r="298" spans="2:6" ht="14.25">
      <c r="B298" s="2"/>
      <c r="C298" s="2"/>
      <c r="D298" s="9"/>
      <c r="E298" s="2"/>
      <c r="F298" s="2"/>
    </row>
    <row r="299" spans="2:6" ht="14.25">
      <c r="B299" s="2"/>
      <c r="C299" s="2"/>
      <c r="D299" s="9"/>
      <c r="E299" s="2"/>
      <c r="F299" s="2"/>
    </row>
    <row r="300" spans="2:6" ht="14.25">
      <c r="B300" s="2"/>
      <c r="C300" s="2"/>
      <c r="D300" s="9"/>
      <c r="E300" s="2"/>
      <c r="F300" s="2"/>
    </row>
    <row r="301" spans="2:6" ht="14.25">
      <c r="B301" s="2"/>
      <c r="C301" s="2"/>
      <c r="D301" s="9"/>
      <c r="E301" s="2"/>
      <c r="F301" s="2"/>
    </row>
    <row r="302" spans="2:6" ht="14.25">
      <c r="B302" s="2"/>
      <c r="C302" s="2"/>
      <c r="D302" s="9"/>
      <c r="E302" s="2"/>
      <c r="F302" s="2"/>
    </row>
    <row r="303" spans="2:6" ht="14.25">
      <c r="B303" s="2"/>
      <c r="C303" s="2"/>
      <c r="D303" s="9"/>
      <c r="E303" s="2"/>
      <c r="F303" s="2"/>
    </row>
    <row r="304" spans="2:6" ht="14.25">
      <c r="B304" s="2"/>
      <c r="C304" s="2"/>
      <c r="D304" s="9"/>
      <c r="E304" s="2"/>
      <c r="F304" s="2"/>
    </row>
    <row r="305" spans="2:6" ht="14.25">
      <c r="B305" s="2"/>
      <c r="C305" s="2"/>
      <c r="D305" s="9"/>
      <c r="E305" s="2"/>
      <c r="F305" s="2"/>
    </row>
    <row r="306" spans="2:6" ht="14.25">
      <c r="B306" s="2"/>
      <c r="C306" s="2"/>
      <c r="D306" s="9"/>
      <c r="E306" s="2"/>
      <c r="F306" s="2"/>
    </row>
    <row r="307" spans="2:6" ht="14.25">
      <c r="B307" s="2"/>
      <c r="C307" s="2"/>
      <c r="D307" s="9"/>
      <c r="E307" s="2"/>
      <c r="F307" s="2"/>
    </row>
    <row r="308" spans="2:6" ht="14.25">
      <c r="B308" s="2"/>
      <c r="C308" s="2"/>
      <c r="D308" s="9"/>
      <c r="E308" s="2"/>
      <c r="F308" s="2"/>
    </row>
    <row r="309" spans="2:6" ht="14.25">
      <c r="B309" s="2"/>
      <c r="C309" s="2"/>
      <c r="D309" s="9"/>
      <c r="E309" s="2"/>
      <c r="F309" s="2"/>
    </row>
    <row r="310" spans="2:6" ht="14.25">
      <c r="B310" s="2"/>
      <c r="C310" s="2"/>
      <c r="D310" s="9"/>
      <c r="E310" s="2"/>
      <c r="F310" s="2"/>
    </row>
    <row r="311" spans="2:6" ht="14.25">
      <c r="B311" s="2"/>
      <c r="C311" s="2"/>
      <c r="D311" s="9"/>
      <c r="E311" s="2"/>
      <c r="F311" s="2"/>
    </row>
    <row r="312" spans="2:6" ht="14.25">
      <c r="B312" s="2"/>
      <c r="C312" s="2"/>
      <c r="D312" s="9"/>
      <c r="E312" s="2"/>
      <c r="F312" s="2"/>
    </row>
    <row r="313" spans="2:6" ht="14.25">
      <c r="B313" s="2"/>
      <c r="C313" s="2"/>
      <c r="D313" s="9"/>
      <c r="E313" s="2"/>
      <c r="F313" s="2"/>
    </row>
    <row r="314" spans="2:6" ht="14.25">
      <c r="B314" s="2"/>
      <c r="C314" s="2"/>
      <c r="D314" s="9"/>
      <c r="E314" s="2"/>
      <c r="F314" s="2"/>
    </row>
    <row r="315" spans="2:6" ht="14.25">
      <c r="B315" s="2"/>
      <c r="C315" s="2"/>
      <c r="D315" s="9"/>
      <c r="E315" s="2"/>
      <c r="F315" s="2"/>
    </row>
    <row r="316" spans="2:6" ht="14.25">
      <c r="B316" s="2"/>
      <c r="C316" s="2"/>
      <c r="D316" s="9"/>
      <c r="E316" s="2"/>
      <c r="F316" s="2"/>
    </row>
    <row r="317" spans="2:6" ht="14.25">
      <c r="B317" s="2"/>
      <c r="C317" s="2"/>
      <c r="D317" s="9"/>
      <c r="E317" s="2"/>
      <c r="F317" s="2"/>
    </row>
    <row r="318" spans="2:6" ht="14.25">
      <c r="B318" s="2"/>
      <c r="C318" s="2"/>
      <c r="D318" s="9"/>
      <c r="E318" s="2"/>
      <c r="F318" s="2"/>
    </row>
    <row r="319" spans="2:6" ht="14.25">
      <c r="B319" s="2"/>
      <c r="C319" s="2"/>
      <c r="D319" s="9"/>
      <c r="E319" s="2"/>
      <c r="F319" s="2"/>
    </row>
    <row r="320" spans="2:6" ht="14.25">
      <c r="B320" s="2"/>
      <c r="C320" s="2"/>
      <c r="D320" s="9"/>
      <c r="E320" s="2"/>
      <c r="F320" s="2"/>
    </row>
    <row r="321" spans="2:6" ht="14.25">
      <c r="B321" s="2"/>
      <c r="C321" s="2"/>
      <c r="D321" s="9"/>
      <c r="E321" s="2"/>
      <c r="F321" s="2"/>
    </row>
    <row r="322" spans="2:6" ht="14.25">
      <c r="B322" s="2"/>
      <c r="C322" s="2"/>
      <c r="D322" s="9"/>
      <c r="E322" s="2"/>
      <c r="F322" s="2"/>
    </row>
    <row r="323" spans="2:6" ht="14.25">
      <c r="B323" s="2"/>
      <c r="C323" s="2"/>
      <c r="D323" s="9"/>
      <c r="E323" s="2"/>
      <c r="F323" s="2"/>
    </row>
    <row r="324" spans="2:6" ht="14.25">
      <c r="B324" s="2"/>
      <c r="C324" s="2"/>
      <c r="D324" s="9"/>
      <c r="E324" s="2"/>
      <c r="F324" s="2"/>
    </row>
    <row r="325" spans="2:6" ht="14.25">
      <c r="B325" s="2"/>
      <c r="C325" s="2"/>
      <c r="D325" s="9"/>
      <c r="E325" s="2"/>
      <c r="F325" s="2"/>
    </row>
    <row r="326" spans="2:6" ht="14.25">
      <c r="B326" s="2"/>
      <c r="C326" s="2"/>
      <c r="D326" s="9"/>
      <c r="E326" s="2"/>
      <c r="F326" s="2"/>
    </row>
    <row r="327" spans="2:6" ht="14.25">
      <c r="B327" s="2"/>
      <c r="C327" s="2"/>
      <c r="D327" s="9"/>
      <c r="E327" s="2"/>
      <c r="F327" s="2"/>
    </row>
    <row r="328" spans="2:6" ht="14.25">
      <c r="B328" s="2"/>
      <c r="C328" s="2"/>
      <c r="D328" s="9"/>
      <c r="E328" s="2"/>
      <c r="F328" s="2"/>
    </row>
    <row r="329" spans="2:6" ht="14.25">
      <c r="B329" s="2"/>
      <c r="C329" s="2"/>
      <c r="D329" s="9"/>
      <c r="E329" s="2"/>
      <c r="F329" s="2"/>
    </row>
    <row r="330" spans="2:6" ht="14.25">
      <c r="B330" s="2"/>
      <c r="C330" s="2"/>
      <c r="D330" s="9"/>
      <c r="E330" s="2"/>
      <c r="F330" s="2"/>
    </row>
    <row r="331" spans="2:6" ht="14.25">
      <c r="B331" s="2"/>
      <c r="C331" s="2"/>
      <c r="D331" s="9"/>
      <c r="E331" s="2"/>
      <c r="F331" s="2"/>
    </row>
    <row r="332" spans="2:6" ht="14.25">
      <c r="B332" s="2"/>
      <c r="C332" s="2"/>
      <c r="D332" s="9"/>
      <c r="E332" s="2"/>
      <c r="F332" s="2"/>
    </row>
    <row r="333" spans="2:6" ht="14.25">
      <c r="B333" s="2"/>
      <c r="C333" s="2"/>
      <c r="D333" s="9"/>
      <c r="E333" s="2"/>
      <c r="F333" s="2"/>
    </row>
    <row r="334" spans="2:6" ht="14.25">
      <c r="B334" s="2"/>
      <c r="C334" s="2"/>
      <c r="D334" s="9"/>
      <c r="E334" s="2"/>
      <c r="F334" s="2"/>
    </row>
    <row r="335" spans="2:6" ht="14.25">
      <c r="B335" s="2"/>
      <c r="C335" s="2"/>
      <c r="D335" s="9"/>
      <c r="E335" s="2"/>
      <c r="F335" s="2"/>
    </row>
    <row r="336" spans="2:6" ht="14.25">
      <c r="B336" s="2"/>
      <c r="C336" s="2"/>
      <c r="D336" s="9"/>
      <c r="E336" s="2"/>
      <c r="F336" s="2"/>
    </row>
    <row r="337" spans="2:6" ht="14.25">
      <c r="B337" s="2"/>
      <c r="C337" s="2"/>
      <c r="D337" s="9"/>
      <c r="E337" s="2"/>
      <c r="F337" s="2"/>
    </row>
    <row r="338" spans="2:6" ht="14.25">
      <c r="B338" s="2"/>
      <c r="C338" s="2"/>
      <c r="D338" s="9"/>
      <c r="E338" s="2"/>
      <c r="F338" s="2"/>
    </row>
    <row r="339" spans="2:6" ht="14.25">
      <c r="B339" s="2"/>
      <c r="C339" s="2"/>
      <c r="D339" s="9"/>
      <c r="E339" s="2"/>
      <c r="F339" s="2"/>
    </row>
    <row r="340" spans="2:6" ht="14.25">
      <c r="B340" s="2"/>
      <c r="C340" s="2"/>
      <c r="D340" s="9"/>
      <c r="E340" s="2"/>
      <c r="F340" s="2"/>
    </row>
    <row r="341" spans="2:6" ht="14.25">
      <c r="B341" s="2"/>
      <c r="C341" s="2"/>
      <c r="D341" s="9"/>
      <c r="E341" s="2"/>
      <c r="F341" s="2"/>
    </row>
    <row r="342" spans="2:6" ht="14.25">
      <c r="B342" s="2"/>
      <c r="C342" s="2"/>
      <c r="D342" s="9"/>
      <c r="E342" s="2"/>
      <c r="F342" s="2"/>
    </row>
    <row r="343" spans="2:6" ht="14.25">
      <c r="B343" s="2"/>
      <c r="C343" s="2"/>
      <c r="D343" s="9"/>
      <c r="E343" s="2"/>
      <c r="F343" s="2"/>
    </row>
    <row r="344" spans="2:6" ht="14.25">
      <c r="B344" s="2"/>
      <c r="C344" s="2"/>
      <c r="D344" s="9"/>
      <c r="E344" s="2"/>
      <c r="F344" s="2"/>
    </row>
    <row r="345" spans="2:6" ht="14.25">
      <c r="B345" s="2"/>
      <c r="C345" s="2"/>
      <c r="D345" s="9"/>
      <c r="E345" s="2"/>
      <c r="F345" s="2"/>
    </row>
    <row r="346" spans="2:6" ht="14.25">
      <c r="B346" s="2"/>
      <c r="C346" s="2"/>
      <c r="D346" s="9"/>
      <c r="E346" s="2"/>
      <c r="F346" s="2"/>
    </row>
    <row r="347" spans="2:6" ht="14.25">
      <c r="B347" s="2"/>
      <c r="C347" s="2"/>
      <c r="D347" s="9"/>
      <c r="E347" s="2"/>
      <c r="F347" s="2"/>
    </row>
    <row r="348" spans="2:6" ht="14.25">
      <c r="B348" s="2"/>
      <c r="C348" s="2"/>
      <c r="D348" s="9"/>
      <c r="E348" s="2"/>
      <c r="F348" s="2"/>
    </row>
    <row r="349" spans="2:6" ht="14.25">
      <c r="B349" s="2"/>
      <c r="C349" s="2"/>
      <c r="D349" s="9"/>
      <c r="E349" s="2"/>
      <c r="F349" s="2"/>
    </row>
    <row r="350" spans="2:6" ht="14.25">
      <c r="B350" s="2"/>
      <c r="C350" s="2"/>
      <c r="D350" s="9"/>
      <c r="E350" s="2"/>
      <c r="F350" s="2"/>
    </row>
    <row r="351" spans="2:6" ht="14.25">
      <c r="B351" s="2"/>
      <c r="C351" s="2"/>
      <c r="D351" s="9"/>
      <c r="E351" s="2"/>
      <c r="F351" s="2"/>
    </row>
    <row r="352" spans="2:6" ht="14.25">
      <c r="B352" s="2"/>
      <c r="C352" s="2"/>
      <c r="D352" s="9"/>
      <c r="E352" s="2"/>
      <c r="F352" s="2"/>
    </row>
    <row r="353" spans="2:6" ht="14.25">
      <c r="B353" s="2"/>
      <c r="C353" s="2"/>
      <c r="D353" s="9"/>
      <c r="E353" s="2"/>
      <c r="F353" s="2"/>
    </row>
    <row r="354" spans="2:6" ht="14.25">
      <c r="B354" s="2"/>
      <c r="C354" s="2"/>
      <c r="D354" s="9"/>
      <c r="E354" s="2"/>
      <c r="F354" s="2"/>
    </row>
    <row r="355" spans="2:6" ht="14.25">
      <c r="B355" s="2"/>
      <c r="C355" s="2"/>
      <c r="D355" s="9"/>
      <c r="E355" s="2"/>
      <c r="F355" s="2"/>
    </row>
    <row r="356" spans="2:6" ht="14.25">
      <c r="B356" s="2"/>
      <c r="C356" s="2"/>
      <c r="D356" s="9"/>
      <c r="E356" s="2"/>
      <c r="F356" s="2"/>
    </row>
    <row r="357" spans="2:6" ht="14.25">
      <c r="B357" s="2"/>
      <c r="C357" s="2"/>
      <c r="D357" s="9"/>
      <c r="E357" s="2"/>
      <c r="F357" s="2"/>
    </row>
    <row r="358" spans="2:6" ht="14.25">
      <c r="B358" s="2"/>
      <c r="C358" s="2"/>
      <c r="D358" s="9"/>
      <c r="E358" s="2"/>
      <c r="F358" s="2"/>
    </row>
    <row r="359" spans="2:6" ht="14.25">
      <c r="B359" s="2"/>
      <c r="C359" s="2"/>
      <c r="D359" s="9"/>
      <c r="E359" s="2"/>
      <c r="F359" s="2"/>
    </row>
    <row r="360" spans="2:6" ht="14.25">
      <c r="B360" s="2"/>
      <c r="C360" s="2"/>
      <c r="D360" s="9"/>
      <c r="E360" s="2"/>
      <c r="F360" s="2"/>
    </row>
    <row r="361" spans="2:6" ht="14.25">
      <c r="B361" s="2"/>
      <c r="C361" s="2"/>
      <c r="D361" s="9"/>
      <c r="E361" s="2"/>
      <c r="F361" s="2"/>
    </row>
    <row r="362" spans="2:6" ht="14.25">
      <c r="B362" s="2"/>
      <c r="C362" s="2"/>
      <c r="D362" s="9"/>
      <c r="E362" s="2"/>
      <c r="F362" s="2"/>
    </row>
    <row r="363" spans="2:6" ht="14.25">
      <c r="B363" s="2"/>
      <c r="C363" s="2"/>
      <c r="D363" s="9"/>
      <c r="E363" s="2"/>
      <c r="F363" s="2"/>
    </row>
    <row r="364" spans="2:6" ht="14.25">
      <c r="B364" s="2"/>
      <c r="C364" s="2"/>
      <c r="D364" s="9"/>
      <c r="E364" s="2"/>
      <c r="F364" s="2"/>
    </row>
    <row r="365" spans="2:6" ht="14.25">
      <c r="B365" s="2"/>
      <c r="C365" s="2"/>
      <c r="D365" s="9"/>
      <c r="E365" s="2"/>
      <c r="F365" s="2"/>
    </row>
    <row r="366" spans="2:6" ht="14.25">
      <c r="B366" s="2"/>
      <c r="C366" s="2"/>
      <c r="D366" s="9"/>
      <c r="E366" s="2"/>
      <c r="F366" s="2"/>
    </row>
    <row r="367" spans="2:6" ht="14.25">
      <c r="B367" s="2"/>
      <c r="C367" s="2"/>
      <c r="D367" s="9"/>
      <c r="E367" s="2"/>
      <c r="F367" s="2"/>
    </row>
    <row r="368" spans="2:6" ht="14.25">
      <c r="B368" s="2"/>
      <c r="C368" s="2"/>
      <c r="D368" s="9"/>
      <c r="E368" s="2"/>
      <c r="F368" s="2"/>
    </row>
    <row r="369" spans="2:6" ht="14.25">
      <c r="B369" s="2"/>
      <c r="C369" s="2"/>
      <c r="D369" s="9"/>
      <c r="E369" s="2"/>
      <c r="F369" s="2"/>
    </row>
    <row r="370" spans="2:6" ht="14.25">
      <c r="B370" s="2"/>
      <c r="C370" s="2"/>
      <c r="D370" s="9"/>
      <c r="E370" s="2"/>
      <c r="F370" s="2"/>
    </row>
    <row r="371" spans="2:6" ht="14.25">
      <c r="B371" s="2"/>
      <c r="C371" s="2"/>
      <c r="D371" s="9"/>
      <c r="E371" s="2"/>
      <c r="F371" s="2"/>
    </row>
    <row r="372" spans="2:6" ht="14.25">
      <c r="B372" s="2"/>
      <c r="C372" s="2"/>
      <c r="D372" s="9"/>
      <c r="E372" s="2"/>
      <c r="F372" s="2"/>
    </row>
    <row r="373" spans="2:6" ht="14.25">
      <c r="B373" s="2"/>
      <c r="C373" s="2"/>
      <c r="D373" s="9"/>
      <c r="E373" s="2"/>
      <c r="F373" s="2"/>
    </row>
    <row r="374" spans="2:6" ht="14.25">
      <c r="B374" s="2"/>
      <c r="C374" s="2"/>
      <c r="D374" s="9"/>
      <c r="E374" s="2"/>
      <c r="F374" s="2"/>
    </row>
    <row r="375" spans="2:6" ht="14.25">
      <c r="B375" s="2"/>
      <c r="C375" s="2"/>
      <c r="D375" s="9"/>
      <c r="E375" s="2"/>
      <c r="F375" s="2"/>
    </row>
    <row r="376" spans="2:6" ht="14.25">
      <c r="B376" s="2"/>
      <c r="C376" s="2"/>
      <c r="D376" s="9"/>
      <c r="E376" s="2"/>
      <c r="F376" s="2"/>
    </row>
    <row r="377" spans="2:6" ht="14.25">
      <c r="B377" s="2"/>
      <c r="C377" s="2"/>
      <c r="D377" s="9"/>
      <c r="E377" s="2"/>
      <c r="F377" s="2"/>
    </row>
    <row r="378" spans="2:6" ht="14.25">
      <c r="B378" s="2"/>
      <c r="C378" s="2"/>
      <c r="D378" s="9"/>
      <c r="E378" s="2"/>
      <c r="F378" s="2"/>
    </row>
    <row r="379" spans="2:6" ht="14.25">
      <c r="B379" s="2"/>
      <c r="C379" s="2"/>
      <c r="D379" s="9"/>
      <c r="E379" s="2"/>
      <c r="F379" s="2"/>
    </row>
    <row r="380" spans="2:6" ht="14.25">
      <c r="B380" s="2"/>
      <c r="C380" s="2"/>
      <c r="D380" s="9"/>
      <c r="E380" s="2"/>
      <c r="F380" s="2"/>
    </row>
    <row r="381" spans="2:6" ht="14.25">
      <c r="B381" s="2"/>
      <c r="C381" s="2"/>
      <c r="D381" s="9"/>
      <c r="E381" s="2"/>
      <c r="F381" s="2"/>
    </row>
    <row r="382" spans="2:6" ht="14.25">
      <c r="B382" s="2"/>
      <c r="C382" s="2"/>
      <c r="D382" s="9"/>
      <c r="E382" s="2"/>
      <c r="F382" s="2"/>
    </row>
    <row r="383" spans="2:6" ht="14.25">
      <c r="B383" s="2"/>
      <c r="C383" s="2"/>
      <c r="D383" s="9"/>
      <c r="E383" s="2"/>
      <c r="F383" s="2"/>
    </row>
    <row r="384" spans="2:6" ht="14.25">
      <c r="B384" s="2"/>
      <c r="C384" s="2"/>
      <c r="D384" s="9"/>
      <c r="E384" s="2"/>
      <c r="F384" s="2"/>
    </row>
    <row r="385" spans="2:6" ht="14.25">
      <c r="B385" s="2"/>
      <c r="C385" s="2"/>
      <c r="D385" s="9"/>
      <c r="E385" s="2"/>
      <c r="F385" s="2"/>
    </row>
    <row r="386" spans="2:6" ht="14.25">
      <c r="B386" s="2"/>
      <c r="C386" s="2"/>
      <c r="D386" s="9"/>
      <c r="E386" s="2"/>
      <c r="F386" s="2"/>
    </row>
    <row r="387" spans="2:6" ht="14.25">
      <c r="B387" s="2"/>
      <c r="C387" s="2"/>
      <c r="D387" s="9"/>
      <c r="E387" s="2"/>
      <c r="F387" s="2"/>
    </row>
    <row r="388" spans="2:6" ht="14.25">
      <c r="B388" s="2"/>
      <c r="C388" s="2"/>
      <c r="D388" s="9"/>
      <c r="E388" s="2"/>
      <c r="F388" s="2"/>
    </row>
    <row r="389" spans="2:6" ht="14.25">
      <c r="B389" s="2"/>
      <c r="C389" s="2"/>
      <c r="D389" s="9"/>
      <c r="E389" s="2"/>
      <c r="F389" s="2"/>
    </row>
    <row r="390" spans="2:6" ht="14.25">
      <c r="B390" s="2"/>
      <c r="C390" s="2"/>
      <c r="D390" s="9"/>
      <c r="E390" s="2"/>
      <c r="F390" s="2"/>
    </row>
    <row r="391" spans="2:6" ht="14.25">
      <c r="B391" s="2"/>
      <c r="C391" s="2"/>
      <c r="D391" s="9"/>
      <c r="E391" s="2"/>
      <c r="F391" s="2"/>
    </row>
    <row r="392" spans="2:6" ht="14.25">
      <c r="B392" s="2"/>
      <c r="C392" s="2"/>
      <c r="D392" s="9"/>
      <c r="E392" s="2"/>
      <c r="F392" s="2"/>
    </row>
    <row r="393" spans="2:6" ht="14.25">
      <c r="B393" s="2"/>
      <c r="C393" s="2"/>
      <c r="D393" s="9"/>
      <c r="E393" s="2"/>
      <c r="F393" s="2"/>
    </row>
    <row r="394" spans="2:6" ht="14.25">
      <c r="B394" s="2"/>
      <c r="C394" s="2"/>
      <c r="D394" s="9"/>
      <c r="E394" s="2"/>
      <c r="F394" s="2"/>
    </row>
    <row r="395" spans="2:6" ht="14.25">
      <c r="B395" s="2"/>
      <c r="C395" s="2"/>
      <c r="D395" s="9"/>
      <c r="E395" s="2"/>
      <c r="F395" s="2"/>
    </row>
    <row r="396" spans="2:6" ht="14.25">
      <c r="B396" s="2"/>
      <c r="C396" s="2"/>
      <c r="D396" s="9"/>
      <c r="E396" s="2"/>
      <c r="F396" s="2"/>
    </row>
    <row r="397" spans="2:6" ht="14.25">
      <c r="B397" s="2"/>
      <c r="C397" s="2"/>
      <c r="D397" s="9"/>
      <c r="E397" s="2"/>
      <c r="F397" s="2"/>
    </row>
    <row r="398" spans="2:6" ht="14.25">
      <c r="B398" s="2"/>
      <c r="C398" s="2"/>
      <c r="D398" s="9"/>
      <c r="E398" s="2"/>
      <c r="F398" s="2"/>
    </row>
    <row r="399" spans="2:6" ht="14.25">
      <c r="B399" s="2"/>
      <c r="C399" s="2"/>
      <c r="D399" s="9"/>
      <c r="E399" s="2"/>
      <c r="F399" s="2"/>
    </row>
    <row r="400" spans="2:6" ht="14.25">
      <c r="B400" s="2"/>
      <c r="C400" s="2"/>
      <c r="D400" s="9"/>
      <c r="E400" s="2"/>
      <c r="F400" s="2"/>
    </row>
    <row r="401" spans="2:6" ht="14.25">
      <c r="B401" s="2"/>
      <c r="C401" s="2"/>
      <c r="D401" s="9"/>
      <c r="E401" s="2"/>
      <c r="F401" s="2"/>
    </row>
    <row r="402" spans="2:6" ht="14.25">
      <c r="B402" s="2"/>
      <c r="C402" s="2"/>
      <c r="D402" s="9"/>
      <c r="E402" s="2"/>
      <c r="F402" s="2"/>
    </row>
    <row r="403" spans="2:6" ht="14.25">
      <c r="B403" s="2"/>
      <c r="C403" s="2"/>
      <c r="D403" s="9"/>
      <c r="E403" s="2"/>
      <c r="F403" s="2"/>
    </row>
    <row r="404" spans="2:6" ht="14.25">
      <c r="B404" s="2"/>
      <c r="C404" s="2"/>
      <c r="D404" s="9"/>
      <c r="E404" s="2"/>
      <c r="F404" s="2"/>
    </row>
    <row r="405" spans="2:6" ht="14.25">
      <c r="B405" s="2"/>
      <c r="C405" s="2"/>
      <c r="D405" s="9"/>
      <c r="E405" s="2"/>
      <c r="F405" s="2"/>
    </row>
    <row r="406" spans="2:6" ht="14.25">
      <c r="B406" s="2"/>
      <c r="C406" s="2"/>
      <c r="D406" s="9"/>
      <c r="E406" s="2"/>
      <c r="F406" s="2"/>
    </row>
    <row r="407" spans="2:6" ht="14.25">
      <c r="B407" s="2"/>
      <c r="C407" s="2"/>
      <c r="D407" s="9"/>
      <c r="E407" s="2"/>
      <c r="F407" s="2"/>
    </row>
    <row r="408" spans="2:6" ht="14.25">
      <c r="B408" s="2"/>
      <c r="C408" s="2"/>
      <c r="D408" s="9"/>
      <c r="E408" s="2"/>
      <c r="F408" s="2"/>
    </row>
    <row r="409" spans="2:6" ht="14.25">
      <c r="B409" s="2"/>
      <c r="C409" s="2"/>
      <c r="D409" s="9"/>
      <c r="E409" s="2"/>
      <c r="F409" s="2"/>
    </row>
    <row r="410" spans="2:6" ht="14.25">
      <c r="B410" s="2"/>
      <c r="C410" s="2"/>
      <c r="D410" s="9"/>
      <c r="E410" s="2"/>
      <c r="F410" s="2"/>
    </row>
    <row r="411" spans="2:6" ht="14.25">
      <c r="B411" s="2"/>
      <c r="C411" s="2"/>
      <c r="D411" s="9"/>
      <c r="E411" s="2"/>
      <c r="F411" s="2"/>
    </row>
    <row r="412" spans="2:6" ht="14.25">
      <c r="B412" s="2"/>
      <c r="C412" s="2"/>
      <c r="D412" s="9"/>
      <c r="E412" s="2"/>
      <c r="F412" s="2"/>
    </row>
    <row r="413" spans="2:6" ht="14.25">
      <c r="B413" s="2"/>
      <c r="C413" s="2"/>
      <c r="D413" s="9"/>
      <c r="E413" s="2"/>
      <c r="F413" s="2"/>
    </row>
    <row r="414" spans="2:6" ht="14.25">
      <c r="B414" s="2"/>
      <c r="C414" s="2"/>
      <c r="D414" s="9"/>
      <c r="E414" s="2"/>
      <c r="F414" s="2"/>
    </row>
    <row r="415" spans="2:6" ht="14.25">
      <c r="B415" s="2"/>
      <c r="C415" s="2"/>
      <c r="D415" s="9"/>
      <c r="E415" s="2"/>
      <c r="F415" s="2"/>
    </row>
    <row r="416" spans="2:6" ht="14.25">
      <c r="B416" s="2"/>
      <c r="C416" s="2"/>
      <c r="D416" s="9"/>
      <c r="E416" s="2"/>
      <c r="F416" s="2"/>
    </row>
    <row r="417" spans="2:6" ht="14.25">
      <c r="B417" s="2"/>
      <c r="C417" s="2"/>
      <c r="D417" s="9"/>
      <c r="E417" s="2"/>
      <c r="F417" s="2"/>
    </row>
    <row r="418" spans="2:6" ht="14.25">
      <c r="B418" s="2"/>
      <c r="C418" s="2"/>
      <c r="D418" s="9"/>
      <c r="E418" s="2"/>
      <c r="F418" s="2"/>
    </row>
    <row r="419" spans="2:6" ht="14.25">
      <c r="B419" s="2"/>
      <c r="C419" s="2"/>
      <c r="D419" s="9"/>
      <c r="E419" s="2"/>
      <c r="F419" s="2"/>
    </row>
    <row r="420" spans="2:6" ht="14.25">
      <c r="B420" s="2"/>
      <c r="C420" s="2"/>
      <c r="D420" s="9"/>
      <c r="E420" s="2"/>
      <c r="F420" s="2"/>
    </row>
    <row r="421" spans="2:6" ht="14.25">
      <c r="B421" s="2"/>
      <c r="C421" s="2"/>
      <c r="D421" s="9"/>
      <c r="E421" s="2"/>
      <c r="F421" s="2"/>
    </row>
    <row r="422" spans="2:6" ht="14.25">
      <c r="B422" s="2"/>
      <c r="C422" s="2"/>
      <c r="D422" s="9"/>
      <c r="E422" s="2"/>
      <c r="F422" s="2"/>
    </row>
    <row r="423" spans="2:6" ht="14.25">
      <c r="B423" s="2"/>
      <c r="C423" s="2"/>
      <c r="D423" s="9"/>
      <c r="E423" s="2"/>
      <c r="F423" s="2"/>
    </row>
    <row r="424" spans="2:6" ht="14.25">
      <c r="B424" s="2"/>
      <c r="C424" s="2"/>
      <c r="D424" s="9"/>
      <c r="E424" s="2"/>
      <c r="F424" s="2"/>
    </row>
    <row r="425" spans="2:6" ht="14.25">
      <c r="B425" s="2"/>
      <c r="C425" s="2"/>
      <c r="D425" s="9"/>
      <c r="E425" s="2"/>
      <c r="F425" s="2"/>
    </row>
    <row r="426" spans="2:6" ht="14.25">
      <c r="B426" s="2"/>
      <c r="C426" s="2"/>
      <c r="D426" s="9"/>
      <c r="E426" s="2"/>
      <c r="F426" s="2"/>
    </row>
    <row r="427" spans="2:6" ht="14.25">
      <c r="B427" s="2"/>
      <c r="C427" s="2"/>
      <c r="D427" s="9"/>
      <c r="E427" s="2"/>
      <c r="F427" s="2"/>
    </row>
    <row r="428" spans="2:6" ht="14.25">
      <c r="B428" s="2"/>
      <c r="C428" s="2"/>
      <c r="D428" s="9"/>
      <c r="E428" s="2"/>
      <c r="F428" s="2"/>
    </row>
    <row r="429" spans="2:6" ht="14.25">
      <c r="B429" s="2"/>
      <c r="C429" s="2"/>
      <c r="D429" s="9"/>
      <c r="E429" s="2"/>
      <c r="F429" s="2"/>
    </row>
    <row r="430" spans="2:6" ht="14.25">
      <c r="B430" s="2"/>
      <c r="C430" s="2"/>
      <c r="D430" s="9"/>
      <c r="E430" s="2"/>
      <c r="F430" s="2"/>
    </row>
    <row r="431" spans="2:6" ht="14.25">
      <c r="B431" s="2"/>
      <c r="C431" s="2"/>
      <c r="D431" s="9"/>
      <c r="E431" s="2"/>
      <c r="F431" s="2"/>
    </row>
    <row r="432" spans="2:6" ht="14.25">
      <c r="B432" s="2"/>
      <c r="C432" s="2"/>
      <c r="D432" s="9"/>
      <c r="E432" s="2"/>
      <c r="F432" s="2"/>
    </row>
    <row r="433" spans="2:6" ht="14.25">
      <c r="B433" s="2"/>
      <c r="C433" s="2"/>
      <c r="D433" s="9"/>
      <c r="E433" s="2"/>
      <c r="F433" s="2"/>
    </row>
    <row r="434" spans="2:6" ht="14.25">
      <c r="B434" s="2"/>
      <c r="C434" s="2"/>
      <c r="D434" s="9"/>
      <c r="E434" s="2"/>
      <c r="F434" s="2"/>
    </row>
    <row r="435" spans="2:6" ht="14.25">
      <c r="B435" s="2"/>
      <c r="C435" s="2"/>
      <c r="D435" s="9"/>
      <c r="E435" s="2"/>
      <c r="F435" s="2"/>
    </row>
    <row r="436" spans="2:6" ht="14.25">
      <c r="B436" s="2"/>
      <c r="C436" s="2"/>
      <c r="D436" s="9"/>
      <c r="E436" s="2"/>
      <c r="F436" s="2"/>
    </row>
    <row r="437" spans="2:6" ht="14.25">
      <c r="B437" s="2"/>
      <c r="C437" s="2"/>
      <c r="D437" s="9"/>
      <c r="E437" s="2"/>
      <c r="F437" s="2"/>
    </row>
    <row r="438" spans="2:6" ht="14.25">
      <c r="B438" s="2"/>
      <c r="C438" s="2"/>
      <c r="D438" s="9"/>
      <c r="E438" s="2"/>
      <c r="F438" s="2"/>
    </row>
    <row r="439" spans="2:6" ht="14.25">
      <c r="B439" s="2"/>
      <c r="C439" s="2"/>
      <c r="D439" s="9"/>
      <c r="E439" s="2"/>
      <c r="F439" s="2"/>
    </row>
    <row r="440" spans="2:6" ht="14.25">
      <c r="B440" s="2"/>
      <c r="C440" s="2"/>
      <c r="D440" s="9"/>
      <c r="E440" s="2"/>
      <c r="F440" s="2"/>
    </row>
    <row r="441" spans="2:6" ht="14.25">
      <c r="B441" s="2"/>
      <c r="C441" s="2"/>
      <c r="D441" s="9"/>
      <c r="E441" s="2"/>
      <c r="F441" s="2"/>
    </row>
    <row r="442" spans="2:6" ht="14.25">
      <c r="B442" s="2"/>
      <c r="C442" s="2"/>
      <c r="D442" s="9"/>
      <c r="E442" s="2"/>
      <c r="F442" s="2"/>
    </row>
    <row r="443" spans="2:6" ht="14.25">
      <c r="B443" s="2"/>
      <c r="C443" s="2"/>
      <c r="D443" s="9"/>
      <c r="E443" s="2"/>
      <c r="F443" s="2"/>
    </row>
    <row r="444" spans="2:6" ht="14.25">
      <c r="B444" s="2"/>
      <c r="C444" s="2"/>
      <c r="D444" s="9"/>
      <c r="E444" s="2"/>
      <c r="F444" s="2"/>
    </row>
    <row r="445" spans="2:6" ht="14.25">
      <c r="B445" s="2"/>
      <c r="C445" s="2"/>
      <c r="D445" s="9"/>
      <c r="E445" s="2"/>
      <c r="F445" s="2"/>
    </row>
    <row r="446" spans="2:6" ht="14.25">
      <c r="B446" s="2"/>
      <c r="C446" s="2"/>
      <c r="D446" s="9"/>
      <c r="E446" s="2"/>
      <c r="F446" s="2"/>
    </row>
    <row r="447" spans="2:6" ht="14.25">
      <c r="B447" s="2"/>
      <c r="C447" s="2"/>
      <c r="D447" s="9"/>
      <c r="E447" s="2"/>
      <c r="F447" s="2"/>
    </row>
    <row r="448" spans="2:6" ht="14.25">
      <c r="B448" s="2"/>
      <c r="C448" s="2"/>
      <c r="D448" s="9"/>
      <c r="E448" s="2"/>
      <c r="F448" s="2"/>
    </row>
    <row r="449" spans="2:6" ht="14.25">
      <c r="B449" s="2"/>
      <c r="C449" s="2"/>
      <c r="D449" s="9"/>
      <c r="E449" s="2"/>
      <c r="F449" s="2"/>
    </row>
    <row r="450" spans="2:6" ht="14.25">
      <c r="B450" s="2"/>
      <c r="C450" s="2"/>
      <c r="D450" s="9"/>
      <c r="E450" s="2"/>
      <c r="F450" s="2"/>
    </row>
    <row r="451" spans="2:6" ht="14.25">
      <c r="B451" s="2"/>
      <c r="C451" s="2"/>
      <c r="D451" s="9"/>
      <c r="E451" s="2"/>
      <c r="F451" s="2"/>
    </row>
    <row r="452" spans="2:6" ht="14.25">
      <c r="B452" s="2"/>
      <c r="C452" s="2"/>
      <c r="D452" s="9"/>
      <c r="E452" s="2"/>
      <c r="F452" s="2"/>
    </row>
    <row r="453" spans="2:6" ht="14.25">
      <c r="B453" s="2"/>
      <c r="C453" s="2"/>
      <c r="D453" s="9"/>
      <c r="E453" s="2"/>
      <c r="F453" s="2"/>
    </row>
    <row r="454" spans="2:6" ht="14.25">
      <c r="B454" s="2"/>
      <c r="C454" s="2"/>
      <c r="D454" s="9"/>
      <c r="E454" s="2"/>
      <c r="F454" s="2"/>
    </row>
    <row r="455" spans="2:6" ht="14.25">
      <c r="B455" s="2"/>
      <c r="C455" s="2"/>
      <c r="D455" s="9"/>
      <c r="E455" s="2"/>
      <c r="F455" s="2"/>
    </row>
    <row r="456" spans="2:6" ht="14.25">
      <c r="B456" s="2"/>
      <c r="C456" s="2"/>
      <c r="D456" s="9"/>
      <c r="E456" s="2"/>
      <c r="F456" s="2"/>
    </row>
    <row r="457" spans="2:6" ht="14.25">
      <c r="B457" s="2"/>
      <c r="C457" s="2"/>
      <c r="D457" s="9"/>
      <c r="E457" s="2"/>
      <c r="F457" s="2"/>
    </row>
    <row r="458" spans="2:6" ht="14.25">
      <c r="B458" s="2"/>
      <c r="C458" s="2"/>
      <c r="D458" s="9"/>
      <c r="E458" s="2"/>
      <c r="F458" s="2"/>
    </row>
    <row r="459" spans="2:6" ht="14.25">
      <c r="B459" s="2"/>
      <c r="C459" s="2"/>
      <c r="D459" s="9"/>
      <c r="E459" s="2"/>
      <c r="F459" s="2"/>
    </row>
    <row r="460" spans="2:6" ht="14.25">
      <c r="B460" s="2"/>
      <c r="C460" s="2"/>
      <c r="D460" s="9"/>
      <c r="E460" s="2"/>
      <c r="F460" s="2"/>
    </row>
    <row r="461" spans="2:6" ht="14.25">
      <c r="B461" s="2"/>
      <c r="C461" s="2"/>
      <c r="D461" s="9"/>
      <c r="E461" s="2"/>
      <c r="F461" s="2"/>
    </row>
    <row r="462" spans="2:6" ht="14.25">
      <c r="B462" s="2"/>
      <c r="C462" s="2"/>
      <c r="D462" s="9"/>
      <c r="E462" s="2"/>
      <c r="F462" s="2"/>
    </row>
    <row r="463" spans="2:6" ht="14.25">
      <c r="B463" s="2"/>
      <c r="C463" s="2"/>
      <c r="D463" s="9"/>
      <c r="E463" s="2"/>
      <c r="F463" s="2"/>
    </row>
    <row r="464" spans="2:6" ht="14.25">
      <c r="B464" s="2"/>
      <c r="C464" s="2"/>
      <c r="D464" s="9"/>
      <c r="E464" s="2"/>
      <c r="F464" s="2"/>
    </row>
    <row r="465" spans="2:6" ht="14.25">
      <c r="B465" s="2"/>
      <c r="C465" s="2"/>
      <c r="D465" s="9"/>
      <c r="E465" s="2"/>
      <c r="F465" s="2"/>
    </row>
    <row r="466" spans="2:6" ht="14.25">
      <c r="B466" s="2"/>
      <c r="C466" s="2"/>
      <c r="D466" s="9"/>
      <c r="E466" s="2"/>
      <c r="F466" s="2"/>
    </row>
    <row r="467" spans="2:6" ht="14.25">
      <c r="B467" s="2"/>
      <c r="C467" s="2"/>
      <c r="D467" s="9"/>
      <c r="E467" s="2"/>
      <c r="F467" s="2"/>
    </row>
    <row r="468" spans="2:6" ht="14.25">
      <c r="B468" s="2"/>
      <c r="C468" s="2"/>
      <c r="D468" s="9"/>
      <c r="E468" s="2"/>
      <c r="F468" s="2"/>
    </row>
    <row r="469" spans="2:6" ht="14.25">
      <c r="B469" s="2"/>
      <c r="C469" s="2"/>
      <c r="D469" s="9"/>
      <c r="E469" s="2"/>
      <c r="F469" s="2"/>
    </row>
    <row r="470" spans="2:6" ht="14.25">
      <c r="B470" s="2"/>
      <c r="C470" s="2"/>
      <c r="D470" s="9"/>
      <c r="E470" s="2"/>
      <c r="F470" s="2"/>
    </row>
    <row r="471" spans="2:6" ht="14.25">
      <c r="B471" s="2"/>
      <c r="C471" s="2"/>
      <c r="D471" s="9"/>
      <c r="E471" s="2"/>
      <c r="F471" s="2"/>
    </row>
    <row r="472" spans="2:6" ht="14.25">
      <c r="B472" s="2"/>
      <c r="C472" s="2"/>
      <c r="D472" s="9"/>
      <c r="E472" s="2"/>
      <c r="F472" s="2"/>
    </row>
    <row r="473" spans="2:6" ht="14.25">
      <c r="B473" s="2"/>
      <c r="C473" s="2"/>
      <c r="D473" s="9"/>
      <c r="E473" s="2"/>
      <c r="F473" s="2"/>
    </row>
    <row r="474" spans="2:6" ht="14.25">
      <c r="B474" s="2"/>
      <c r="C474" s="2"/>
      <c r="D474" s="9"/>
      <c r="E474" s="2"/>
      <c r="F474" s="2"/>
    </row>
    <row r="475" spans="2:6" ht="14.25">
      <c r="B475" s="2"/>
      <c r="C475" s="2"/>
      <c r="D475" s="9"/>
      <c r="E475" s="2"/>
      <c r="F475" s="2"/>
    </row>
    <row r="476" spans="2:6" ht="14.25">
      <c r="B476" s="2"/>
      <c r="C476" s="2"/>
      <c r="D476" s="9"/>
      <c r="E476" s="2"/>
      <c r="F476" s="2"/>
    </row>
    <row r="477" spans="2:6" ht="14.25">
      <c r="B477" s="2"/>
      <c r="C477" s="2"/>
      <c r="D477" s="9"/>
      <c r="E477" s="2"/>
      <c r="F477" s="2"/>
    </row>
    <row r="478" spans="2:6" ht="14.25">
      <c r="B478" s="2"/>
      <c r="C478" s="2"/>
      <c r="D478" s="9"/>
      <c r="E478" s="2"/>
      <c r="F478" s="2"/>
    </row>
    <row r="479" spans="2:6" ht="14.25">
      <c r="B479" s="2"/>
      <c r="C479" s="2"/>
      <c r="D479" s="9"/>
      <c r="E479" s="2"/>
      <c r="F479" s="2"/>
    </row>
    <row r="480" spans="2:6" ht="14.25">
      <c r="B480" s="2"/>
      <c r="C480" s="2"/>
      <c r="D480" s="9"/>
      <c r="E480" s="2"/>
      <c r="F480" s="2"/>
    </row>
    <row r="481" spans="2:6" ht="14.25">
      <c r="B481" s="2"/>
      <c r="C481" s="2"/>
      <c r="D481" s="9"/>
      <c r="E481" s="2"/>
      <c r="F481" s="2"/>
    </row>
    <row r="482" spans="2:6" ht="14.25">
      <c r="B482" s="2"/>
      <c r="C482" s="2"/>
      <c r="D482" s="9"/>
      <c r="E482" s="2"/>
      <c r="F482" s="2"/>
    </row>
    <row r="483" spans="2:6" ht="14.25">
      <c r="B483" s="2"/>
      <c r="C483" s="2"/>
      <c r="D483" s="9"/>
      <c r="E483" s="2"/>
      <c r="F483" s="2"/>
    </row>
    <row r="484" spans="2:6" ht="14.25">
      <c r="B484" s="2"/>
      <c r="C484" s="2"/>
      <c r="D484" s="9"/>
      <c r="E484" s="2"/>
      <c r="F484" s="2"/>
    </row>
    <row r="485" spans="2:6" ht="14.25">
      <c r="B485" s="2"/>
      <c r="C485" s="2"/>
      <c r="D485" s="9"/>
      <c r="E485" s="2"/>
      <c r="F485" s="2"/>
    </row>
    <row r="486" spans="2:6" ht="14.25">
      <c r="B486" s="2"/>
      <c r="C486" s="2"/>
      <c r="D486" s="9"/>
      <c r="E486" s="2"/>
      <c r="F486" s="2"/>
    </row>
    <row r="487" spans="2:6" ht="14.25">
      <c r="B487" s="2"/>
      <c r="C487" s="2"/>
      <c r="D487" s="9"/>
      <c r="E487" s="2"/>
      <c r="F487" s="2"/>
    </row>
    <row r="488" spans="2:6" ht="14.25">
      <c r="B488" s="2"/>
      <c r="C488" s="2"/>
      <c r="D488" s="9"/>
      <c r="E488" s="2"/>
      <c r="F488" s="2"/>
    </row>
    <row r="489" spans="2:6" ht="14.25">
      <c r="B489" s="2"/>
      <c r="C489" s="2"/>
      <c r="D489" s="9"/>
      <c r="E489" s="2"/>
      <c r="F489" s="2"/>
    </row>
    <row r="490" spans="2:6" ht="14.25">
      <c r="B490" s="2"/>
      <c r="C490" s="2"/>
      <c r="D490" s="9"/>
      <c r="E490" s="2"/>
      <c r="F490" s="2"/>
    </row>
    <row r="491" spans="2:6" ht="14.25">
      <c r="B491" s="2"/>
      <c r="C491" s="2"/>
      <c r="D491" s="9"/>
      <c r="E491" s="2"/>
      <c r="F491" s="2"/>
    </row>
    <row r="492" spans="2:6" ht="14.25">
      <c r="B492" s="2"/>
      <c r="C492" s="2"/>
      <c r="D492" s="9"/>
      <c r="E492" s="2"/>
      <c r="F492" s="2"/>
    </row>
    <row r="493" spans="2:6" ht="14.25">
      <c r="B493" s="2"/>
      <c r="C493" s="2"/>
      <c r="D493" s="9"/>
      <c r="E493" s="2"/>
      <c r="F493" s="2"/>
    </row>
    <row r="494" spans="2:6" ht="14.25">
      <c r="B494" s="2"/>
      <c r="C494" s="2"/>
      <c r="D494" s="9"/>
      <c r="E494" s="2"/>
      <c r="F494" s="2"/>
    </row>
    <row r="495" spans="2:6" ht="14.25">
      <c r="B495" s="2"/>
      <c r="C495" s="2"/>
      <c r="D495" s="9"/>
      <c r="E495" s="2"/>
      <c r="F495" s="2"/>
    </row>
    <row r="496" spans="2:6" ht="14.25">
      <c r="B496" s="2"/>
      <c r="C496" s="2"/>
      <c r="D496" s="9"/>
      <c r="E496" s="2"/>
      <c r="F496" s="2"/>
    </row>
    <row r="497" spans="2:6" ht="14.25">
      <c r="B497" s="2"/>
      <c r="C497" s="2"/>
      <c r="D497" s="9"/>
      <c r="E497" s="2"/>
      <c r="F497" s="2"/>
    </row>
    <row r="498" spans="2:6" ht="14.25">
      <c r="B498" s="2"/>
      <c r="C498" s="2"/>
      <c r="D498" s="9"/>
      <c r="E498" s="2"/>
      <c r="F498" s="2"/>
    </row>
    <row r="499" spans="2:6" ht="14.25">
      <c r="B499" s="2"/>
      <c r="C499" s="2"/>
      <c r="D499" s="9"/>
      <c r="E499" s="2"/>
      <c r="F499" s="2"/>
    </row>
    <row r="500" spans="2:6" ht="14.25">
      <c r="B500" s="2"/>
      <c r="C500" s="2"/>
      <c r="D500" s="9"/>
      <c r="E500" s="2"/>
      <c r="F500" s="2"/>
    </row>
    <row r="501" spans="2:6" ht="14.25">
      <c r="B501" s="2"/>
      <c r="C501" s="2"/>
      <c r="D501" s="9"/>
      <c r="E501" s="2"/>
      <c r="F501" s="2"/>
    </row>
    <row r="502" spans="2:6" ht="14.25">
      <c r="B502" s="2"/>
      <c r="C502" s="2"/>
      <c r="D502" s="9"/>
      <c r="E502" s="2"/>
      <c r="F502" s="2"/>
    </row>
    <row r="503" spans="2:6" ht="14.25">
      <c r="B503" s="2"/>
      <c r="C503" s="2"/>
      <c r="D503" s="9"/>
      <c r="E503" s="2"/>
      <c r="F503" s="2"/>
    </row>
    <row r="504" spans="2:6" ht="14.25">
      <c r="B504" s="2"/>
      <c r="C504" s="2"/>
      <c r="D504" s="9"/>
      <c r="E504" s="2"/>
      <c r="F504" s="2"/>
    </row>
    <row r="505" spans="2:6" ht="14.25">
      <c r="B505" s="2"/>
      <c r="C505" s="2"/>
      <c r="D505" s="9"/>
      <c r="E505" s="2"/>
      <c r="F505" s="2"/>
    </row>
    <row r="506" spans="2:6" ht="14.25">
      <c r="B506" s="2"/>
      <c r="C506" s="2"/>
      <c r="D506" s="9"/>
      <c r="E506" s="2"/>
      <c r="F506" s="2"/>
    </row>
    <row r="507" spans="2:6" ht="14.25">
      <c r="B507" s="2"/>
      <c r="C507" s="2"/>
      <c r="D507" s="9"/>
      <c r="E507" s="2"/>
      <c r="F507" s="2"/>
    </row>
    <row r="508" spans="2:6" ht="14.25">
      <c r="B508" s="2"/>
      <c r="C508" s="2"/>
      <c r="D508" s="9"/>
      <c r="E508" s="2"/>
      <c r="F508" s="2"/>
    </row>
    <row r="509" spans="2:6" ht="14.25">
      <c r="B509" s="2"/>
      <c r="C509" s="2"/>
      <c r="D509" s="9"/>
      <c r="E509" s="2"/>
      <c r="F509" s="2"/>
    </row>
    <row r="510" spans="2:6" ht="14.25">
      <c r="B510" s="2"/>
      <c r="C510" s="2"/>
      <c r="D510" s="9"/>
      <c r="E510" s="2"/>
      <c r="F510" s="2"/>
    </row>
    <row r="511" spans="2:6" ht="14.25">
      <c r="B511" s="2"/>
      <c r="C511" s="2"/>
      <c r="D511" s="9"/>
      <c r="E511" s="2"/>
      <c r="F511" s="2"/>
    </row>
    <row r="512" spans="2:6" ht="14.25">
      <c r="B512" s="2"/>
      <c r="C512" s="2"/>
      <c r="D512" s="9"/>
      <c r="E512" s="2"/>
      <c r="F512" s="2"/>
    </row>
    <row r="513" spans="2:6" ht="14.25">
      <c r="B513" s="2"/>
      <c r="C513" s="2"/>
      <c r="D513" s="9"/>
      <c r="E513" s="2"/>
      <c r="F513" s="2"/>
    </row>
    <row r="514" spans="2:6" ht="14.25">
      <c r="B514" s="2"/>
      <c r="C514" s="2"/>
      <c r="D514" s="9"/>
      <c r="E514" s="2"/>
      <c r="F514" s="2"/>
    </row>
    <row r="515" spans="2:6" ht="14.25">
      <c r="B515" s="2"/>
      <c r="C515" s="2"/>
      <c r="D515" s="9"/>
      <c r="E515" s="2"/>
      <c r="F515" s="2"/>
    </row>
    <row r="516" spans="2:6" ht="14.25">
      <c r="B516" s="2"/>
      <c r="C516" s="2"/>
      <c r="D516" s="9"/>
      <c r="E516" s="2"/>
      <c r="F516" s="2"/>
    </row>
    <row r="517" spans="2:6" ht="14.25">
      <c r="B517" s="2"/>
      <c r="C517" s="2"/>
      <c r="D517" s="9"/>
      <c r="E517" s="2"/>
      <c r="F517" s="2"/>
    </row>
    <row r="518" spans="2:6" ht="14.25">
      <c r="B518" s="2"/>
      <c r="C518" s="2"/>
      <c r="D518" s="9"/>
      <c r="E518" s="2"/>
      <c r="F518" s="2"/>
    </row>
    <row r="519" spans="2:6" ht="14.25">
      <c r="B519" s="2"/>
      <c r="C519" s="2"/>
      <c r="D519" s="9"/>
      <c r="E519" s="2"/>
      <c r="F519" s="2"/>
    </row>
    <row r="520" spans="2:6" ht="14.25">
      <c r="B520" s="2"/>
      <c r="C520" s="2"/>
      <c r="D520" s="9"/>
      <c r="E520" s="2"/>
      <c r="F520" s="2"/>
    </row>
    <row r="521" spans="2:6" ht="14.25">
      <c r="B521" s="2"/>
      <c r="C521" s="2"/>
      <c r="D521" s="9"/>
      <c r="E521" s="2"/>
      <c r="F521" s="2"/>
    </row>
    <row r="522" spans="2:6" ht="14.25">
      <c r="B522" s="2"/>
      <c r="C522" s="2"/>
      <c r="D522" s="9"/>
      <c r="E522" s="2"/>
      <c r="F522" s="2"/>
    </row>
    <row r="523" spans="2:6" ht="14.25">
      <c r="B523" s="2"/>
      <c r="C523" s="2"/>
      <c r="D523" s="9"/>
      <c r="E523" s="2"/>
      <c r="F523" s="2"/>
    </row>
    <row r="524" spans="2:6" ht="14.25">
      <c r="B524" s="2"/>
      <c r="C524" s="2"/>
      <c r="D524" s="9"/>
      <c r="E524" s="2"/>
      <c r="F524" s="2"/>
    </row>
    <row r="525" spans="2:6" ht="14.25">
      <c r="B525" s="2"/>
      <c r="C525" s="2"/>
      <c r="D525" s="9"/>
      <c r="E525" s="2"/>
      <c r="F525" s="2"/>
    </row>
    <row r="526" spans="2:6" ht="14.25">
      <c r="B526" s="2"/>
      <c r="C526" s="2"/>
      <c r="D526" s="9"/>
      <c r="E526" s="2"/>
      <c r="F526" s="2"/>
    </row>
    <row r="527" spans="2:6" ht="14.25">
      <c r="B527" s="2"/>
      <c r="C527" s="2"/>
      <c r="D527" s="9"/>
      <c r="E527" s="2"/>
      <c r="F527" s="2"/>
    </row>
    <row r="528" spans="2:6" ht="14.25">
      <c r="B528" s="2"/>
      <c r="C528" s="2"/>
      <c r="D528" s="9"/>
      <c r="E528" s="2"/>
      <c r="F528" s="2"/>
    </row>
    <row r="529" spans="2:6" ht="14.25">
      <c r="B529" s="2"/>
      <c r="C529" s="2"/>
      <c r="D529" s="9"/>
      <c r="E529" s="2"/>
      <c r="F529" s="2"/>
    </row>
    <row r="530" spans="2:6" ht="14.25">
      <c r="B530" s="2"/>
      <c r="C530" s="2"/>
      <c r="D530" s="9"/>
      <c r="E530" s="2"/>
      <c r="F530" s="2"/>
    </row>
    <row r="531" spans="2:6" ht="14.25">
      <c r="B531" s="2"/>
      <c r="C531" s="2"/>
      <c r="D531" s="9"/>
      <c r="E531" s="2"/>
      <c r="F531" s="2"/>
    </row>
    <row r="532" spans="2:6" ht="14.25">
      <c r="B532" s="2"/>
      <c r="C532" s="2"/>
      <c r="D532" s="9"/>
      <c r="E532" s="2"/>
      <c r="F532" s="2"/>
    </row>
    <row r="533" spans="2:6" ht="14.25">
      <c r="B533" s="2"/>
      <c r="C533" s="2"/>
      <c r="D533" s="9"/>
      <c r="E533" s="2"/>
      <c r="F533" s="2"/>
    </row>
    <row r="534" spans="2:6" ht="14.25">
      <c r="B534" s="2"/>
      <c r="C534" s="2"/>
      <c r="D534" s="9"/>
      <c r="E534" s="2"/>
      <c r="F534" s="2"/>
    </row>
    <row r="535" spans="2:6" ht="14.25">
      <c r="B535" s="2"/>
      <c r="C535" s="2"/>
      <c r="D535" s="9"/>
      <c r="E535" s="2"/>
      <c r="F535" s="2"/>
    </row>
    <row r="536" spans="2:6" ht="14.25">
      <c r="B536" s="2"/>
      <c r="C536" s="2"/>
      <c r="D536" s="9"/>
      <c r="E536" s="2"/>
      <c r="F536" s="2"/>
    </row>
    <row r="537" spans="2:6" ht="14.25">
      <c r="B537" s="2"/>
      <c r="C537" s="2"/>
      <c r="D537" s="9"/>
      <c r="E537" s="2"/>
      <c r="F537" s="2"/>
    </row>
    <row r="538" spans="2:6" ht="14.25">
      <c r="B538" s="2"/>
      <c r="C538" s="2"/>
      <c r="D538" s="9"/>
      <c r="E538" s="2"/>
      <c r="F538" s="2"/>
    </row>
    <row r="539" spans="2:6" ht="14.25">
      <c r="B539" s="2"/>
      <c r="C539" s="2"/>
      <c r="D539" s="9"/>
      <c r="E539" s="2"/>
      <c r="F539" s="2"/>
    </row>
    <row r="540" spans="2:6" ht="14.25">
      <c r="B540" s="2"/>
      <c r="C540" s="2"/>
      <c r="D540" s="9"/>
      <c r="E540" s="2"/>
      <c r="F540" s="2"/>
    </row>
    <row r="541" spans="2:6" ht="14.25">
      <c r="B541" s="2"/>
      <c r="C541" s="2"/>
      <c r="D541" s="9"/>
      <c r="E541" s="2"/>
      <c r="F541" s="2"/>
    </row>
    <row r="542" spans="2:6" ht="14.25">
      <c r="B542" s="2"/>
      <c r="C542" s="2"/>
      <c r="D542" s="9"/>
      <c r="E542" s="2"/>
      <c r="F542" s="2"/>
    </row>
    <row r="543" spans="2:6" ht="14.25">
      <c r="B543" s="2"/>
      <c r="C543" s="2"/>
      <c r="D543" s="9"/>
      <c r="E543" s="2"/>
      <c r="F543" s="2"/>
    </row>
    <row r="544" spans="2:6" ht="14.25">
      <c r="B544" s="2"/>
      <c r="C544" s="2"/>
      <c r="D544" s="9"/>
      <c r="E544" s="2"/>
      <c r="F544" s="2"/>
    </row>
    <row r="545" spans="2:6" ht="14.25">
      <c r="B545" s="2"/>
      <c r="C545" s="2"/>
      <c r="D545" s="9"/>
      <c r="E545" s="2"/>
      <c r="F545" s="2"/>
    </row>
    <row r="546" spans="2:6" ht="14.25">
      <c r="B546" s="2"/>
      <c r="C546" s="2"/>
      <c r="D546" s="9"/>
      <c r="E546" s="2"/>
      <c r="F546" s="2"/>
    </row>
    <row r="547" spans="2:6" ht="14.25">
      <c r="B547" s="2"/>
      <c r="C547" s="2"/>
      <c r="D547" s="9"/>
      <c r="E547" s="2"/>
      <c r="F547" s="2"/>
    </row>
    <row r="548" spans="2:6" ht="14.25">
      <c r="B548" s="2"/>
      <c r="C548" s="2"/>
      <c r="D548" s="9"/>
      <c r="E548" s="2"/>
      <c r="F548" s="2"/>
    </row>
    <row r="549" spans="2:6" ht="14.25">
      <c r="B549" s="2"/>
      <c r="C549" s="2"/>
      <c r="D549" s="9"/>
      <c r="E549" s="2"/>
      <c r="F549" s="2"/>
    </row>
    <row r="550" spans="2:6" ht="14.25">
      <c r="B550" s="2"/>
      <c r="C550" s="2"/>
      <c r="D550" s="9"/>
      <c r="E550" s="2"/>
      <c r="F550" s="2"/>
    </row>
    <row r="551" spans="2:6" ht="14.25">
      <c r="B551" s="2"/>
      <c r="C551" s="2"/>
      <c r="D551" s="9"/>
      <c r="E551" s="2"/>
      <c r="F551" s="2"/>
    </row>
    <row r="552" spans="2:6" ht="14.25">
      <c r="B552" s="2"/>
      <c r="C552" s="2"/>
      <c r="D552" s="9"/>
      <c r="E552" s="2"/>
      <c r="F552" s="2"/>
    </row>
    <row r="553" spans="2:6" ht="14.25">
      <c r="B553" s="2"/>
      <c r="C553" s="2"/>
      <c r="D553" s="9"/>
      <c r="E553" s="2"/>
      <c r="F553" s="2"/>
    </row>
    <row r="554" spans="2:6" ht="14.25">
      <c r="B554" s="2"/>
      <c r="C554" s="2"/>
      <c r="D554" s="9"/>
      <c r="E554" s="2"/>
      <c r="F554" s="2"/>
    </row>
    <row r="555" spans="2:6" ht="14.25">
      <c r="B555" s="2"/>
      <c r="C555" s="2"/>
      <c r="D555" s="9"/>
      <c r="E555" s="2"/>
      <c r="F555" s="2"/>
    </row>
    <row r="556" spans="2:6" ht="14.25">
      <c r="B556" s="2"/>
      <c r="C556" s="2"/>
      <c r="D556" s="9"/>
      <c r="E556" s="2"/>
      <c r="F556" s="2"/>
    </row>
    <row r="557" spans="2:6" ht="14.25">
      <c r="B557" s="2"/>
      <c r="C557" s="2"/>
      <c r="D557" s="9"/>
      <c r="E557" s="2"/>
      <c r="F557" s="2"/>
    </row>
    <row r="558" spans="2:6" ht="14.25">
      <c r="B558" s="2"/>
      <c r="C558" s="2"/>
      <c r="D558" s="9"/>
      <c r="E558" s="2"/>
      <c r="F558" s="2"/>
    </row>
    <row r="559" spans="2:6" ht="14.25">
      <c r="B559" s="2"/>
      <c r="C559" s="2"/>
      <c r="D559" s="9"/>
      <c r="E559" s="2"/>
      <c r="F559" s="2"/>
    </row>
    <row r="560" spans="2:6" ht="14.25">
      <c r="B560" s="2"/>
      <c r="C560" s="2"/>
      <c r="D560" s="9"/>
      <c r="E560" s="2"/>
      <c r="F560" s="2"/>
    </row>
    <row r="561" spans="2:6" ht="14.25">
      <c r="B561" s="2"/>
      <c r="C561" s="2"/>
      <c r="D561" s="9"/>
      <c r="E561" s="2"/>
      <c r="F561" s="2"/>
    </row>
    <row r="562" spans="2:6" ht="14.25">
      <c r="B562" s="2"/>
      <c r="C562" s="2"/>
      <c r="D562" s="9"/>
      <c r="E562" s="2"/>
      <c r="F562" s="2"/>
    </row>
    <row r="563" spans="2:6" ht="14.25">
      <c r="B563" s="2"/>
      <c r="C563" s="2"/>
      <c r="D563" s="9"/>
      <c r="E563" s="2"/>
      <c r="F563" s="2"/>
    </row>
    <row r="564" spans="2:6" ht="14.25">
      <c r="B564" s="2"/>
      <c r="C564" s="2"/>
      <c r="D564" s="9"/>
      <c r="E564" s="2"/>
      <c r="F564" s="2"/>
    </row>
    <row r="565" spans="2:6" ht="14.25">
      <c r="B565" s="2"/>
      <c r="C565" s="2"/>
      <c r="D565" s="9"/>
      <c r="E565" s="2"/>
      <c r="F565" s="2"/>
    </row>
    <row r="566" spans="2:6" ht="14.25">
      <c r="B566" s="2"/>
      <c r="C566" s="2"/>
      <c r="D566" s="9"/>
      <c r="E566" s="2"/>
      <c r="F566" s="2"/>
    </row>
    <row r="567" spans="2:6" ht="14.25">
      <c r="B567" s="2"/>
      <c r="C567" s="2"/>
      <c r="D567" s="9"/>
      <c r="E567" s="2"/>
      <c r="F567" s="2"/>
    </row>
    <row r="568" spans="2:6" ht="14.25">
      <c r="B568" s="2"/>
      <c r="C568" s="2"/>
      <c r="D568" s="9"/>
      <c r="E568" s="2"/>
      <c r="F568" s="2"/>
    </row>
    <row r="569" spans="2:6" ht="14.25">
      <c r="B569" s="2"/>
      <c r="C569" s="2"/>
      <c r="D569" s="9"/>
      <c r="E569" s="2"/>
      <c r="F569" s="2"/>
    </row>
    <row r="570" spans="2:6" ht="14.25">
      <c r="B570" s="2"/>
      <c r="C570" s="2"/>
      <c r="D570" s="9"/>
      <c r="E570" s="2"/>
      <c r="F570" s="2"/>
    </row>
    <row r="571" spans="2:6" ht="14.25">
      <c r="B571" s="2"/>
      <c r="C571" s="2"/>
      <c r="D571" s="9"/>
      <c r="E571" s="2"/>
      <c r="F571" s="2"/>
    </row>
    <row r="572" spans="2:6" ht="14.25">
      <c r="B572" s="2"/>
      <c r="C572" s="2"/>
      <c r="D572" s="9"/>
      <c r="E572" s="2"/>
      <c r="F572" s="2"/>
    </row>
    <row r="573" spans="2:6" ht="14.25">
      <c r="B573" s="2"/>
      <c r="C573" s="2"/>
      <c r="D573" s="9"/>
      <c r="E573" s="2"/>
      <c r="F573" s="2"/>
    </row>
    <row r="574" spans="2:6" ht="14.25">
      <c r="B574" s="2"/>
      <c r="C574" s="2"/>
      <c r="D574" s="9"/>
      <c r="E574" s="2"/>
      <c r="F574" s="2"/>
    </row>
    <row r="575" spans="2:6" ht="14.25">
      <c r="B575" s="2"/>
      <c r="C575" s="2"/>
      <c r="D575" s="9"/>
      <c r="E575" s="2"/>
      <c r="F575" s="2"/>
    </row>
    <row r="576" spans="2:6" ht="14.25">
      <c r="B576" s="2"/>
      <c r="C576" s="2"/>
      <c r="D576" s="9"/>
      <c r="E576" s="2"/>
      <c r="F576" s="2"/>
    </row>
    <row r="577" spans="2:6" ht="14.25">
      <c r="B577" s="2"/>
      <c r="C577" s="2"/>
      <c r="D577" s="9"/>
      <c r="E577" s="2"/>
      <c r="F577" s="2"/>
    </row>
    <row r="578" spans="2:6" ht="14.25">
      <c r="B578" s="2"/>
      <c r="C578" s="2"/>
      <c r="D578" s="9"/>
      <c r="E578" s="2"/>
      <c r="F578" s="2"/>
    </row>
    <row r="579" spans="2:6" ht="14.25">
      <c r="B579" s="2"/>
      <c r="C579" s="2"/>
      <c r="D579" s="9"/>
      <c r="E579" s="2"/>
      <c r="F579" s="2"/>
    </row>
    <row r="580" spans="2:6" ht="14.25">
      <c r="B580" s="2"/>
      <c r="C580" s="2"/>
      <c r="D580" s="9"/>
      <c r="E580" s="2"/>
      <c r="F580" s="2"/>
    </row>
    <row r="581" spans="2:6" ht="14.25">
      <c r="B581" s="2"/>
      <c r="C581" s="2"/>
      <c r="D581" s="9"/>
      <c r="E581" s="2"/>
      <c r="F581" s="2"/>
    </row>
    <row r="582" spans="2:6" ht="14.25">
      <c r="B582" s="2"/>
      <c r="C582" s="2"/>
      <c r="D582" s="9"/>
      <c r="E582" s="2"/>
      <c r="F582" s="2"/>
    </row>
    <row r="583" spans="2:6" ht="14.25">
      <c r="B583" s="2"/>
      <c r="C583" s="2"/>
      <c r="D583" s="9"/>
      <c r="E583" s="2"/>
      <c r="F583" s="2"/>
    </row>
    <row r="584" spans="2:6" ht="14.25">
      <c r="B584" s="2"/>
      <c r="C584" s="2"/>
      <c r="D584" s="9"/>
      <c r="E584" s="2"/>
      <c r="F584" s="2"/>
    </row>
    <row r="585" spans="2:6" ht="14.25">
      <c r="B585" s="2"/>
      <c r="C585" s="2"/>
      <c r="D585" s="9"/>
      <c r="E585" s="2"/>
      <c r="F585" s="2"/>
    </row>
    <row r="586" spans="2:6" ht="14.25">
      <c r="B586" s="2"/>
      <c r="C586" s="2"/>
      <c r="D586" s="9"/>
      <c r="E586" s="2"/>
      <c r="F586" s="2"/>
    </row>
    <row r="587" spans="2:6" ht="14.25">
      <c r="B587" s="2"/>
      <c r="C587" s="2"/>
      <c r="D587" s="9"/>
      <c r="E587" s="2"/>
      <c r="F587" s="2"/>
    </row>
    <row r="588" spans="2:6" ht="14.25">
      <c r="B588" s="2"/>
      <c r="C588" s="2"/>
      <c r="D588" s="9"/>
      <c r="E588" s="2"/>
      <c r="F588" s="2"/>
    </row>
    <row r="589" spans="2:6" ht="14.25">
      <c r="B589" s="2"/>
      <c r="C589" s="2"/>
      <c r="D589" s="9"/>
      <c r="E589" s="2"/>
      <c r="F589" s="2"/>
    </row>
    <row r="590" spans="2:6" ht="14.25">
      <c r="B590" s="2"/>
      <c r="C590" s="2"/>
      <c r="D590" s="9"/>
      <c r="E590" s="2"/>
      <c r="F590" s="2"/>
    </row>
    <row r="591" spans="2:6" ht="14.25">
      <c r="B591" s="2"/>
      <c r="C591" s="2"/>
      <c r="D591" s="9"/>
      <c r="E591" s="2"/>
      <c r="F591" s="2"/>
    </row>
    <row r="592" spans="2:6" ht="14.25">
      <c r="B592" s="2"/>
      <c r="C592" s="2"/>
      <c r="D592" s="9"/>
      <c r="E592" s="2"/>
      <c r="F592" s="2"/>
    </row>
    <row r="593" spans="2:6" ht="14.25">
      <c r="B593" s="2"/>
      <c r="C593" s="2"/>
      <c r="D593" s="9"/>
      <c r="E593" s="2"/>
      <c r="F593" s="2"/>
    </row>
    <row r="594" spans="2:6" ht="14.25">
      <c r="B594" s="2"/>
      <c r="C594" s="2"/>
      <c r="D594" s="9"/>
      <c r="E594" s="2"/>
      <c r="F594" s="2"/>
    </row>
    <row r="595" spans="2:6" ht="14.25">
      <c r="B595" s="2"/>
      <c r="C595" s="2"/>
      <c r="D595" s="9"/>
      <c r="E595" s="2"/>
      <c r="F595" s="2"/>
    </row>
    <row r="596" spans="2:6" ht="14.25">
      <c r="B596" s="2"/>
      <c r="C596" s="2"/>
      <c r="D596" s="9"/>
      <c r="E596" s="2"/>
      <c r="F596" s="2"/>
    </row>
    <row r="597" spans="2:6" ht="14.25">
      <c r="B597" s="2"/>
      <c r="C597" s="2"/>
      <c r="D597" s="9"/>
      <c r="E597" s="2"/>
      <c r="F597" s="2"/>
    </row>
    <row r="598" spans="2:6" ht="14.25">
      <c r="B598" s="2"/>
      <c r="C598" s="2"/>
      <c r="D598" s="9"/>
      <c r="E598" s="2"/>
      <c r="F598" s="2"/>
    </row>
    <row r="599" spans="2:6" ht="14.25">
      <c r="B599" s="2"/>
      <c r="C599" s="2"/>
      <c r="D599" s="9"/>
      <c r="E599" s="2"/>
      <c r="F599" s="2"/>
    </row>
    <row r="600" spans="2:6" ht="14.25">
      <c r="B600" s="2"/>
      <c r="C600" s="2"/>
      <c r="D600" s="9"/>
      <c r="E600" s="2"/>
      <c r="F600" s="2"/>
    </row>
    <row r="601" spans="2:6" ht="14.25">
      <c r="B601" s="2"/>
      <c r="C601" s="2"/>
      <c r="D601" s="9"/>
      <c r="E601" s="2"/>
      <c r="F601" s="2"/>
    </row>
    <row r="602" spans="2:6" ht="14.25">
      <c r="B602" s="2"/>
      <c r="C602" s="2"/>
      <c r="D602" s="9"/>
      <c r="E602" s="2"/>
      <c r="F602" s="2"/>
    </row>
    <row r="603" spans="2:6" ht="14.25">
      <c r="B603" s="2"/>
      <c r="C603" s="2"/>
      <c r="D603" s="9"/>
      <c r="E603" s="2"/>
      <c r="F603" s="2"/>
    </row>
    <row r="604" spans="2:6" ht="14.25">
      <c r="B604" s="2"/>
      <c r="C604" s="2"/>
      <c r="D604" s="9"/>
      <c r="E604" s="2"/>
      <c r="F604" s="2"/>
    </row>
    <row r="605" spans="2:6" ht="14.25">
      <c r="B605" s="2"/>
      <c r="C605" s="2"/>
      <c r="D605" s="9"/>
      <c r="E605" s="2"/>
      <c r="F605" s="2"/>
    </row>
    <row r="606" spans="2:6" ht="14.25">
      <c r="B606" s="2"/>
      <c r="C606" s="2"/>
      <c r="D606" s="9"/>
      <c r="E606" s="2"/>
      <c r="F606" s="2"/>
    </row>
    <row r="607" spans="2:6" ht="14.25">
      <c r="B607" s="2"/>
      <c r="C607" s="2"/>
      <c r="D607" s="9"/>
      <c r="E607" s="2"/>
      <c r="F607" s="2"/>
    </row>
    <row r="608" spans="2:6" ht="14.25">
      <c r="B608" s="2"/>
      <c r="C608" s="2"/>
      <c r="D608" s="9"/>
      <c r="E608" s="2"/>
      <c r="F608" s="2"/>
    </row>
    <row r="609" spans="2:6" ht="14.25">
      <c r="B609" s="2"/>
      <c r="C609" s="2"/>
      <c r="D609" s="9"/>
      <c r="E609" s="2"/>
      <c r="F609" s="2"/>
    </row>
    <row r="610" spans="2:6" ht="14.25">
      <c r="B610" s="2"/>
      <c r="C610" s="2"/>
      <c r="D610" s="9"/>
      <c r="E610" s="2"/>
      <c r="F610" s="2"/>
    </row>
    <row r="611" spans="2:6" ht="14.25">
      <c r="B611" s="2"/>
      <c r="C611" s="2"/>
      <c r="D611" s="9"/>
      <c r="E611" s="2"/>
      <c r="F611" s="2"/>
    </row>
    <row r="612" spans="2:6" ht="14.25">
      <c r="B612" s="2"/>
      <c r="C612" s="2"/>
      <c r="D612" s="9"/>
      <c r="E612" s="2"/>
      <c r="F612" s="2"/>
    </row>
    <row r="613" spans="2:6" ht="14.25">
      <c r="B613" s="2"/>
      <c r="C613" s="2"/>
      <c r="D613" s="9"/>
      <c r="E613" s="2"/>
      <c r="F613" s="2"/>
    </row>
    <row r="614" spans="2:6" ht="14.25">
      <c r="B614" s="2"/>
      <c r="C614" s="2"/>
      <c r="D614" s="9"/>
      <c r="E614" s="2"/>
      <c r="F614" s="2"/>
    </row>
    <row r="615" spans="2:6" ht="14.25">
      <c r="B615" s="2"/>
      <c r="C615" s="2"/>
      <c r="D615" s="9"/>
      <c r="E615" s="2"/>
      <c r="F615" s="2"/>
    </row>
    <row r="616" spans="2:6" ht="14.25">
      <c r="B616" s="2"/>
      <c r="C616" s="2"/>
      <c r="D616" s="9"/>
      <c r="E616" s="2"/>
      <c r="F616" s="2"/>
    </row>
    <row r="617" spans="2:6" ht="14.25">
      <c r="B617" s="2"/>
      <c r="C617" s="2"/>
      <c r="D617" s="9"/>
      <c r="E617" s="2"/>
      <c r="F617" s="2"/>
    </row>
    <row r="618" spans="2:6" ht="14.25">
      <c r="B618" s="2"/>
      <c r="C618" s="2"/>
      <c r="D618" s="9"/>
      <c r="E618" s="2"/>
      <c r="F618" s="2"/>
    </row>
    <row r="619" spans="2:6" ht="14.25">
      <c r="B619" s="2"/>
      <c r="C619" s="2"/>
      <c r="D619" s="9"/>
      <c r="E619" s="2"/>
      <c r="F619" s="2"/>
    </row>
    <row r="620" spans="2:6" ht="14.25">
      <c r="B620" s="2"/>
      <c r="C620" s="2"/>
      <c r="D620" s="9"/>
      <c r="E620" s="2"/>
      <c r="F620" s="2"/>
    </row>
    <row r="621" spans="2:6" ht="14.25">
      <c r="B621" s="2"/>
      <c r="C621" s="2"/>
      <c r="D621" s="9"/>
      <c r="E621" s="2"/>
      <c r="F621" s="2"/>
    </row>
    <row r="622" spans="2:6" ht="14.25">
      <c r="B622" s="2"/>
      <c r="C622" s="2"/>
      <c r="D622" s="9"/>
      <c r="E622" s="2"/>
      <c r="F622" s="2"/>
    </row>
    <row r="623" spans="2:6" ht="14.25">
      <c r="B623" s="2"/>
      <c r="C623" s="2"/>
      <c r="D623" s="9"/>
      <c r="E623" s="2"/>
      <c r="F623" s="2"/>
    </row>
    <row r="624" spans="2:6" ht="14.25">
      <c r="B624" s="2"/>
      <c r="C624" s="2"/>
      <c r="D624" s="9"/>
      <c r="E624" s="2"/>
      <c r="F624" s="2"/>
    </row>
    <row r="625" spans="2:6" ht="14.25">
      <c r="B625" s="2"/>
      <c r="C625" s="2"/>
      <c r="D625" s="9"/>
      <c r="E625" s="2"/>
      <c r="F625" s="2"/>
    </row>
    <row r="626" spans="2:6" ht="14.25">
      <c r="B626" s="2"/>
      <c r="C626" s="2"/>
      <c r="D626" s="9"/>
      <c r="E626" s="2"/>
      <c r="F626" s="2"/>
    </row>
    <row r="627" spans="2:6" ht="14.25">
      <c r="B627" s="2"/>
      <c r="C627" s="2"/>
      <c r="D627" s="9"/>
      <c r="E627" s="2"/>
      <c r="F627" s="2"/>
    </row>
    <row r="628" spans="2:6" ht="14.25">
      <c r="B628" s="2"/>
      <c r="C628" s="2"/>
      <c r="D628" s="9"/>
      <c r="E628" s="2"/>
      <c r="F628" s="2"/>
    </row>
    <row r="629" spans="2:6" ht="14.25">
      <c r="B629" s="2"/>
      <c r="C629" s="2"/>
      <c r="D629" s="9"/>
      <c r="E629" s="2"/>
      <c r="F629" s="2"/>
    </row>
    <row r="630" spans="2:6" ht="14.25">
      <c r="B630" s="2"/>
      <c r="C630" s="2"/>
      <c r="D630" s="9"/>
      <c r="E630" s="2"/>
      <c r="F630" s="2"/>
    </row>
    <row r="631" spans="2:6" ht="14.25">
      <c r="B631" s="2"/>
      <c r="C631" s="2"/>
      <c r="D631" s="9"/>
      <c r="E631" s="2"/>
      <c r="F631" s="2"/>
    </row>
    <row r="632" spans="2:6" ht="14.25">
      <c r="B632" s="2"/>
      <c r="C632" s="2"/>
      <c r="D632" s="9"/>
      <c r="E632" s="2"/>
      <c r="F632" s="2"/>
    </row>
    <row r="633" spans="2:6" ht="14.25">
      <c r="B633" s="2"/>
      <c r="C633" s="2"/>
      <c r="D633" s="9"/>
      <c r="E633" s="2"/>
      <c r="F633" s="2"/>
    </row>
    <row r="634" spans="2:6" ht="14.25">
      <c r="B634" s="2"/>
      <c r="C634" s="2"/>
      <c r="D634" s="9"/>
      <c r="E634" s="2"/>
      <c r="F634" s="2"/>
    </row>
    <row r="635" spans="2:6" ht="14.25">
      <c r="B635" s="2"/>
      <c r="C635" s="2"/>
      <c r="D635" s="9"/>
      <c r="E635" s="2"/>
      <c r="F635" s="2"/>
    </row>
    <row r="636" spans="2:6" ht="14.25">
      <c r="B636" s="2"/>
      <c r="C636" s="2"/>
      <c r="D636" s="9"/>
      <c r="E636" s="2"/>
      <c r="F636" s="2"/>
    </row>
    <row r="637" spans="2:6" ht="14.25">
      <c r="B637" s="2"/>
      <c r="C637" s="2"/>
      <c r="D637" s="9"/>
      <c r="E637" s="2"/>
      <c r="F637" s="2"/>
    </row>
    <row r="638" spans="2:6" ht="14.25">
      <c r="B638" s="2"/>
      <c r="C638" s="2"/>
      <c r="D638" s="9"/>
      <c r="E638" s="2"/>
      <c r="F638" s="2"/>
    </row>
    <row r="639" spans="2:6" ht="14.25">
      <c r="B639" s="2"/>
      <c r="C639" s="2"/>
      <c r="D639" s="9"/>
      <c r="E639" s="2"/>
      <c r="F639" s="2"/>
    </row>
    <row r="640" spans="2:6" ht="14.25">
      <c r="B640" s="2"/>
      <c r="C640" s="2"/>
      <c r="D640" s="9"/>
      <c r="E640" s="2"/>
      <c r="F640" s="2"/>
    </row>
    <row r="641" spans="2:6" ht="14.25">
      <c r="B641" s="2"/>
      <c r="C641" s="2"/>
      <c r="D641" s="9"/>
      <c r="E641" s="2"/>
      <c r="F641" s="2"/>
    </row>
    <row r="642" spans="2:6" ht="14.25">
      <c r="B642" s="2"/>
      <c r="C642" s="2"/>
      <c r="D642" s="9"/>
      <c r="E642" s="2"/>
      <c r="F642" s="2"/>
    </row>
    <row r="643" spans="2:6" ht="14.25">
      <c r="B643" s="2"/>
      <c r="C643" s="2"/>
      <c r="D643" s="9"/>
      <c r="E643" s="2"/>
      <c r="F643" s="2"/>
    </row>
    <row r="644" spans="2:6" ht="14.25">
      <c r="B644" s="2"/>
      <c r="C644" s="2"/>
      <c r="D644" s="9"/>
      <c r="E644" s="2"/>
      <c r="F644" s="2"/>
    </row>
    <row r="645" spans="2:6" ht="14.25">
      <c r="B645" s="2"/>
      <c r="C645" s="2"/>
      <c r="D645" s="9"/>
      <c r="E645" s="2"/>
      <c r="F645" s="2"/>
    </row>
    <row r="646" spans="2:6" ht="14.25">
      <c r="B646" s="2"/>
      <c r="C646" s="2"/>
      <c r="D646" s="9"/>
      <c r="E646" s="2"/>
      <c r="F646" s="2"/>
    </row>
    <row r="647" spans="2:6" ht="14.25">
      <c r="B647" s="2"/>
      <c r="C647" s="2"/>
      <c r="D647" s="9"/>
      <c r="E647" s="2"/>
      <c r="F647" s="2"/>
    </row>
    <row r="648" spans="2:6" ht="14.25">
      <c r="B648" s="2"/>
      <c r="C648" s="2"/>
      <c r="D648" s="9"/>
      <c r="E648" s="2"/>
      <c r="F648" s="2"/>
    </row>
    <row r="649" spans="2:6" ht="14.25">
      <c r="B649" s="2"/>
      <c r="C649" s="2"/>
      <c r="D649" s="9"/>
      <c r="E649" s="2"/>
      <c r="F649" s="2"/>
    </row>
    <row r="650" spans="2:6" ht="14.25">
      <c r="B650" s="2"/>
      <c r="C650" s="2"/>
      <c r="D650" s="9"/>
      <c r="E650" s="2"/>
      <c r="F650" s="2"/>
    </row>
    <row r="651" spans="2:6" ht="14.25">
      <c r="B651" s="2"/>
      <c r="C651" s="2"/>
      <c r="D651" s="9"/>
      <c r="E651" s="2"/>
      <c r="F651" s="2"/>
    </row>
    <row r="652" spans="2:6" ht="14.25">
      <c r="B652" s="2"/>
      <c r="C652" s="2"/>
      <c r="D652" s="9"/>
      <c r="E652" s="2"/>
      <c r="F652" s="2"/>
    </row>
    <row r="653" spans="2:6" ht="14.25">
      <c r="B653" s="2"/>
      <c r="C653" s="2"/>
      <c r="D653" s="9"/>
      <c r="E653" s="2"/>
      <c r="F653" s="2"/>
    </row>
    <row r="654" spans="2:6" ht="14.25">
      <c r="B654" s="2"/>
      <c r="C654" s="2"/>
      <c r="D654" s="9"/>
      <c r="E654" s="2"/>
      <c r="F654" s="2"/>
    </row>
    <row r="655" spans="2:6" ht="14.25">
      <c r="B655" s="2"/>
      <c r="C655" s="2"/>
      <c r="D655" s="9"/>
      <c r="E655" s="2"/>
      <c r="F655" s="2"/>
    </row>
    <row r="656" spans="2:6" ht="14.25">
      <c r="B656" s="2"/>
      <c r="C656" s="2"/>
      <c r="D656" s="9"/>
      <c r="E656" s="2"/>
      <c r="F656" s="2"/>
    </row>
    <row r="657" spans="2:6" ht="14.25">
      <c r="B657" s="2"/>
      <c r="C657" s="2"/>
      <c r="D657" s="9"/>
      <c r="E657" s="2"/>
      <c r="F657" s="2"/>
    </row>
    <row r="658" spans="2:6" ht="14.25">
      <c r="B658" s="2"/>
      <c r="C658" s="2"/>
      <c r="D658" s="9"/>
      <c r="E658" s="2"/>
      <c r="F658" s="2"/>
    </row>
    <row r="659" spans="2:6" ht="14.25">
      <c r="B659" s="2"/>
      <c r="C659" s="2"/>
      <c r="D659" s="9"/>
      <c r="E659" s="2"/>
      <c r="F659" s="2"/>
    </row>
    <row r="660" spans="2:6" ht="14.25">
      <c r="B660" s="2"/>
      <c r="C660" s="2"/>
      <c r="D660" s="9"/>
      <c r="E660" s="2"/>
      <c r="F660" s="2"/>
    </row>
    <row r="661" spans="2:6" ht="14.25">
      <c r="B661" s="2"/>
      <c r="C661" s="2"/>
      <c r="D661" s="9"/>
      <c r="E661" s="2"/>
      <c r="F661" s="2"/>
    </row>
    <row r="662" spans="2:6" ht="14.25">
      <c r="B662" s="2"/>
      <c r="C662" s="2"/>
      <c r="D662" s="9"/>
      <c r="E662" s="2"/>
      <c r="F662" s="2"/>
    </row>
    <row r="663" spans="2:6" ht="14.25">
      <c r="B663" s="2"/>
      <c r="C663" s="2"/>
      <c r="D663" s="9"/>
      <c r="E663" s="2"/>
      <c r="F663" s="2"/>
    </row>
    <row r="664" spans="2:6" ht="14.25">
      <c r="B664" s="2"/>
      <c r="C664" s="2"/>
      <c r="D664" s="9"/>
      <c r="E664" s="2"/>
      <c r="F664" s="2"/>
    </row>
    <row r="665" spans="2:6" ht="14.25">
      <c r="B665" s="2"/>
      <c r="C665" s="2"/>
      <c r="D665" s="9"/>
      <c r="E665" s="2"/>
      <c r="F665" s="2"/>
    </row>
    <row r="666" spans="2:6" ht="14.25">
      <c r="B666" s="2"/>
      <c r="C666" s="2"/>
      <c r="D666" s="9"/>
      <c r="E666" s="2"/>
      <c r="F666" s="2"/>
    </row>
    <row r="667" spans="2:6" ht="14.25">
      <c r="B667" s="2"/>
      <c r="C667" s="2"/>
      <c r="D667" s="9"/>
      <c r="E667" s="2"/>
      <c r="F667" s="2"/>
    </row>
    <row r="668" spans="2:6" ht="14.25">
      <c r="B668" s="2"/>
      <c r="C668" s="2"/>
      <c r="D668" s="9"/>
      <c r="E668" s="2"/>
      <c r="F668" s="2"/>
    </row>
    <row r="669" spans="2:6" ht="14.25">
      <c r="B669" s="2"/>
      <c r="C669" s="2"/>
      <c r="D669" s="9"/>
      <c r="E669" s="2"/>
      <c r="F669" s="2"/>
    </row>
    <row r="670" spans="2:6" ht="14.25">
      <c r="B670" s="2"/>
      <c r="C670" s="2"/>
      <c r="D670" s="9"/>
      <c r="E670" s="2"/>
      <c r="F670" s="2"/>
    </row>
    <row r="671" spans="2:6" ht="14.25">
      <c r="B671" s="2"/>
      <c r="C671" s="2"/>
      <c r="D671" s="9"/>
      <c r="E671" s="2"/>
      <c r="F671" s="2"/>
    </row>
    <row r="672" spans="2:6" ht="14.25">
      <c r="B672" s="2"/>
      <c r="C672" s="2"/>
      <c r="D672" s="9"/>
      <c r="E672" s="2"/>
      <c r="F672" s="2"/>
    </row>
    <row r="673" spans="2:6" ht="14.25">
      <c r="B673" s="2"/>
      <c r="C673" s="2"/>
      <c r="D673" s="9"/>
      <c r="E673" s="2"/>
      <c r="F673" s="2"/>
    </row>
    <row r="674" spans="2:6" ht="14.25">
      <c r="B674" s="2"/>
      <c r="C674" s="2"/>
      <c r="D674" s="9"/>
      <c r="E674" s="2"/>
      <c r="F674" s="2"/>
    </row>
    <row r="675" spans="2:6" ht="14.25">
      <c r="B675" s="2"/>
      <c r="C675" s="2"/>
      <c r="D675" s="9"/>
      <c r="E675" s="2"/>
      <c r="F675" s="2"/>
    </row>
    <row r="676" spans="2:6" ht="14.25">
      <c r="B676" s="2"/>
      <c r="C676" s="2"/>
      <c r="D676" s="9"/>
      <c r="E676" s="2"/>
      <c r="F676" s="2"/>
    </row>
    <row r="677" spans="2:6" ht="14.25">
      <c r="B677" s="2"/>
      <c r="C677" s="2"/>
      <c r="D677" s="9"/>
      <c r="E677" s="2"/>
      <c r="F677" s="2"/>
    </row>
    <row r="678" spans="2:6" ht="14.25">
      <c r="B678" s="2"/>
      <c r="C678" s="2"/>
      <c r="D678" s="9"/>
      <c r="E678" s="2"/>
      <c r="F678" s="2"/>
    </row>
    <row r="679" spans="2:6" ht="14.25">
      <c r="B679" s="2"/>
      <c r="C679" s="2"/>
      <c r="D679" s="9"/>
      <c r="E679" s="2"/>
      <c r="F679" s="2"/>
    </row>
    <row r="680" spans="2:6" ht="14.25">
      <c r="B680" s="2"/>
      <c r="C680" s="2"/>
      <c r="D680" s="9"/>
      <c r="E680" s="2"/>
      <c r="F680" s="2"/>
    </row>
    <row r="681" spans="2:6" ht="14.25">
      <c r="B681" s="2"/>
      <c r="C681" s="2"/>
      <c r="D681" s="9"/>
      <c r="E681" s="2"/>
      <c r="F681" s="2"/>
    </row>
    <row r="682" spans="2:6" ht="14.25">
      <c r="B682" s="2"/>
      <c r="C682" s="2"/>
      <c r="D682" s="9"/>
      <c r="E682" s="2"/>
      <c r="F682" s="2"/>
    </row>
    <row r="683" spans="2:6" ht="14.25">
      <c r="B683" s="2"/>
      <c r="C683" s="2"/>
      <c r="D683" s="9"/>
      <c r="E683" s="2"/>
      <c r="F683" s="2"/>
    </row>
    <row r="684" spans="2:6" ht="14.25">
      <c r="B684" s="2"/>
      <c r="C684" s="2"/>
      <c r="D684" s="9"/>
      <c r="E684" s="2"/>
      <c r="F684" s="2"/>
    </row>
    <row r="685" spans="2:6" ht="14.25">
      <c r="B685" s="2"/>
      <c r="C685" s="2"/>
      <c r="D685" s="9"/>
      <c r="E685" s="2"/>
      <c r="F685" s="2"/>
    </row>
    <row r="686" spans="2:6" ht="14.25">
      <c r="B686" s="2"/>
      <c r="C686" s="2"/>
      <c r="D686" s="9"/>
      <c r="E686" s="2"/>
      <c r="F686" s="2"/>
    </row>
    <row r="687" spans="2:6" ht="14.25">
      <c r="B687" s="2"/>
      <c r="C687" s="2"/>
      <c r="D687" s="9"/>
      <c r="E687" s="2"/>
      <c r="F687" s="2"/>
    </row>
    <row r="688" spans="2:6" ht="14.25">
      <c r="B688" s="2"/>
      <c r="C688" s="2"/>
      <c r="D688" s="9"/>
      <c r="E688" s="2"/>
      <c r="F688" s="2"/>
    </row>
    <row r="689" spans="2:6" ht="14.25">
      <c r="B689" s="2"/>
      <c r="C689" s="2"/>
      <c r="D689" s="9"/>
      <c r="E689" s="2"/>
      <c r="F689" s="2"/>
    </row>
    <row r="690" spans="2:6" ht="14.25">
      <c r="B690" s="2"/>
      <c r="C690" s="2"/>
      <c r="D690" s="9"/>
      <c r="E690" s="2"/>
      <c r="F690" s="2"/>
    </row>
    <row r="691" spans="2:6" ht="14.25">
      <c r="B691" s="2"/>
      <c r="C691" s="2"/>
      <c r="D691" s="9"/>
      <c r="E691" s="2"/>
      <c r="F691" s="2"/>
    </row>
    <row r="692" spans="2:6" ht="14.25">
      <c r="B692" s="2"/>
      <c r="C692" s="2"/>
      <c r="D692" s="9"/>
      <c r="E692" s="2"/>
      <c r="F692" s="2"/>
    </row>
    <row r="693" spans="2:6" ht="14.25">
      <c r="B693" s="2"/>
      <c r="C693" s="2"/>
      <c r="D693" s="9"/>
      <c r="E693" s="2"/>
      <c r="F693" s="2"/>
    </row>
    <row r="694" spans="2:6" ht="14.25">
      <c r="B694" s="2"/>
      <c r="C694" s="2"/>
      <c r="D694" s="9"/>
      <c r="E694" s="2"/>
      <c r="F694" s="2"/>
    </row>
    <row r="695" spans="2:6" ht="14.25">
      <c r="B695" s="2"/>
      <c r="C695" s="2"/>
      <c r="D695" s="9"/>
      <c r="E695" s="2"/>
      <c r="F695" s="2"/>
    </row>
    <row r="696" spans="2:6" ht="14.25">
      <c r="B696" s="2"/>
      <c r="C696" s="2"/>
      <c r="D696" s="9"/>
      <c r="E696" s="2"/>
      <c r="F696" s="2"/>
    </row>
    <row r="697" spans="2:6" ht="14.25">
      <c r="B697" s="2"/>
      <c r="C697" s="2"/>
      <c r="D697" s="9"/>
      <c r="E697" s="2"/>
      <c r="F697" s="2"/>
    </row>
    <row r="698" spans="2:6" ht="14.25">
      <c r="B698" s="2"/>
      <c r="C698" s="2"/>
      <c r="D698" s="9"/>
      <c r="E698" s="2"/>
      <c r="F698" s="2"/>
    </row>
    <row r="699" spans="2:6" ht="14.25">
      <c r="B699" s="2"/>
      <c r="C699" s="2"/>
      <c r="D699" s="9"/>
      <c r="E699" s="2"/>
      <c r="F699" s="2"/>
    </row>
    <row r="700" spans="2:6" ht="14.25">
      <c r="B700" s="2"/>
      <c r="C700" s="2"/>
      <c r="D700" s="9"/>
      <c r="E700" s="2"/>
      <c r="F700" s="2"/>
    </row>
    <row r="701" spans="2:6" ht="14.25">
      <c r="B701" s="2"/>
      <c r="C701" s="2"/>
      <c r="D701" s="9"/>
      <c r="E701" s="2"/>
      <c r="F701" s="2"/>
    </row>
    <row r="702" spans="2:6" ht="14.25">
      <c r="B702" s="2"/>
      <c r="C702" s="2"/>
      <c r="D702" s="9"/>
      <c r="E702" s="2"/>
      <c r="F702" s="2"/>
    </row>
    <row r="703" spans="2:6" ht="14.25">
      <c r="B703" s="2"/>
      <c r="C703" s="2"/>
      <c r="D703" s="9"/>
      <c r="E703" s="2"/>
      <c r="F703" s="2"/>
    </row>
    <row r="704" spans="2:6" ht="14.25">
      <c r="B704" s="2"/>
      <c r="C704" s="2"/>
      <c r="D704" s="9"/>
      <c r="E704" s="2"/>
      <c r="F704" s="2"/>
    </row>
    <row r="705" spans="2:6" ht="14.25">
      <c r="B705" s="2"/>
      <c r="C705" s="2"/>
      <c r="D705" s="9"/>
      <c r="E705" s="2"/>
      <c r="F705" s="2"/>
    </row>
    <row r="706" spans="2:6" ht="14.25">
      <c r="B706" s="2"/>
      <c r="C706" s="2"/>
      <c r="D706" s="9"/>
      <c r="E706" s="2"/>
      <c r="F706" s="2"/>
    </row>
    <row r="707" spans="2:6" ht="14.25">
      <c r="B707" s="2"/>
      <c r="C707" s="2"/>
      <c r="D707" s="9"/>
      <c r="E707" s="2"/>
      <c r="F707" s="2"/>
    </row>
    <row r="708" spans="2:6" ht="14.25">
      <c r="B708" s="2"/>
      <c r="C708" s="2"/>
      <c r="D708" s="9"/>
      <c r="E708" s="2"/>
      <c r="F708" s="2"/>
    </row>
    <row r="709" spans="2:6" ht="14.25">
      <c r="B709" s="2"/>
      <c r="C709" s="2"/>
      <c r="D709" s="9"/>
      <c r="E709" s="2"/>
      <c r="F709" s="2"/>
    </row>
    <row r="710" spans="2:6" ht="14.25">
      <c r="B710" s="2"/>
      <c r="C710" s="2"/>
      <c r="D710" s="9"/>
      <c r="E710" s="2"/>
      <c r="F710" s="2"/>
    </row>
    <row r="711" spans="2:6" ht="14.25">
      <c r="B711" s="2"/>
      <c r="C711" s="2"/>
      <c r="D711" s="9"/>
      <c r="E711" s="2"/>
      <c r="F711" s="2"/>
    </row>
    <row r="712" spans="2:6" ht="14.25">
      <c r="B712" s="2"/>
      <c r="C712" s="2"/>
      <c r="D712" s="9"/>
      <c r="E712" s="2"/>
      <c r="F712" s="2"/>
    </row>
    <row r="713" spans="2:6" ht="14.25">
      <c r="B713" s="2"/>
      <c r="C713" s="2"/>
      <c r="D713" s="9"/>
      <c r="E713" s="2"/>
      <c r="F713" s="2"/>
    </row>
    <row r="714" spans="2:6" ht="14.25">
      <c r="B714" s="2"/>
      <c r="C714" s="2"/>
      <c r="D714" s="9"/>
      <c r="E714" s="2"/>
      <c r="F714" s="2"/>
    </row>
    <row r="715" spans="2:6" ht="14.25">
      <c r="B715" s="2"/>
      <c r="C715" s="2"/>
      <c r="D715" s="9"/>
      <c r="E715" s="2"/>
      <c r="F715" s="2"/>
    </row>
    <row r="716" spans="2:6" ht="14.25">
      <c r="B716" s="2"/>
      <c r="C716" s="2"/>
      <c r="D716" s="9"/>
      <c r="E716" s="2"/>
      <c r="F716" s="2"/>
    </row>
    <row r="717" spans="2:6" ht="14.25">
      <c r="B717" s="2"/>
      <c r="C717" s="2"/>
      <c r="D717" s="9"/>
      <c r="E717" s="2"/>
      <c r="F717" s="2"/>
    </row>
    <row r="718" spans="2:6" ht="14.25">
      <c r="B718" s="2"/>
      <c r="C718" s="2"/>
      <c r="D718" s="9"/>
      <c r="E718" s="2"/>
      <c r="F718" s="2"/>
    </row>
    <row r="719" spans="2:6" ht="14.25">
      <c r="B719" s="2"/>
      <c r="C719" s="2"/>
      <c r="D719" s="9"/>
      <c r="E719" s="2"/>
      <c r="F719" s="2"/>
    </row>
    <row r="720" spans="2:6" ht="14.25">
      <c r="B720" s="2"/>
      <c r="C720" s="2"/>
      <c r="D720" s="9"/>
      <c r="E720" s="2"/>
      <c r="F720" s="2"/>
    </row>
    <row r="721" spans="2:6" ht="14.25">
      <c r="B721" s="2"/>
      <c r="C721" s="2"/>
      <c r="D721" s="9"/>
      <c r="E721" s="2"/>
      <c r="F721" s="2"/>
    </row>
    <row r="722" spans="2:6" ht="14.25">
      <c r="B722" s="2"/>
      <c r="C722" s="2"/>
      <c r="D722" s="9"/>
      <c r="E722" s="2"/>
      <c r="F722" s="2"/>
    </row>
    <row r="723" spans="2:6" ht="14.25">
      <c r="B723" s="2"/>
      <c r="C723" s="2"/>
      <c r="D723" s="9"/>
      <c r="E723" s="2"/>
      <c r="F723" s="2"/>
    </row>
    <row r="724" spans="2:6" ht="14.25">
      <c r="B724" s="2"/>
      <c r="C724" s="2"/>
      <c r="D724" s="9"/>
      <c r="E724" s="2"/>
      <c r="F724" s="2"/>
    </row>
    <row r="725" spans="2:6" ht="14.25">
      <c r="B725" s="2"/>
      <c r="C725" s="2"/>
      <c r="D725" s="9"/>
      <c r="E725" s="2"/>
      <c r="F725" s="2"/>
    </row>
    <row r="726" spans="2:6" ht="14.25">
      <c r="B726" s="2"/>
      <c r="C726" s="2"/>
      <c r="D726" s="9"/>
      <c r="E726" s="2"/>
      <c r="F726" s="2"/>
    </row>
    <row r="727" spans="2:6" ht="14.25">
      <c r="B727" s="2"/>
      <c r="C727" s="2"/>
      <c r="D727" s="9"/>
      <c r="E727" s="2"/>
      <c r="F727" s="2"/>
    </row>
    <row r="728" spans="2:6" ht="14.25">
      <c r="B728" s="2"/>
      <c r="C728" s="2"/>
      <c r="D728" s="9"/>
      <c r="E728" s="2"/>
      <c r="F728" s="2"/>
    </row>
    <row r="729" spans="2:6" ht="14.25">
      <c r="B729" s="2"/>
      <c r="C729" s="2"/>
      <c r="D729" s="9"/>
      <c r="E729" s="2"/>
      <c r="F729" s="2"/>
    </row>
    <row r="730" spans="2:6" ht="14.25">
      <c r="B730" s="2"/>
      <c r="C730" s="2"/>
      <c r="D730" s="9"/>
      <c r="E730" s="2"/>
      <c r="F730" s="2"/>
    </row>
    <row r="731" spans="2:6" ht="14.25">
      <c r="B731" s="2"/>
      <c r="C731" s="2"/>
      <c r="D731" s="9"/>
      <c r="E731" s="2"/>
      <c r="F731" s="2"/>
    </row>
    <row r="732" spans="2:6" ht="14.25">
      <c r="B732" s="2"/>
      <c r="C732" s="2"/>
      <c r="D732" s="9"/>
      <c r="E732" s="2"/>
      <c r="F732" s="2"/>
    </row>
    <row r="733" spans="2:6" ht="14.25">
      <c r="B733" s="2"/>
      <c r="C733" s="2"/>
      <c r="D733" s="9"/>
      <c r="E733" s="2"/>
      <c r="F733" s="2"/>
    </row>
    <row r="734" spans="2:6" ht="14.25">
      <c r="B734" s="2"/>
      <c r="C734" s="2"/>
      <c r="D734" s="9"/>
      <c r="E734" s="2"/>
      <c r="F734" s="2"/>
    </row>
    <row r="735" spans="2:6" ht="14.25">
      <c r="B735" s="2"/>
      <c r="C735" s="2"/>
      <c r="D735" s="9"/>
      <c r="E735" s="2"/>
      <c r="F735" s="2"/>
    </row>
    <row r="736" spans="2:6" ht="14.25">
      <c r="B736" s="2"/>
      <c r="C736" s="2"/>
      <c r="D736" s="9"/>
      <c r="E736" s="2"/>
      <c r="F736" s="2"/>
    </row>
    <row r="737" spans="2:6" ht="14.25">
      <c r="B737" s="2"/>
      <c r="C737" s="2"/>
      <c r="D737" s="9"/>
      <c r="E737" s="2"/>
      <c r="F737" s="2"/>
    </row>
    <row r="738" spans="2:6" ht="14.25">
      <c r="B738" s="2"/>
      <c r="C738" s="2"/>
      <c r="D738" s="9"/>
      <c r="E738" s="2"/>
      <c r="F738" s="2"/>
    </row>
    <row r="739" spans="2:6" ht="14.25">
      <c r="B739" s="2"/>
      <c r="C739" s="2"/>
      <c r="D739" s="9"/>
      <c r="E739" s="2"/>
      <c r="F739" s="2"/>
    </row>
    <row r="740" spans="2:6" ht="14.25">
      <c r="B740" s="2"/>
      <c r="C740" s="2"/>
      <c r="D740" s="9"/>
      <c r="E740" s="2"/>
      <c r="F740" s="2"/>
    </row>
    <row r="741" spans="2:6" ht="14.25">
      <c r="B741" s="2"/>
      <c r="C741" s="2"/>
      <c r="D741" s="9"/>
      <c r="E741" s="2"/>
      <c r="F741" s="2"/>
    </row>
    <row r="742" spans="2:6" ht="14.25">
      <c r="B742" s="2"/>
      <c r="C742" s="2"/>
      <c r="D742" s="9"/>
      <c r="E742" s="2"/>
      <c r="F742" s="2"/>
    </row>
    <row r="743" spans="2:6" ht="14.25">
      <c r="B743" s="2"/>
      <c r="C743" s="2"/>
      <c r="D743" s="9"/>
      <c r="E743" s="2"/>
      <c r="F743" s="2"/>
    </row>
    <row r="744" spans="2:6" ht="14.25">
      <c r="B744" s="2"/>
      <c r="C744" s="2"/>
      <c r="D744" s="9"/>
      <c r="E744" s="2"/>
      <c r="F744" s="2"/>
    </row>
    <row r="745" spans="2:6" ht="14.25">
      <c r="B745" s="2"/>
      <c r="C745" s="2"/>
      <c r="D745" s="9"/>
      <c r="E745" s="2"/>
      <c r="F745" s="2"/>
    </row>
    <row r="746" spans="2:6" ht="14.25">
      <c r="B746" s="2"/>
      <c r="C746" s="2"/>
      <c r="D746" s="9"/>
      <c r="E746" s="2"/>
      <c r="F746" s="2"/>
    </row>
    <row r="747" spans="2:6" ht="14.25">
      <c r="B747" s="2"/>
      <c r="C747" s="2"/>
      <c r="D747" s="9"/>
      <c r="E747" s="2"/>
      <c r="F747" s="2"/>
    </row>
    <row r="748" spans="2:6" ht="14.25">
      <c r="B748" s="2"/>
      <c r="C748" s="2"/>
      <c r="D748" s="9"/>
      <c r="E748" s="2"/>
      <c r="F748" s="2"/>
    </row>
    <row r="749" spans="2:6" ht="14.25">
      <c r="B749" s="2"/>
      <c r="C749" s="2"/>
      <c r="D749" s="9"/>
      <c r="E749" s="2"/>
      <c r="F749" s="2"/>
    </row>
    <row r="750" spans="2:6" ht="14.25">
      <c r="B750" s="2"/>
      <c r="C750" s="2"/>
      <c r="D750" s="9"/>
      <c r="E750" s="2"/>
      <c r="F750" s="2"/>
    </row>
    <row r="751" spans="2:6" ht="14.25">
      <c r="B751" s="2"/>
      <c r="C751" s="2"/>
      <c r="D751" s="9"/>
      <c r="E751" s="2"/>
      <c r="F751" s="2"/>
    </row>
    <row r="752" spans="2:6" ht="14.25">
      <c r="B752" s="2"/>
      <c r="C752" s="2"/>
      <c r="D752" s="9"/>
      <c r="E752" s="2"/>
      <c r="F752" s="2"/>
    </row>
    <row r="753" spans="2:6" ht="14.25">
      <c r="B753" s="2"/>
      <c r="C753" s="2"/>
      <c r="D753" s="9"/>
      <c r="E753" s="2"/>
      <c r="F753" s="2"/>
    </row>
    <row r="754" spans="2:6" ht="14.25">
      <c r="B754" s="2"/>
      <c r="C754" s="2"/>
      <c r="D754" s="9"/>
      <c r="E754" s="2"/>
      <c r="F754" s="2"/>
    </row>
    <row r="755" spans="2:6" ht="14.25">
      <c r="B755" s="2"/>
      <c r="C755" s="2"/>
      <c r="D755" s="9"/>
      <c r="E755" s="2"/>
      <c r="F755" s="2"/>
    </row>
    <row r="756" spans="2:6" ht="14.25">
      <c r="B756" s="2"/>
      <c r="C756" s="2"/>
      <c r="D756" s="9"/>
      <c r="E756" s="2"/>
      <c r="F756" s="2"/>
    </row>
    <row r="757" spans="2:6" ht="14.25">
      <c r="B757" s="2"/>
      <c r="C757" s="2"/>
      <c r="D757" s="9"/>
      <c r="E757" s="2"/>
      <c r="F757" s="2"/>
    </row>
    <row r="758" spans="2:6" ht="14.25">
      <c r="B758" s="2"/>
      <c r="C758" s="2"/>
      <c r="D758" s="9"/>
      <c r="E758" s="2"/>
      <c r="F758" s="2"/>
    </row>
    <row r="759" spans="2:6" ht="14.25">
      <c r="B759" s="2"/>
      <c r="C759" s="2"/>
      <c r="D759" s="9"/>
      <c r="E759" s="2"/>
      <c r="F759" s="2"/>
    </row>
    <row r="760" spans="2:6" ht="14.25">
      <c r="B760" s="2"/>
      <c r="C760" s="2"/>
      <c r="D760" s="9"/>
      <c r="E760" s="2"/>
      <c r="F760" s="2"/>
    </row>
    <row r="761" spans="2:6" ht="14.25">
      <c r="B761" s="2"/>
      <c r="C761" s="2"/>
      <c r="D761" s="9"/>
      <c r="E761" s="2"/>
      <c r="F761" s="2"/>
    </row>
    <row r="762" spans="2:6" ht="14.25">
      <c r="B762" s="2"/>
      <c r="C762" s="2"/>
      <c r="D762" s="9"/>
      <c r="E762" s="2"/>
      <c r="F762" s="2"/>
    </row>
    <row r="763" spans="2:6" ht="14.25">
      <c r="B763" s="2"/>
      <c r="C763" s="2"/>
      <c r="D763" s="9"/>
      <c r="E763" s="2"/>
      <c r="F763" s="2"/>
    </row>
    <row r="764" spans="2:6" ht="14.25">
      <c r="B764" s="2"/>
      <c r="C764" s="2"/>
      <c r="D764" s="9"/>
      <c r="E764" s="2"/>
      <c r="F764" s="2"/>
    </row>
    <row r="765" spans="2:6" ht="14.25">
      <c r="B765" s="2"/>
      <c r="C765" s="2"/>
      <c r="D765" s="9"/>
      <c r="E765" s="2"/>
      <c r="F765" s="2"/>
    </row>
    <row r="766" spans="2:6" ht="14.25">
      <c r="B766" s="2"/>
      <c r="C766" s="2"/>
      <c r="D766" s="9"/>
      <c r="E766" s="2"/>
      <c r="F766" s="2"/>
    </row>
    <row r="767" spans="2:6" ht="14.25">
      <c r="B767" s="2"/>
      <c r="C767" s="2"/>
      <c r="D767" s="9"/>
      <c r="E767" s="2"/>
      <c r="F767" s="2"/>
    </row>
    <row r="768" spans="2:6" ht="14.25">
      <c r="B768" s="2"/>
      <c r="C768" s="2"/>
      <c r="D768" s="9"/>
      <c r="E768" s="2"/>
      <c r="F768" s="2"/>
    </row>
    <row r="769" spans="2:6" ht="14.25">
      <c r="B769" s="2"/>
      <c r="C769" s="2"/>
      <c r="D769" s="9"/>
      <c r="E769" s="2"/>
      <c r="F769" s="2"/>
    </row>
    <row r="770" spans="2:6" ht="14.25">
      <c r="B770" s="2"/>
      <c r="C770" s="2"/>
      <c r="D770" s="9"/>
      <c r="E770" s="2"/>
      <c r="F770" s="2"/>
    </row>
    <row r="771" spans="2:6" ht="14.25">
      <c r="B771" s="2"/>
      <c r="C771" s="2"/>
      <c r="D771" s="9"/>
      <c r="E771" s="2"/>
      <c r="F771" s="2"/>
    </row>
    <row r="772" spans="2:6" ht="14.25">
      <c r="B772" s="2"/>
      <c r="C772" s="2"/>
      <c r="D772" s="9"/>
      <c r="E772" s="2"/>
      <c r="F772" s="2"/>
    </row>
    <row r="773" spans="2:6" ht="14.25">
      <c r="B773" s="2"/>
      <c r="C773" s="2"/>
      <c r="D773" s="9"/>
      <c r="E773" s="2"/>
      <c r="F773" s="2"/>
    </row>
    <row r="774" spans="2:6" ht="14.25">
      <c r="B774" s="2"/>
      <c r="C774" s="2"/>
      <c r="D774" s="9"/>
      <c r="E774" s="2"/>
      <c r="F774" s="2"/>
    </row>
    <row r="775" spans="2:6" ht="14.25">
      <c r="B775" s="2"/>
      <c r="C775" s="2"/>
      <c r="D775" s="9"/>
      <c r="E775" s="2"/>
      <c r="F775" s="2"/>
    </row>
    <row r="776" spans="2:6" ht="14.25">
      <c r="B776" s="2"/>
      <c r="C776" s="2"/>
      <c r="D776" s="9"/>
      <c r="E776" s="2"/>
      <c r="F776" s="2"/>
    </row>
    <row r="777" spans="2:6" ht="14.25">
      <c r="B777" s="2"/>
      <c r="C777" s="2"/>
      <c r="D777" s="9"/>
      <c r="E777" s="2"/>
      <c r="F777" s="2"/>
    </row>
    <row r="778" spans="2:6" ht="14.25">
      <c r="B778" s="2"/>
      <c r="C778" s="2"/>
      <c r="D778" s="9"/>
      <c r="E778" s="2"/>
      <c r="F778" s="2"/>
    </row>
    <row r="779" spans="2:6" ht="14.25">
      <c r="B779" s="2"/>
      <c r="C779" s="2"/>
      <c r="D779" s="9"/>
      <c r="E779" s="2"/>
      <c r="F779" s="2"/>
    </row>
    <row r="780" spans="2:6" ht="14.25">
      <c r="B780" s="2"/>
      <c r="C780" s="2"/>
      <c r="D780" s="9"/>
      <c r="E780" s="2"/>
      <c r="F780" s="2"/>
    </row>
    <row r="781" spans="2:6" ht="14.25">
      <c r="B781" s="2"/>
      <c r="C781" s="2"/>
      <c r="D781" s="9"/>
      <c r="E781" s="2"/>
      <c r="F781" s="2"/>
    </row>
    <row r="782" spans="2:6" ht="14.25">
      <c r="B782" s="2"/>
      <c r="C782" s="2"/>
      <c r="D782" s="9"/>
      <c r="E782" s="2"/>
      <c r="F782" s="2"/>
    </row>
    <row r="783" spans="2:6" ht="14.25">
      <c r="B783" s="2"/>
      <c r="C783" s="2"/>
      <c r="D783" s="9"/>
      <c r="E783" s="2"/>
      <c r="F783" s="2"/>
    </row>
    <row r="784" spans="2:6" ht="14.25">
      <c r="B784" s="2"/>
      <c r="C784" s="2"/>
      <c r="D784" s="9"/>
      <c r="E784" s="2"/>
      <c r="F784" s="2"/>
    </row>
    <row r="785" spans="2:6" ht="14.25">
      <c r="B785" s="2"/>
      <c r="C785" s="2"/>
      <c r="D785" s="9"/>
      <c r="E785" s="2"/>
      <c r="F785" s="2"/>
    </row>
    <row r="786" spans="2:6" ht="14.25">
      <c r="B786" s="2"/>
      <c r="C786" s="2"/>
      <c r="D786" s="9"/>
      <c r="E786" s="2"/>
      <c r="F786" s="2"/>
    </row>
    <row r="787" spans="2:6" ht="14.25">
      <c r="B787" s="2"/>
      <c r="C787" s="2"/>
      <c r="D787" s="9"/>
      <c r="E787" s="2"/>
      <c r="F787" s="2"/>
    </row>
    <row r="788" spans="2:6" ht="14.25">
      <c r="B788" s="2"/>
      <c r="C788" s="2"/>
      <c r="D788" s="9"/>
      <c r="E788" s="2"/>
      <c r="F788" s="2"/>
    </row>
    <row r="789" spans="2:6" ht="14.25">
      <c r="B789" s="2"/>
      <c r="C789" s="2"/>
      <c r="D789" s="9"/>
      <c r="E789" s="2"/>
      <c r="F789" s="2"/>
    </row>
    <row r="790" spans="2:6" ht="14.25">
      <c r="B790" s="2"/>
      <c r="C790" s="2"/>
      <c r="D790" s="9"/>
      <c r="E790" s="2"/>
      <c r="F790" s="2"/>
    </row>
    <row r="791" spans="2:6" ht="14.25">
      <c r="B791" s="2"/>
      <c r="C791" s="2"/>
      <c r="D791" s="9"/>
      <c r="E791" s="2"/>
      <c r="F791" s="2"/>
    </row>
    <row r="792" spans="2:6" ht="14.25">
      <c r="B792" s="2"/>
      <c r="C792" s="2"/>
      <c r="D792" s="9"/>
      <c r="E792" s="2"/>
      <c r="F792" s="2"/>
    </row>
    <row r="793" spans="2:6" ht="14.25">
      <c r="B793" s="2"/>
      <c r="C793" s="2"/>
      <c r="D793" s="9"/>
      <c r="E793" s="2"/>
      <c r="F793" s="2"/>
    </row>
    <row r="794" spans="2:6" ht="14.25">
      <c r="B794" s="2"/>
      <c r="C794" s="2"/>
      <c r="D794" s="9"/>
      <c r="E794" s="2"/>
      <c r="F794" s="2"/>
    </row>
    <row r="795" spans="2:6" ht="14.25">
      <c r="B795" s="2"/>
      <c r="C795" s="2"/>
      <c r="D795" s="9"/>
      <c r="E795" s="2"/>
      <c r="F795" s="2"/>
    </row>
    <row r="796" spans="2:6" ht="14.25">
      <c r="B796" s="2"/>
      <c r="C796" s="2"/>
      <c r="D796" s="9"/>
      <c r="E796" s="2"/>
      <c r="F796" s="2"/>
    </row>
    <row r="797" spans="2:6" ht="14.25">
      <c r="B797" s="2"/>
      <c r="C797" s="2"/>
      <c r="D797" s="9"/>
      <c r="E797" s="2"/>
      <c r="F797" s="2"/>
    </row>
    <row r="798" spans="2:6" ht="14.25">
      <c r="B798" s="2"/>
      <c r="C798" s="2"/>
      <c r="D798" s="9"/>
      <c r="E798" s="2"/>
      <c r="F798" s="2"/>
    </row>
    <row r="799" spans="2:6" ht="14.25">
      <c r="B799" s="2"/>
      <c r="C799" s="2"/>
      <c r="D799" s="9"/>
      <c r="E799" s="2"/>
      <c r="F799" s="2"/>
    </row>
    <row r="800" spans="2:6" ht="14.25">
      <c r="B800" s="2"/>
      <c r="C800" s="2"/>
      <c r="D800" s="9"/>
      <c r="E800" s="2"/>
      <c r="F800" s="2"/>
    </row>
    <row r="801" spans="2:6" ht="14.25">
      <c r="B801" s="2"/>
      <c r="C801" s="2"/>
      <c r="D801" s="9"/>
      <c r="E801" s="2"/>
      <c r="F801" s="2"/>
    </row>
    <row r="802" spans="2:6" ht="14.25">
      <c r="B802" s="2"/>
      <c r="C802" s="2"/>
      <c r="D802" s="9"/>
      <c r="E802" s="2"/>
      <c r="F802" s="2"/>
    </row>
    <row r="803" spans="2:6" ht="14.25">
      <c r="B803" s="2"/>
      <c r="C803" s="2"/>
      <c r="D803" s="9"/>
      <c r="E803" s="2"/>
      <c r="F803" s="2"/>
    </row>
    <row r="804" spans="2:6" ht="14.25">
      <c r="B804" s="2"/>
      <c r="C804" s="2"/>
      <c r="D804" s="9"/>
      <c r="E804" s="2"/>
      <c r="F804" s="2"/>
    </row>
    <row r="805" spans="2:6" ht="14.25">
      <c r="B805" s="2"/>
      <c r="C805" s="2"/>
      <c r="D805" s="9"/>
      <c r="E805" s="2"/>
      <c r="F805" s="2"/>
    </row>
    <row r="806" spans="2:6" ht="14.25">
      <c r="B806" s="2"/>
      <c r="C806" s="2"/>
      <c r="D806" s="9"/>
      <c r="E806" s="2"/>
      <c r="F806" s="2"/>
    </row>
    <row r="807" spans="2:6" ht="14.25">
      <c r="B807" s="2"/>
      <c r="C807" s="2"/>
      <c r="D807" s="9"/>
      <c r="E807" s="2"/>
      <c r="F807" s="2"/>
    </row>
    <row r="808" spans="2:6" ht="14.25">
      <c r="B808" s="2"/>
      <c r="C808" s="2"/>
      <c r="D808" s="9"/>
      <c r="E808" s="2"/>
      <c r="F808" s="2"/>
    </row>
    <row r="809" spans="2:6" ht="14.25">
      <c r="B809" s="2"/>
      <c r="C809" s="2"/>
      <c r="D809" s="9"/>
      <c r="E809" s="2"/>
      <c r="F809" s="2"/>
    </row>
    <row r="810" spans="2:6" ht="14.25">
      <c r="B810" s="2"/>
      <c r="C810" s="2"/>
      <c r="D810" s="9"/>
      <c r="E810" s="2"/>
      <c r="F810" s="2"/>
    </row>
    <row r="811" spans="2:6" ht="14.25">
      <c r="B811" s="2"/>
      <c r="C811" s="2"/>
      <c r="D811" s="9"/>
      <c r="E811" s="2"/>
      <c r="F811" s="2"/>
    </row>
    <row r="812" spans="2:6" ht="14.25">
      <c r="B812" s="2"/>
      <c r="C812" s="2"/>
      <c r="D812" s="9"/>
      <c r="E812" s="2"/>
      <c r="F812" s="2"/>
    </row>
    <row r="813" spans="2:6" ht="14.25">
      <c r="B813" s="2"/>
      <c r="C813" s="2"/>
      <c r="D813" s="9"/>
      <c r="E813" s="2"/>
      <c r="F813" s="2"/>
    </row>
    <row r="814" spans="2:6" ht="14.25">
      <c r="B814" s="2"/>
      <c r="C814" s="2"/>
      <c r="D814" s="9"/>
      <c r="E814" s="2"/>
      <c r="F814" s="2"/>
    </row>
    <row r="815" spans="2:6" ht="14.25">
      <c r="B815" s="2"/>
      <c r="C815" s="2"/>
      <c r="D815" s="9"/>
      <c r="E815" s="2"/>
      <c r="F815" s="2"/>
    </row>
    <row r="816" spans="2:6" ht="14.25">
      <c r="B816" s="2"/>
      <c r="C816" s="2"/>
      <c r="D816" s="9"/>
      <c r="E816" s="2"/>
      <c r="F816" s="2"/>
    </row>
    <row r="817" spans="2:6" ht="14.25">
      <c r="B817" s="2"/>
      <c r="C817" s="2"/>
      <c r="D817" s="9"/>
      <c r="E817" s="2"/>
      <c r="F817" s="2"/>
    </row>
    <row r="818" spans="2:6" ht="14.25">
      <c r="B818" s="2"/>
      <c r="C818" s="2"/>
      <c r="D818" s="9"/>
      <c r="E818" s="2"/>
      <c r="F818" s="2"/>
    </row>
    <row r="819" spans="2:6" ht="14.25">
      <c r="B819" s="2"/>
      <c r="C819" s="2"/>
      <c r="D819" s="9"/>
      <c r="E819" s="2"/>
      <c r="F819" s="2"/>
    </row>
    <row r="820" spans="2:6" ht="14.25">
      <c r="B820" s="2"/>
      <c r="C820" s="2"/>
      <c r="D820" s="9"/>
      <c r="E820" s="2"/>
      <c r="F820" s="2"/>
    </row>
    <row r="821" spans="2:6" ht="14.25">
      <c r="B821" s="2"/>
      <c r="C821" s="2"/>
      <c r="D821" s="9"/>
      <c r="E821" s="2"/>
      <c r="F821" s="2"/>
    </row>
    <row r="822" spans="2:6" ht="14.25">
      <c r="B822" s="2"/>
      <c r="C822" s="2"/>
      <c r="D822" s="9"/>
      <c r="E822" s="2"/>
      <c r="F822" s="2"/>
    </row>
    <row r="823" spans="2:6" ht="14.25">
      <c r="B823" s="2"/>
      <c r="C823" s="2"/>
      <c r="D823" s="9"/>
      <c r="E823" s="2"/>
      <c r="F823" s="2"/>
    </row>
    <row r="824" spans="2:6" ht="14.25">
      <c r="B824" s="2"/>
      <c r="C824" s="2"/>
      <c r="D824" s="9"/>
      <c r="E824" s="2"/>
      <c r="F824" s="2"/>
    </row>
    <row r="825" spans="2:6" ht="14.25">
      <c r="B825" s="2"/>
      <c r="C825" s="2"/>
      <c r="D825" s="9"/>
      <c r="E825" s="2"/>
      <c r="F825" s="2"/>
    </row>
    <row r="826" spans="2:6" ht="14.25">
      <c r="B826" s="2"/>
      <c r="C826" s="2"/>
      <c r="D826" s="9"/>
      <c r="E826" s="2"/>
      <c r="F826" s="2"/>
    </row>
    <row r="827" spans="2:6" ht="14.25">
      <c r="B827" s="2"/>
      <c r="C827" s="2"/>
      <c r="D827" s="9"/>
      <c r="E827" s="2"/>
      <c r="F827" s="2"/>
    </row>
    <row r="828" spans="2:6" ht="14.25">
      <c r="B828" s="2"/>
      <c r="C828" s="2"/>
      <c r="D828" s="9"/>
      <c r="E828" s="2"/>
      <c r="F828" s="2"/>
    </row>
    <row r="829" spans="2:6" ht="14.25">
      <c r="B829" s="2"/>
      <c r="C829" s="2"/>
      <c r="D829" s="9"/>
      <c r="E829" s="2"/>
      <c r="F829" s="2"/>
    </row>
    <row r="830" spans="2:6" ht="14.25">
      <c r="B830" s="2"/>
      <c r="C830" s="2"/>
      <c r="D830" s="9"/>
      <c r="E830" s="2"/>
      <c r="F830" s="2"/>
    </row>
    <row r="831" spans="2:6" ht="14.25">
      <c r="B831" s="2"/>
      <c r="C831" s="2"/>
      <c r="D831" s="9"/>
      <c r="E831" s="2"/>
      <c r="F831" s="2"/>
    </row>
    <row r="832" spans="2:6" ht="14.25">
      <c r="B832" s="2"/>
      <c r="C832" s="2"/>
      <c r="D832" s="9"/>
      <c r="E832" s="2"/>
      <c r="F832" s="2"/>
    </row>
    <row r="833" spans="2:6" ht="14.25">
      <c r="B833" s="2"/>
      <c r="C833" s="2"/>
      <c r="D833" s="9"/>
      <c r="E833" s="2"/>
      <c r="F833" s="2"/>
    </row>
    <row r="834" spans="2:6" ht="14.25">
      <c r="B834" s="2"/>
      <c r="C834" s="2"/>
      <c r="D834" s="9"/>
      <c r="E834" s="2"/>
      <c r="F834" s="2"/>
    </row>
    <row r="835" spans="2:6" ht="14.25">
      <c r="B835" s="2"/>
      <c r="C835" s="2"/>
      <c r="D835" s="9"/>
      <c r="E835" s="2"/>
      <c r="F835" s="2"/>
    </row>
    <row r="836" spans="2:6" ht="14.25">
      <c r="B836" s="2"/>
      <c r="C836" s="2"/>
      <c r="D836" s="9"/>
      <c r="E836" s="2"/>
      <c r="F836" s="2"/>
    </row>
    <row r="837" spans="2:6" ht="14.25">
      <c r="B837" s="2"/>
      <c r="C837" s="2"/>
      <c r="D837" s="9"/>
      <c r="E837" s="2"/>
      <c r="F837" s="2"/>
    </row>
    <row r="838" spans="2:6" ht="14.25">
      <c r="B838" s="2"/>
      <c r="C838" s="2"/>
      <c r="D838" s="9"/>
      <c r="E838" s="2"/>
      <c r="F838" s="2"/>
    </row>
    <row r="839" spans="2:6" ht="14.25">
      <c r="B839" s="2"/>
      <c r="C839" s="2"/>
      <c r="D839" s="9"/>
      <c r="E839" s="2"/>
      <c r="F839" s="2"/>
    </row>
    <row r="840" spans="2:6" ht="14.25">
      <c r="B840" s="2"/>
      <c r="C840" s="2"/>
      <c r="D840" s="9"/>
      <c r="E840" s="2"/>
      <c r="F840" s="2"/>
    </row>
    <row r="841" spans="2:6" ht="14.25">
      <c r="B841" s="2"/>
      <c r="C841" s="2"/>
      <c r="D841" s="9"/>
      <c r="E841" s="2"/>
      <c r="F841" s="2"/>
    </row>
    <row r="842" spans="2:6" ht="14.25">
      <c r="B842" s="2"/>
      <c r="C842" s="2"/>
      <c r="D842" s="9"/>
      <c r="E842" s="2"/>
      <c r="F842" s="2"/>
    </row>
    <row r="843" spans="2:6" ht="14.25">
      <c r="B843" s="2"/>
      <c r="C843" s="2"/>
      <c r="D843" s="9"/>
      <c r="E843" s="2"/>
      <c r="F843" s="2"/>
    </row>
    <row r="844" spans="2:6" ht="14.25">
      <c r="B844" s="2"/>
      <c r="C844" s="2"/>
      <c r="D844" s="9"/>
      <c r="E844" s="2"/>
      <c r="F844" s="2"/>
    </row>
    <row r="845" spans="2:6" ht="14.25">
      <c r="B845" s="2"/>
      <c r="C845" s="2"/>
      <c r="D845" s="9"/>
      <c r="E845" s="2"/>
      <c r="F845" s="2"/>
    </row>
    <row r="846" spans="2:6" ht="14.25">
      <c r="B846" s="2"/>
      <c r="C846" s="2"/>
      <c r="D846" s="9"/>
      <c r="E846" s="2"/>
      <c r="F846" s="2"/>
    </row>
    <row r="847" spans="2:6" ht="14.25">
      <c r="B847" s="2"/>
      <c r="C847" s="2"/>
      <c r="D847" s="9"/>
      <c r="E847" s="2"/>
      <c r="F847" s="2"/>
    </row>
    <row r="848" spans="2:6" ht="14.25">
      <c r="B848" s="2"/>
      <c r="C848" s="2"/>
      <c r="D848" s="9"/>
      <c r="E848" s="2"/>
      <c r="F848" s="2"/>
    </row>
    <row r="849" spans="2:6" ht="14.25">
      <c r="B849" s="2"/>
      <c r="C849" s="2"/>
      <c r="D849" s="9"/>
      <c r="E849" s="2"/>
      <c r="F849" s="2"/>
    </row>
    <row r="850" spans="2:6" ht="14.25">
      <c r="B850" s="2"/>
      <c r="C850" s="2"/>
      <c r="D850" s="9"/>
      <c r="E850" s="2"/>
      <c r="F850" s="2"/>
    </row>
    <row r="851" spans="2:6" ht="14.25">
      <c r="B851" s="2"/>
      <c r="C851" s="2"/>
      <c r="D851" s="9"/>
      <c r="E851" s="2"/>
      <c r="F851" s="2"/>
    </row>
    <row r="852" spans="2:6" ht="14.25">
      <c r="B852" s="2"/>
      <c r="C852" s="2"/>
      <c r="D852" s="9"/>
      <c r="E852" s="2"/>
      <c r="F852" s="2"/>
    </row>
    <row r="853" spans="2:6" ht="14.25">
      <c r="B853" s="2"/>
      <c r="C853" s="2"/>
      <c r="D853" s="9"/>
      <c r="E853" s="2"/>
      <c r="F853" s="2"/>
    </row>
    <row r="854" spans="2:6" ht="14.25">
      <c r="B854" s="2"/>
      <c r="C854" s="2"/>
      <c r="D854" s="9"/>
      <c r="E854" s="2"/>
      <c r="F854" s="2"/>
    </row>
    <row r="855" spans="2:6" ht="14.25">
      <c r="B855" s="2"/>
      <c r="C855" s="2"/>
      <c r="D855" s="9"/>
      <c r="E855" s="2"/>
      <c r="F855" s="2"/>
    </row>
    <row r="856" spans="2:6" ht="14.25">
      <c r="B856" s="2"/>
      <c r="C856" s="2"/>
      <c r="D856" s="9"/>
      <c r="E856" s="2"/>
      <c r="F856" s="2"/>
    </row>
    <row r="857" spans="2:6" ht="14.25">
      <c r="B857" s="2"/>
      <c r="C857" s="2"/>
      <c r="D857" s="9"/>
      <c r="E857" s="2"/>
      <c r="F857" s="2"/>
    </row>
    <row r="858" spans="2:6" ht="14.25">
      <c r="B858" s="2"/>
      <c r="C858" s="2"/>
      <c r="D858" s="9"/>
      <c r="E858" s="2"/>
      <c r="F858" s="2"/>
    </row>
    <row r="859" spans="2:6" ht="14.25">
      <c r="B859" s="2"/>
      <c r="C859" s="2"/>
      <c r="D859" s="9"/>
      <c r="E859" s="2"/>
      <c r="F859" s="2"/>
    </row>
    <row r="860" spans="2:6" ht="14.25">
      <c r="B860" s="2"/>
      <c r="C860" s="2"/>
      <c r="D860" s="9"/>
      <c r="E860" s="2"/>
      <c r="F860" s="2"/>
    </row>
    <row r="861" spans="2:6" ht="14.25">
      <c r="B861" s="2"/>
      <c r="C861" s="2"/>
      <c r="D861" s="9"/>
      <c r="E861" s="2"/>
      <c r="F861" s="2"/>
    </row>
    <row r="862" spans="2:6" ht="14.25">
      <c r="B862" s="2"/>
      <c r="C862" s="2"/>
      <c r="D862" s="9"/>
      <c r="E862" s="2"/>
      <c r="F862" s="2"/>
    </row>
    <row r="863" spans="2:6" ht="14.25">
      <c r="B863" s="2"/>
      <c r="C863" s="2"/>
      <c r="D863" s="9"/>
      <c r="E863" s="2"/>
      <c r="F863" s="2"/>
    </row>
    <row r="864" spans="2:6" ht="14.25">
      <c r="B864" s="2"/>
      <c r="C864" s="2"/>
      <c r="D864" s="9"/>
      <c r="E864" s="2"/>
      <c r="F864" s="2"/>
    </row>
    <row r="865" spans="2:6" ht="14.25">
      <c r="B865" s="2"/>
      <c r="C865" s="2"/>
      <c r="D865" s="9"/>
      <c r="E865" s="2"/>
      <c r="F865" s="2"/>
    </row>
    <row r="866" spans="2:6" ht="14.25">
      <c r="B866" s="2"/>
      <c r="C866" s="2"/>
      <c r="D866" s="9"/>
      <c r="E866" s="2"/>
      <c r="F866" s="2"/>
    </row>
    <row r="867" spans="2:6" ht="14.25">
      <c r="B867" s="2"/>
      <c r="C867" s="2"/>
      <c r="D867" s="9"/>
      <c r="E867" s="2"/>
      <c r="F867" s="2"/>
    </row>
    <row r="868" spans="2:6" ht="14.25">
      <c r="B868" s="2"/>
      <c r="C868" s="2"/>
      <c r="D868" s="9"/>
      <c r="E868" s="2"/>
      <c r="F868" s="2"/>
    </row>
    <row r="869" spans="2:6" ht="14.25">
      <c r="B869" s="2"/>
      <c r="C869" s="2"/>
      <c r="D869" s="9"/>
      <c r="E869" s="2"/>
      <c r="F869" s="2"/>
    </row>
    <row r="870" spans="2:6" ht="14.25">
      <c r="B870" s="2"/>
      <c r="C870" s="2"/>
      <c r="D870" s="9"/>
      <c r="E870" s="2"/>
      <c r="F870" s="2"/>
    </row>
    <row r="871" spans="2:6" ht="14.25">
      <c r="B871" s="2"/>
      <c r="C871" s="2"/>
      <c r="D871" s="9"/>
      <c r="E871" s="2"/>
      <c r="F871" s="2"/>
    </row>
    <row r="872" spans="2:6" ht="14.25">
      <c r="B872" s="2"/>
      <c r="C872" s="2"/>
      <c r="D872" s="9"/>
      <c r="E872" s="2"/>
      <c r="F872" s="2"/>
    </row>
    <row r="873" spans="2:6" ht="14.25">
      <c r="B873" s="2"/>
      <c r="C873" s="2"/>
      <c r="D873" s="9"/>
      <c r="E873" s="2"/>
      <c r="F873" s="2"/>
    </row>
    <row r="874" spans="2:6" ht="14.25">
      <c r="B874" s="2"/>
      <c r="C874" s="2"/>
      <c r="D874" s="9"/>
      <c r="E874" s="2"/>
      <c r="F874" s="2"/>
    </row>
    <row r="875" spans="2:6" ht="14.25">
      <c r="B875" s="2"/>
      <c r="C875" s="2"/>
      <c r="D875" s="9"/>
      <c r="E875" s="2"/>
      <c r="F875" s="2"/>
    </row>
    <row r="876" spans="2:6" ht="14.25">
      <c r="B876" s="2"/>
      <c r="C876" s="2"/>
      <c r="D876" s="9"/>
      <c r="E876" s="2"/>
      <c r="F876" s="2"/>
    </row>
    <row r="877" spans="2:6" ht="14.25">
      <c r="B877" s="2"/>
      <c r="C877" s="2"/>
      <c r="D877" s="9"/>
      <c r="E877" s="2"/>
      <c r="F877" s="2"/>
    </row>
    <row r="878" spans="2:6" ht="14.25">
      <c r="B878" s="2"/>
      <c r="C878" s="2"/>
      <c r="D878" s="9"/>
      <c r="E878" s="2"/>
      <c r="F878" s="2"/>
    </row>
    <row r="879" spans="2:6" ht="14.25">
      <c r="B879" s="2"/>
      <c r="C879" s="2"/>
      <c r="D879" s="9"/>
      <c r="E879" s="2"/>
      <c r="F879" s="2"/>
    </row>
    <row r="880" spans="2:6" ht="14.25">
      <c r="B880" s="2"/>
      <c r="C880" s="2"/>
      <c r="D880" s="9"/>
      <c r="E880" s="2"/>
      <c r="F880" s="2"/>
    </row>
    <row r="881" spans="2:6" ht="14.25">
      <c r="B881" s="2"/>
      <c r="C881" s="2"/>
      <c r="D881" s="9"/>
      <c r="E881" s="2"/>
      <c r="F881" s="2"/>
    </row>
    <row r="882" spans="2:6" ht="14.25">
      <c r="B882" s="2"/>
      <c r="C882" s="2"/>
      <c r="D882" s="9"/>
      <c r="E882" s="2"/>
      <c r="F882" s="2"/>
    </row>
    <row r="883" spans="2:6" ht="14.25">
      <c r="B883" s="2"/>
      <c r="C883" s="2"/>
      <c r="D883" s="9"/>
      <c r="E883" s="2"/>
      <c r="F883" s="2"/>
    </row>
    <row r="884" spans="2:6" ht="14.25">
      <c r="B884" s="2"/>
      <c r="C884" s="2"/>
      <c r="D884" s="9"/>
      <c r="E884" s="2"/>
      <c r="F884" s="2"/>
    </row>
    <row r="885" spans="2:6" ht="14.25">
      <c r="B885" s="2"/>
      <c r="C885" s="2"/>
      <c r="D885" s="9"/>
      <c r="E885" s="2"/>
      <c r="F885" s="2"/>
    </row>
    <row r="886" spans="2:6" ht="14.25">
      <c r="B886" s="2"/>
      <c r="C886" s="2"/>
      <c r="D886" s="9"/>
      <c r="E886" s="2"/>
      <c r="F886" s="2"/>
    </row>
    <row r="887" spans="2:6" ht="14.25">
      <c r="B887" s="2"/>
      <c r="C887" s="2"/>
      <c r="D887" s="9"/>
      <c r="E887" s="2"/>
      <c r="F887" s="2"/>
    </row>
    <row r="888" spans="2:6" ht="14.25">
      <c r="B888" s="2"/>
      <c r="C888" s="2"/>
      <c r="D888" s="9"/>
      <c r="E888" s="2"/>
      <c r="F888" s="2"/>
    </row>
    <row r="889" spans="2:6" ht="14.25">
      <c r="B889" s="2"/>
      <c r="C889" s="2"/>
      <c r="D889" s="9"/>
      <c r="E889" s="2"/>
      <c r="F889" s="2"/>
    </row>
    <row r="890" spans="2:6" ht="14.25">
      <c r="B890" s="2"/>
      <c r="C890" s="2"/>
      <c r="D890" s="9"/>
      <c r="E890" s="2"/>
      <c r="F890" s="2"/>
    </row>
    <row r="891" spans="2:6" ht="14.25">
      <c r="B891" s="2"/>
      <c r="C891" s="2"/>
      <c r="D891" s="9"/>
      <c r="E891" s="2"/>
      <c r="F891" s="2"/>
    </row>
    <row r="892" spans="2:6" ht="14.25">
      <c r="B892" s="2"/>
      <c r="C892" s="2"/>
      <c r="D892" s="9"/>
      <c r="E892" s="2"/>
      <c r="F892" s="2"/>
    </row>
    <row r="893" spans="2:6" ht="14.25">
      <c r="B893" s="2"/>
      <c r="C893" s="2"/>
      <c r="D893" s="9"/>
      <c r="E893" s="2"/>
      <c r="F893" s="2"/>
    </row>
    <row r="894" spans="2:6" ht="14.25">
      <c r="B894" s="2"/>
      <c r="C894" s="2"/>
      <c r="D894" s="9"/>
      <c r="E894" s="2"/>
      <c r="F894" s="2"/>
    </row>
    <row r="895" spans="2:6" ht="14.25">
      <c r="B895" s="2"/>
      <c r="C895" s="2"/>
      <c r="D895" s="9"/>
      <c r="E895" s="2"/>
      <c r="F895" s="2"/>
    </row>
    <row r="896" spans="2:6" ht="14.25">
      <c r="B896" s="2"/>
      <c r="C896" s="2"/>
      <c r="D896" s="9"/>
      <c r="E896" s="2"/>
      <c r="F896" s="2"/>
    </row>
    <row r="897" spans="2:6" ht="14.25">
      <c r="B897" s="2"/>
      <c r="C897" s="2"/>
      <c r="D897" s="9"/>
      <c r="E897" s="2"/>
      <c r="F897" s="2"/>
    </row>
    <row r="898" spans="2:6" ht="14.25">
      <c r="B898" s="2"/>
      <c r="C898" s="2"/>
      <c r="D898" s="9"/>
      <c r="E898" s="2"/>
      <c r="F898" s="2"/>
    </row>
    <row r="899" spans="2:6" ht="14.25">
      <c r="B899" s="2"/>
      <c r="C899" s="2"/>
      <c r="D899" s="9"/>
      <c r="E899" s="2"/>
      <c r="F899" s="2"/>
    </row>
    <row r="900" spans="2:6" ht="14.25">
      <c r="B900" s="2"/>
      <c r="C900" s="2"/>
      <c r="D900" s="9"/>
      <c r="E900" s="2"/>
      <c r="F900" s="2"/>
    </row>
    <row r="901" spans="2:6" ht="14.25">
      <c r="B901" s="2"/>
      <c r="C901" s="2"/>
      <c r="D901" s="9"/>
      <c r="E901" s="2"/>
      <c r="F901" s="2"/>
    </row>
    <row r="902" spans="2:6" ht="14.25">
      <c r="B902" s="2"/>
      <c r="C902" s="2"/>
      <c r="D902" s="9"/>
      <c r="E902" s="2"/>
      <c r="F902" s="2"/>
    </row>
    <row r="903" spans="2:6" ht="14.25">
      <c r="B903" s="2"/>
      <c r="C903" s="2"/>
      <c r="D903" s="9"/>
      <c r="E903" s="2"/>
      <c r="F903" s="2"/>
    </row>
    <row r="904" spans="2:6" ht="14.25">
      <c r="B904" s="2"/>
      <c r="C904" s="2"/>
      <c r="D904" s="9"/>
      <c r="E904" s="2"/>
      <c r="F904" s="2"/>
    </row>
    <row r="905" spans="2:6" ht="14.25">
      <c r="B905" s="2"/>
      <c r="C905" s="2"/>
      <c r="D905" s="9"/>
      <c r="E905" s="2"/>
      <c r="F905" s="2"/>
    </row>
    <row r="906" spans="2:6" ht="14.25">
      <c r="B906" s="2"/>
      <c r="C906" s="2"/>
      <c r="D906" s="9"/>
      <c r="E906" s="2"/>
      <c r="F906" s="2"/>
    </row>
    <row r="907" spans="2:6" ht="14.25">
      <c r="B907" s="2"/>
      <c r="C907" s="2"/>
      <c r="D907" s="9"/>
      <c r="E907" s="2"/>
      <c r="F907" s="2"/>
    </row>
    <row r="908" spans="2:6" ht="14.25">
      <c r="B908" s="2"/>
      <c r="C908" s="2"/>
      <c r="D908" s="9"/>
      <c r="E908" s="2"/>
      <c r="F908" s="2"/>
    </row>
    <row r="909" spans="2:6" ht="14.25">
      <c r="B909" s="2"/>
      <c r="C909" s="2"/>
      <c r="D909" s="9"/>
      <c r="E909" s="2"/>
      <c r="F909" s="2"/>
    </row>
    <row r="910" spans="2:6" ht="14.25">
      <c r="B910" s="2"/>
      <c r="C910" s="2"/>
      <c r="D910" s="9"/>
      <c r="E910" s="2"/>
      <c r="F910" s="2"/>
    </row>
    <row r="911" spans="2:6" ht="14.25">
      <c r="B911" s="2"/>
      <c r="C911" s="2"/>
      <c r="D911" s="9"/>
      <c r="E911" s="2"/>
      <c r="F911" s="2"/>
    </row>
    <row r="912" spans="2:6" ht="14.25">
      <c r="B912" s="2"/>
      <c r="C912" s="2"/>
      <c r="D912" s="9"/>
      <c r="E912" s="2"/>
      <c r="F912" s="2"/>
    </row>
    <row r="913" spans="2:6" ht="14.25">
      <c r="B913" s="2"/>
      <c r="C913" s="2"/>
      <c r="D913" s="9"/>
      <c r="E913" s="2"/>
      <c r="F913" s="2"/>
    </row>
    <row r="914" spans="2:6" ht="14.25">
      <c r="B914" s="2"/>
      <c r="C914" s="2"/>
      <c r="D914" s="9"/>
      <c r="E914" s="2"/>
      <c r="F914" s="2"/>
    </row>
    <row r="915" spans="2:6" ht="14.25">
      <c r="B915" s="2"/>
      <c r="C915" s="2"/>
      <c r="D915" s="9"/>
      <c r="E915" s="2"/>
      <c r="F915" s="2"/>
    </row>
    <row r="916" spans="2:6" ht="14.25">
      <c r="B916" s="2"/>
      <c r="C916" s="2"/>
      <c r="D916" s="9"/>
      <c r="E916" s="2"/>
      <c r="F916" s="2"/>
    </row>
    <row r="917" spans="2:6" ht="14.25">
      <c r="B917" s="2"/>
      <c r="C917" s="2"/>
      <c r="D917" s="9"/>
      <c r="E917" s="2"/>
      <c r="F917" s="2"/>
    </row>
    <row r="918" spans="2:6" ht="14.25">
      <c r="B918" s="2"/>
      <c r="C918" s="2"/>
      <c r="D918" s="9"/>
      <c r="E918" s="2"/>
      <c r="F918" s="2"/>
    </row>
    <row r="919" spans="2:6" ht="14.25">
      <c r="B919" s="2"/>
      <c r="C919" s="2"/>
      <c r="D919" s="9"/>
      <c r="E919" s="2"/>
      <c r="F919" s="2"/>
    </row>
    <row r="920" spans="2:6" ht="14.25">
      <c r="B920" s="2"/>
      <c r="C920" s="2"/>
      <c r="D920" s="9"/>
      <c r="E920" s="2"/>
      <c r="F920" s="2"/>
    </row>
    <row r="921" spans="2:6" ht="14.25">
      <c r="B921" s="2"/>
      <c r="C921" s="2"/>
      <c r="D921" s="9"/>
      <c r="E921" s="2"/>
      <c r="F921" s="2"/>
    </row>
    <row r="922" spans="2:6" ht="14.25">
      <c r="B922" s="2"/>
      <c r="C922" s="2"/>
      <c r="D922" s="9"/>
      <c r="E922" s="2"/>
      <c r="F922" s="2"/>
    </row>
    <row r="923" spans="2:6" ht="14.25">
      <c r="B923" s="2"/>
      <c r="C923" s="2"/>
      <c r="D923" s="9"/>
      <c r="E923" s="2"/>
      <c r="F923" s="2"/>
    </row>
    <row r="924" spans="2:6" ht="14.25">
      <c r="B924" s="2"/>
      <c r="C924" s="2"/>
      <c r="D924" s="9"/>
      <c r="E924" s="2"/>
      <c r="F924" s="2"/>
    </row>
    <row r="925" spans="2:6" ht="14.25">
      <c r="B925" s="2"/>
      <c r="C925" s="2"/>
      <c r="D925" s="9"/>
      <c r="E925" s="2"/>
      <c r="F925" s="2"/>
    </row>
    <row r="926" spans="2:6" ht="14.25">
      <c r="B926" s="2"/>
      <c r="C926" s="2"/>
      <c r="D926" s="9"/>
      <c r="E926" s="2"/>
      <c r="F926" s="2"/>
    </row>
    <row r="927" spans="2:6" ht="14.25">
      <c r="B927" s="2"/>
      <c r="C927" s="2"/>
      <c r="D927" s="9"/>
      <c r="E927" s="2"/>
      <c r="F927" s="2"/>
    </row>
    <row r="928" spans="2:6" ht="14.25">
      <c r="B928" s="2"/>
      <c r="C928" s="2"/>
      <c r="D928" s="9"/>
      <c r="E928" s="2"/>
      <c r="F928" s="2"/>
    </row>
    <row r="929" spans="2:6" ht="14.25">
      <c r="B929" s="2"/>
      <c r="C929" s="2"/>
      <c r="D929" s="9"/>
      <c r="E929" s="2"/>
      <c r="F929" s="2"/>
    </row>
    <row r="930" spans="2:6" ht="14.25">
      <c r="B930" s="2"/>
      <c r="C930" s="2"/>
      <c r="D930" s="9"/>
      <c r="E930" s="2"/>
      <c r="F930" s="2"/>
    </row>
    <row r="931" spans="2:6" ht="14.25">
      <c r="B931" s="2"/>
      <c r="C931" s="2"/>
      <c r="D931" s="9"/>
      <c r="E931" s="2"/>
      <c r="F931" s="2"/>
    </row>
    <row r="932" spans="2:6" ht="14.25">
      <c r="B932" s="2"/>
      <c r="C932" s="2"/>
      <c r="D932" s="9"/>
      <c r="E932" s="2"/>
      <c r="F932" s="2"/>
    </row>
    <row r="933" spans="2:6" ht="14.25">
      <c r="B933" s="2"/>
      <c r="C933" s="2"/>
      <c r="D933" s="9"/>
      <c r="E933" s="2"/>
      <c r="F933" s="2"/>
    </row>
    <row r="934" spans="2:6" ht="14.25">
      <c r="B934" s="2"/>
      <c r="C934" s="2"/>
      <c r="D934" s="9"/>
      <c r="E934" s="2"/>
      <c r="F934" s="2"/>
    </row>
    <row r="935" spans="2:6" ht="14.25">
      <c r="B935" s="2"/>
      <c r="C935" s="2"/>
      <c r="D935" s="9"/>
      <c r="E935" s="2"/>
      <c r="F935" s="2"/>
    </row>
    <row r="936" spans="2:6" ht="14.25">
      <c r="B936" s="2"/>
      <c r="C936" s="2"/>
      <c r="D936" s="9"/>
      <c r="E936" s="2"/>
      <c r="F936" s="2"/>
    </row>
    <row r="937" spans="2:6" ht="14.25">
      <c r="B937" s="2"/>
      <c r="C937" s="2"/>
      <c r="D937" s="9"/>
      <c r="E937" s="2"/>
      <c r="F937" s="2"/>
    </row>
    <row r="938" spans="2:6" ht="14.25">
      <c r="B938" s="2"/>
      <c r="C938" s="2"/>
      <c r="D938" s="9"/>
      <c r="E938" s="2"/>
      <c r="F938" s="2"/>
    </row>
    <row r="939" spans="2:6" ht="14.25">
      <c r="B939" s="2"/>
      <c r="C939" s="2"/>
      <c r="D939" s="9"/>
      <c r="E939" s="2"/>
      <c r="F939" s="2"/>
    </row>
    <row r="940" spans="2:6" ht="14.25">
      <c r="B940" s="2"/>
      <c r="C940" s="2"/>
      <c r="D940" s="9"/>
      <c r="E940" s="2"/>
      <c r="F940" s="2"/>
    </row>
    <row r="941" spans="2:6" ht="14.25">
      <c r="B941" s="2"/>
      <c r="C941" s="2"/>
      <c r="D941" s="9"/>
      <c r="E941" s="2"/>
      <c r="F941" s="2"/>
    </row>
    <row r="942" spans="2:6" ht="14.25">
      <c r="B942" s="2"/>
      <c r="C942" s="2"/>
      <c r="D942" s="9"/>
      <c r="E942" s="2"/>
      <c r="F942" s="2"/>
    </row>
    <row r="943" spans="2:6" ht="14.25">
      <c r="B943" s="2"/>
      <c r="C943" s="2"/>
      <c r="D943" s="9"/>
      <c r="E943" s="2"/>
      <c r="F943" s="2"/>
    </row>
    <row r="944" spans="2:6" ht="14.25">
      <c r="B944" s="2"/>
      <c r="C944" s="2"/>
      <c r="D944" s="9"/>
      <c r="E944" s="2"/>
      <c r="F944" s="2"/>
    </row>
    <row r="945" spans="2:6" ht="14.25">
      <c r="B945" s="2"/>
      <c r="C945" s="2"/>
      <c r="D945" s="9"/>
      <c r="E945" s="2"/>
      <c r="F945" s="2"/>
    </row>
    <row r="946" spans="2:6" ht="14.25">
      <c r="B946" s="2"/>
      <c r="C946" s="2"/>
      <c r="D946" s="9"/>
      <c r="E946" s="2"/>
      <c r="F946" s="2"/>
    </row>
    <row r="947" spans="2:6" ht="14.25">
      <c r="B947" s="2"/>
      <c r="C947" s="2"/>
      <c r="D947" s="9"/>
      <c r="E947" s="2"/>
      <c r="F947" s="2"/>
    </row>
    <row r="948" spans="2:6" ht="14.25">
      <c r="B948" s="2"/>
      <c r="C948" s="2"/>
      <c r="D948" s="9"/>
      <c r="E948" s="2"/>
      <c r="F948" s="2"/>
    </row>
    <row r="949" spans="2:6" ht="14.25">
      <c r="B949" s="2"/>
      <c r="C949" s="2"/>
      <c r="D949" s="9"/>
      <c r="E949" s="2"/>
      <c r="F949" s="2"/>
    </row>
    <row r="950" spans="2:6" ht="14.25">
      <c r="B950" s="2"/>
      <c r="C950" s="2"/>
      <c r="D950" s="9"/>
      <c r="E950" s="2"/>
      <c r="F950" s="2"/>
    </row>
    <row r="951" spans="2:6" ht="14.25">
      <c r="B951" s="2"/>
      <c r="C951" s="2"/>
      <c r="D951" s="9"/>
      <c r="E951" s="2"/>
      <c r="F951" s="2"/>
    </row>
    <row r="952" spans="2:6" ht="14.25">
      <c r="B952" s="2"/>
      <c r="C952" s="2"/>
      <c r="D952" s="9"/>
      <c r="E952" s="2"/>
      <c r="F952" s="2"/>
    </row>
    <row r="953" spans="2:6" ht="14.25">
      <c r="B953" s="2"/>
      <c r="C953" s="2"/>
      <c r="D953" s="9"/>
      <c r="E953" s="2"/>
      <c r="F953" s="2"/>
    </row>
    <row r="954" spans="2:6" ht="14.25">
      <c r="B954" s="2"/>
      <c r="C954" s="2"/>
      <c r="D954" s="9"/>
      <c r="E954" s="2"/>
      <c r="F954" s="2"/>
    </row>
    <row r="955" spans="2:6" ht="14.25">
      <c r="B955" s="2"/>
      <c r="C955" s="2"/>
      <c r="D955" s="9"/>
      <c r="E955" s="2"/>
      <c r="F955" s="2"/>
    </row>
    <row r="956" spans="2:6" ht="14.25">
      <c r="B956" s="2"/>
      <c r="C956" s="2"/>
      <c r="D956" s="9"/>
      <c r="E956" s="2"/>
      <c r="F956" s="2"/>
    </row>
    <row r="957" spans="2:6" ht="14.25">
      <c r="B957" s="2"/>
      <c r="C957" s="2"/>
      <c r="D957" s="9"/>
      <c r="E957" s="2"/>
      <c r="F957" s="2"/>
    </row>
    <row r="958" spans="2:6" ht="14.25">
      <c r="B958" s="2"/>
      <c r="C958" s="2"/>
      <c r="D958" s="9"/>
      <c r="E958" s="2"/>
      <c r="F958" s="2"/>
    </row>
    <row r="959" spans="2:6" ht="14.25">
      <c r="B959" s="2"/>
      <c r="C959" s="2"/>
      <c r="D959" s="9"/>
      <c r="E959" s="2"/>
      <c r="F959" s="2"/>
    </row>
    <row r="960" spans="2:6" ht="14.25">
      <c r="B960" s="2"/>
      <c r="C960" s="2"/>
      <c r="D960" s="9"/>
      <c r="E960" s="2"/>
      <c r="F960" s="2"/>
    </row>
    <row r="961" spans="2:6" ht="14.25">
      <c r="B961" s="2"/>
      <c r="C961" s="2"/>
      <c r="D961" s="9"/>
      <c r="E961" s="2"/>
      <c r="F961" s="2"/>
    </row>
    <row r="962" spans="2:6" ht="14.25">
      <c r="B962" s="2"/>
      <c r="C962" s="2"/>
      <c r="D962" s="9"/>
      <c r="E962" s="2"/>
      <c r="F962" s="2"/>
    </row>
    <row r="963" spans="2:6" ht="14.25">
      <c r="B963" s="2"/>
      <c r="C963" s="2"/>
      <c r="D963" s="9"/>
      <c r="E963" s="2"/>
      <c r="F963" s="2"/>
    </row>
    <row r="964" spans="2:6" ht="14.25">
      <c r="B964" s="2"/>
      <c r="C964" s="2"/>
      <c r="D964" s="9"/>
      <c r="E964" s="2"/>
      <c r="F964" s="2"/>
    </row>
    <row r="965" spans="2:6" ht="14.25">
      <c r="B965" s="2"/>
      <c r="C965" s="2"/>
      <c r="D965" s="9"/>
      <c r="E965" s="2"/>
      <c r="F965" s="2"/>
    </row>
    <row r="966" spans="2:6" ht="14.25">
      <c r="B966" s="2"/>
      <c r="C966" s="2"/>
      <c r="D966" s="9"/>
      <c r="E966" s="2"/>
      <c r="F966" s="2"/>
    </row>
    <row r="967" spans="2:6" ht="14.25">
      <c r="B967" s="2"/>
      <c r="C967" s="2"/>
      <c r="D967" s="9"/>
      <c r="E967" s="2"/>
      <c r="F967" s="2"/>
    </row>
    <row r="968" spans="2:6" ht="14.25">
      <c r="B968" s="2"/>
      <c r="C968" s="2"/>
      <c r="D968" s="9"/>
      <c r="E968" s="2"/>
      <c r="F968" s="2"/>
    </row>
    <row r="969" spans="2:6" ht="14.25">
      <c r="B969" s="2"/>
      <c r="C969" s="2"/>
      <c r="D969" s="9"/>
      <c r="E969" s="2"/>
      <c r="F969" s="2"/>
    </row>
    <row r="970" spans="2:6" ht="14.25">
      <c r="B970" s="2"/>
      <c r="C970" s="2"/>
      <c r="D970" s="9"/>
      <c r="E970" s="2"/>
      <c r="F970" s="2"/>
    </row>
    <row r="971" spans="2:6" ht="14.25">
      <c r="B971" s="2"/>
      <c r="C971" s="2"/>
      <c r="D971" s="9"/>
      <c r="E971" s="2"/>
      <c r="F971" s="2"/>
    </row>
    <row r="972" spans="2:6" ht="14.25">
      <c r="B972" s="2"/>
      <c r="C972" s="2"/>
      <c r="D972" s="9"/>
      <c r="E972" s="2"/>
      <c r="F972" s="2"/>
    </row>
    <row r="973" spans="2:6" ht="14.25">
      <c r="B973" s="2"/>
      <c r="C973" s="2"/>
      <c r="D973" s="9"/>
      <c r="E973" s="2"/>
      <c r="F973" s="2"/>
    </row>
    <row r="974" spans="2:6" ht="14.25">
      <c r="B974" s="2"/>
      <c r="C974" s="2"/>
      <c r="D974" s="9"/>
      <c r="E974" s="2"/>
      <c r="F974" s="2"/>
    </row>
    <row r="975" spans="2:6" ht="14.25">
      <c r="B975" s="2"/>
      <c r="C975" s="2"/>
      <c r="D975" s="9"/>
      <c r="E975" s="2"/>
      <c r="F975" s="2"/>
    </row>
    <row r="976" spans="2:6" ht="14.25">
      <c r="B976" s="2"/>
      <c r="C976" s="2"/>
      <c r="D976" s="9"/>
      <c r="E976" s="2"/>
      <c r="F976" s="2"/>
    </row>
    <row r="977" spans="2:6" ht="14.25">
      <c r="B977" s="2"/>
      <c r="C977" s="2"/>
      <c r="D977" s="9"/>
      <c r="E977" s="2"/>
      <c r="F977" s="2"/>
    </row>
    <row r="978" spans="2:6" ht="14.25">
      <c r="B978" s="2"/>
      <c r="C978" s="2"/>
      <c r="D978" s="9"/>
      <c r="E978" s="2"/>
      <c r="F978" s="2"/>
    </row>
    <row r="979" spans="2:6" ht="14.25">
      <c r="B979" s="2"/>
      <c r="C979" s="2"/>
      <c r="D979" s="9"/>
      <c r="E979" s="2"/>
      <c r="F979" s="2"/>
    </row>
    <row r="980" spans="2:6" ht="14.25">
      <c r="B980" s="2"/>
      <c r="C980" s="2"/>
      <c r="D980" s="9"/>
      <c r="E980" s="2"/>
      <c r="F980" s="2"/>
    </row>
    <row r="981" spans="2:6" ht="14.25">
      <c r="B981" s="2"/>
      <c r="C981" s="2"/>
      <c r="D981" s="9"/>
      <c r="E981" s="2"/>
      <c r="F981" s="2"/>
    </row>
    <row r="982" spans="2:6" ht="14.25">
      <c r="B982" s="2"/>
      <c r="C982" s="2"/>
      <c r="D982" s="9"/>
      <c r="E982" s="2"/>
      <c r="F982" s="2"/>
    </row>
    <row r="983" spans="2:6" ht="14.25">
      <c r="B983" s="2"/>
      <c r="C983" s="2"/>
      <c r="D983" s="9"/>
      <c r="E983" s="2"/>
      <c r="F983" s="2"/>
    </row>
    <row r="984" spans="2:6" ht="14.25">
      <c r="B984" s="2"/>
      <c r="C984" s="2"/>
      <c r="D984" s="9"/>
      <c r="E984" s="2"/>
      <c r="F984" s="2"/>
    </row>
    <row r="985" spans="2:6" ht="14.25">
      <c r="B985" s="2"/>
      <c r="C985" s="2"/>
      <c r="D985" s="9"/>
      <c r="E985" s="2"/>
      <c r="F985" s="2"/>
    </row>
    <row r="986" spans="2:6" ht="14.25">
      <c r="B986" s="2"/>
      <c r="C986" s="2"/>
      <c r="D986" s="9"/>
      <c r="E986" s="2"/>
      <c r="F986" s="2"/>
    </row>
    <row r="987" spans="2:6" ht="14.25">
      <c r="B987" s="2"/>
      <c r="C987" s="2"/>
      <c r="D987" s="9"/>
      <c r="E987" s="2"/>
      <c r="F987" s="2"/>
    </row>
    <row r="988" spans="2:6" ht="14.25">
      <c r="B988" s="2"/>
      <c r="C988" s="2"/>
      <c r="D988" s="9"/>
      <c r="E988" s="2"/>
      <c r="F988" s="2"/>
    </row>
    <row r="989" spans="2:6" ht="14.25">
      <c r="B989" s="2"/>
      <c r="C989" s="2"/>
      <c r="D989" s="9"/>
      <c r="E989" s="2"/>
      <c r="F989" s="2"/>
    </row>
    <row r="990" spans="2:6" ht="14.25">
      <c r="B990" s="2"/>
      <c r="C990" s="2"/>
      <c r="D990" s="9"/>
      <c r="E990" s="2"/>
      <c r="F990" s="2"/>
    </row>
    <row r="991" spans="2:6" ht="14.25">
      <c r="B991" s="2"/>
      <c r="C991" s="2"/>
      <c r="D991" s="9"/>
      <c r="E991" s="2"/>
      <c r="F991" s="2"/>
    </row>
    <row r="992" spans="2:6" ht="14.25">
      <c r="B992" s="2"/>
      <c r="C992" s="2"/>
      <c r="D992" s="9"/>
      <c r="E992" s="2"/>
      <c r="F992" s="2"/>
    </row>
    <row r="993" spans="2:6" ht="14.25">
      <c r="B993" s="2"/>
      <c r="C993" s="2"/>
      <c r="D993" s="9"/>
      <c r="E993" s="2"/>
      <c r="F993" s="2"/>
    </row>
    <row r="994" spans="2:6" ht="14.25">
      <c r="B994" s="2"/>
      <c r="C994" s="2"/>
      <c r="D994" s="9"/>
      <c r="E994" s="2"/>
      <c r="F994" s="2"/>
    </row>
    <row r="995" spans="2:6" ht="14.25">
      <c r="B995" s="2"/>
      <c r="C995" s="2"/>
      <c r="D995" s="9"/>
      <c r="E995" s="2"/>
      <c r="F995" s="2"/>
    </row>
    <row r="996" spans="2:6" ht="14.25">
      <c r="B996" s="2"/>
      <c r="C996" s="2"/>
      <c r="D996" s="9"/>
      <c r="E996" s="2"/>
      <c r="F996" s="2"/>
    </row>
    <row r="997" spans="2:6" ht="14.25">
      <c r="B997" s="2"/>
      <c r="C997" s="2"/>
      <c r="D997" s="9"/>
      <c r="E997" s="2"/>
      <c r="F997" s="2"/>
    </row>
    <row r="998" spans="2:6" ht="14.25">
      <c r="B998" s="2"/>
      <c r="C998" s="2"/>
      <c r="D998" s="9"/>
      <c r="E998" s="2"/>
      <c r="F998" s="2"/>
    </row>
    <row r="999" spans="2:6" ht="14.25">
      <c r="B999" s="2"/>
      <c r="C999" s="2"/>
      <c r="D999" s="9"/>
      <c r="E999" s="2"/>
      <c r="F999" s="2"/>
    </row>
    <row r="1000" spans="2:6" ht="14.25">
      <c r="B1000" s="2"/>
      <c r="C1000" s="2"/>
      <c r="D1000" s="9"/>
      <c r="E1000" s="2"/>
      <c r="F1000" s="2"/>
    </row>
    <row r="1001" spans="2:6" ht="14.25">
      <c r="B1001" s="2"/>
      <c r="C1001" s="2"/>
      <c r="D1001" s="9"/>
      <c r="E1001" s="2"/>
      <c r="F1001" s="2"/>
    </row>
    <row r="1002" spans="2:6" ht="14.25">
      <c r="B1002" s="2"/>
      <c r="C1002" s="2"/>
      <c r="D1002" s="9"/>
      <c r="E1002" s="2"/>
      <c r="F100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'שלב א - טעינת דפי מקור'!#REF!</xm:f>
          </x14:formula1>
          <xm:sqref>I4:I1002</xm:sqref>
        </x14:dataValidation>
        <x14:dataValidation type="list" allowBlank="1" xr:uid="{00000000-0002-0000-0400-000001000000}">
          <x14:formula1>
            <xm:f>'שלב א - טעינת דפי מקור'!#REF!</xm:f>
          </x14:formula1>
          <xm:sqref>H4:H1002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outlinePr summaryBelow="0" summaryRight="0"/>
  </sheetPr>
  <dimension ref="A1:O977"/>
  <sheetViews>
    <sheetView rightToLeft="1" workbookViewId="0">
      <selection activeCell="E3" sqref="E3"/>
    </sheetView>
  </sheetViews>
  <sheetFormatPr defaultColWidth="12.625" defaultRowHeight="15" customHeight="1"/>
  <cols>
    <col min="1" max="1" customWidth="true" width="17.875"/>
    <col min="2" max="2" customWidth="true" width="19.125"/>
    <col min="3" max="3" customWidth="true" width="18.75"/>
    <col min="4" max="4" customWidth="true" width="20.0"/>
    <col min="5" max="5" customWidth="true" width="20.5"/>
    <col min="6" max="6" customWidth="true" width="19.5"/>
    <col min="7" max="7" customWidth="true" width="20.0"/>
    <col min="13" max="13" customWidth="true" width="27.125"/>
  </cols>
  <sheetData>
    <row r="1" spans="1:15" ht="14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customHeight="1">
      <c r="A2" s="10" t="s">
        <v>37</v>
      </c>
      <c r="B2" s="10"/>
      <c r="C2" s="10"/>
      <c r="D2" s="11" t="s">
        <v>38</v>
      </c>
      <c r="E2" s="12" t="e">
        <f>#REF!</f>
        <v>#REF!</v>
      </c>
      <c r="G2" s="8"/>
      <c r="H2" s="8"/>
      <c r="I2" s="8"/>
      <c r="J2" s="8"/>
      <c r="K2" s="8"/>
      <c r="L2" s="8"/>
      <c r="M2" s="8"/>
      <c r="N2" s="8"/>
      <c r="O2" s="8"/>
    </row>
    <row r="3" spans="1:15" ht="14.25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3" t="s">
        <v>47</v>
      </c>
      <c r="J3" s="13" t="s">
        <v>48</v>
      </c>
      <c r="K3" s="13" t="s">
        <v>49</v>
      </c>
      <c r="L3" s="13" t="s">
        <v>50</v>
      </c>
      <c r="M3" s="13" t="s">
        <v>51</v>
      </c>
      <c r="N3" s="13" t="s">
        <v>10</v>
      </c>
      <c r="O3" s="8"/>
    </row>
    <row r="4" spans="1:15" ht="14.25">
      <c r="A4" s="1"/>
      <c r="C4" s="2"/>
    </row>
    <row r="5" spans="1:15" ht="14.25">
      <c r="A5" s="1"/>
      <c r="C5" s="2"/>
    </row>
    <row r="6" spans="1:15" ht="14.25">
      <c r="A6" s="1"/>
      <c r="C6" s="2"/>
    </row>
    <row r="7" spans="1:15" ht="14.25">
      <c r="A7" s="1"/>
      <c r="C7" s="2"/>
    </row>
    <row r="8" spans="1:15" ht="14.25">
      <c r="A8" s="1"/>
      <c r="C8" s="2"/>
    </row>
    <row r="9" spans="1:15" ht="14.25">
      <c r="A9" s="1"/>
      <c r="C9" s="2"/>
    </row>
    <row r="10" spans="1:15" ht="14.25">
      <c r="A10" s="1"/>
      <c r="C10" s="2"/>
    </row>
    <row r="11" spans="1:15" ht="14.25">
      <c r="A11" s="1"/>
      <c r="C11" s="2"/>
    </row>
    <row r="12" spans="1:15" ht="14.25">
      <c r="A12" s="1"/>
      <c r="C12" s="2"/>
    </row>
    <row r="13" spans="1:15" ht="14.25">
      <c r="A13" s="1"/>
      <c r="C13" s="2"/>
    </row>
    <row r="14" spans="1:15" ht="14.25">
      <c r="A14" s="1"/>
      <c r="C14" s="2"/>
    </row>
    <row r="15" spans="1:15" ht="14.25">
      <c r="A15" s="1"/>
      <c r="C15" s="2"/>
    </row>
    <row r="16" spans="1:15" ht="14.25">
      <c r="A16" s="1"/>
      <c r="C16" s="2"/>
    </row>
    <row r="17" spans="1:3" ht="14.25">
      <c r="A17" s="1"/>
      <c r="C17" s="2"/>
    </row>
    <row r="18" spans="1:3" ht="14.25">
      <c r="A18" s="1"/>
      <c r="C18" s="2"/>
    </row>
    <row r="19" spans="1:3" ht="14.25">
      <c r="A19" s="1"/>
      <c r="C19" s="2"/>
    </row>
    <row r="20" spans="1:3" ht="14.25">
      <c r="A20" s="1"/>
      <c r="C20" s="2"/>
    </row>
    <row r="21" spans="1:3" ht="14.25">
      <c r="A21" s="1"/>
      <c r="C21" s="2"/>
    </row>
    <row r="22" spans="1:3" ht="14.25">
      <c r="A22" s="1"/>
      <c r="C22" s="2"/>
    </row>
    <row r="23" spans="1:3" ht="14.25">
      <c r="A23" s="1"/>
      <c r="C23" s="2"/>
    </row>
    <row r="24" spans="1:3" ht="14.25">
      <c r="A24" s="1"/>
      <c r="C24" s="2"/>
    </row>
    <row r="25" spans="1:3" ht="14.25">
      <c r="A25" s="1"/>
      <c r="C25" s="2"/>
    </row>
    <row r="26" spans="1:3" ht="14.25">
      <c r="A26" s="1"/>
      <c r="C26" s="2"/>
    </row>
    <row r="27" spans="1:3" ht="14.25">
      <c r="A27" s="1"/>
      <c r="C27" s="2"/>
    </row>
    <row r="28" spans="1:3" ht="14.25">
      <c r="A28" s="1"/>
      <c r="C28" s="2"/>
    </row>
    <row r="29" spans="1:3" ht="14.25">
      <c r="A29" s="1"/>
      <c r="C29" s="2"/>
    </row>
    <row r="30" spans="1:3" ht="14.25">
      <c r="A30" s="1"/>
      <c r="C30" s="2"/>
    </row>
    <row r="31" spans="1:3" ht="14.25">
      <c r="A31" s="1"/>
      <c r="C31" s="2"/>
    </row>
    <row r="32" spans="1:3" ht="14.25">
      <c r="A32" s="1"/>
      <c r="C32" s="2"/>
    </row>
    <row r="33" spans="1:3" ht="14.25">
      <c r="A33" s="1"/>
      <c r="C33" s="2"/>
    </row>
    <row r="34" spans="1:3" ht="14.25">
      <c r="A34" s="1"/>
      <c r="C34" s="2"/>
    </row>
    <row r="35" spans="1:3" ht="14.25">
      <c r="A35" s="1"/>
      <c r="C35" s="2"/>
    </row>
    <row r="36" spans="1:3" ht="14.25">
      <c r="A36" s="1"/>
      <c r="C36" s="2"/>
    </row>
    <row r="37" spans="1:3" ht="14.25">
      <c r="A37" s="1"/>
      <c r="C37" s="2"/>
    </row>
    <row r="38" spans="1:3" ht="14.25">
      <c r="A38" s="1"/>
      <c r="C38" s="2"/>
    </row>
    <row r="39" spans="1:3" ht="14.25">
      <c r="A39" s="1"/>
      <c r="C39" s="2"/>
    </row>
    <row r="40" spans="1:3" ht="14.25">
      <c r="A40" s="1"/>
      <c r="C40" s="2"/>
    </row>
    <row r="41" spans="1:3" ht="14.25">
      <c r="A41" s="1"/>
      <c r="C41" s="2"/>
    </row>
    <row r="42" spans="1:3" ht="14.25">
      <c r="A42" s="1"/>
      <c r="C42" s="2"/>
    </row>
    <row r="43" spans="1:3" ht="14.25">
      <c r="A43" s="1"/>
      <c r="C43" s="2"/>
    </row>
    <row r="44" spans="1:3" ht="14.25">
      <c r="A44" s="1"/>
      <c r="C44" s="2"/>
    </row>
    <row r="45" spans="1:3" ht="14.25">
      <c r="A45" s="1"/>
      <c r="C45" s="2"/>
    </row>
    <row r="46" spans="1:3" ht="14.25">
      <c r="A46" s="1"/>
      <c r="C46" s="2"/>
    </row>
    <row r="47" spans="1:3" ht="14.25">
      <c r="A47" s="1"/>
      <c r="C47" s="2"/>
    </row>
    <row r="48" spans="1:3" ht="14.25">
      <c r="A48" s="1"/>
      <c r="C48" s="2"/>
    </row>
    <row r="49" spans="1:3" ht="14.25">
      <c r="A49" s="1"/>
      <c r="C49" s="2"/>
    </row>
    <row r="50" spans="1:3" ht="14.25">
      <c r="A50" s="1"/>
      <c r="C50" s="2"/>
    </row>
    <row r="51" spans="1:3" ht="14.25">
      <c r="A51" s="1"/>
      <c r="C51" s="2"/>
    </row>
    <row r="52" spans="1:3" ht="14.25">
      <c r="A52" s="1"/>
      <c r="C52" s="2"/>
    </row>
    <row r="53" spans="1:3" ht="14.25">
      <c r="A53" s="1"/>
      <c r="C53" s="2"/>
    </row>
    <row r="54" spans="1:3" ht="14.25">
      <c r="A54" s="1"/>
      <c r="C54" s="2"/>
    </row>
    <row r="55" spans="1:3" ht="14.25">
      <c r="A55" s="1"/>
      <c r="C55" s="2"/>
    </row>
    <row r="56" spans="1:3" ht="14.25">
      <c r="A56" s="1"/>
      <c r="C56" s="2"/>
    </row>
    <row r="57" spans="1:3" ht="14.25">
      <c r="A57" s="1"/>
      <c r="C57" s="2"/>
    </row>
    <row r="58" spans="1:3" ht="14.25">
      <c r="A58" s="1"/>
      <c r="C58" s="2"/>
    </row>
    <row r="59" spans="1:3" ht="14.25">
      <c r="A59" s="1"/>
      <c r="C59" s="2"/>
    </row>
    <row r="60" spans="1:3" ht="14.25">
      <c r="A60" s="1"/>
      <c r="C60" s="2"/>
    </row>
    <row r="61" spans="1:3" ht="14.25">
      <c r="A61" s="1"/>
      <c r="C61" s="2"/>
    </row>
    <row r="62" spans="1:3" ht="14.25">
      <c r="A62" s="1"/>
      <c r="C62" s="2"/>
    </row>
    <row r="63" spans="1:3" ht="14.25">
      <c r="A63" s="1"/>
      <c r="C63" s="2"/>
    </row>
    <row r="64" spans="1:3" ht="14.25">
      <c r="A64" s="1"/>
      <c r="C64" s="2"/>
    </row>
    <row r="65" spans="1:3" ht="14.25">
      <c r="A65" s="1"/>
      <c r="C65" s="2"/>
    </row>
    <row r="66" spans="1:3" ht="14.25">
      <c r="A66" s="1"/>
      <c r="C66" s="2"/>
    </row>
    <row r="67" spans="1:3" ht="14.25">
      <c r="A67" s="1"/>
      <c r="C67" s="2"/>
    </row>
    <row r="68" spans="1:3" ht="14.25">
      <c r="A68" s="1"/>
      <c r="C68" s="2"/>
    </row>
    <row r="69" spans="1:3" ht="14.25">
      <c r="A69" s="1"/>
      <c r="C69" s="2"/>
    </row>
    <row r="70" spans="1:3" ht="14.25">
      <c r="A70" s="1"/>
      <c r="C70" s="2"/>
    </row>
    <row r="71" spans="1:3" ht="14.25">
      <c r="A71" s="1"/>
      <c r="C71" s="2"/>
    </row>
    <row r="72" spans="1:3" ht="14.25">
      <c r="A72" s="1"/>
      <c r="C72" s="2"/>
    </row>
    <row r="73" spans="1:3" ht="14.25">
      <c r="A73" s="1"/>
      <c r="C73" s="2"/>
    </row>
    <row r="74" spans="1:3" ht="14.25">
      <c r="A74" s="1"/>
      <c r="C74" s="2"/>
    </row>
    <row r="75" spans="1:3" ht="14.25">
      <c r="A75" s="1"/>
      <c r="C75" s="2"/>
    </row>
    <row r="76" spans="1:3" ht="14.25">
      <c r="A76" s="1"/>
      <c r="C76" s="2"/>
    </row>
    <row r="77" spans="1:3" ht="14.25">
      <c r="A77" s="1"/>
      <c r="C77" s="2"/>
    </row>
    <row r="78" spans="1:3" ht="14.25">
      <c r="A78" s="1"/>
      <c r="C78" s="2"/>
    </row>
    <row r="79" spans="1:3" ht="14.25">
      <c r="A79" s="1"/>
      <c r="C79" s="2"/>
    </row>
    <row r="80" spans="1:3" ht="14.25">
      <c r="A80" s="1"/>
      <c r="C80" s="2"/>
    </row>
    <row r="81" spans="1:3" ht="14.25">
      <c r="A81" s="1"/>
      <c r="C81" s="2"/>
    </row>
    <row r="82" spans="1:3" ht="14.25">
      <c r="A82" s="1"/>
      <c r="C82" s="2"/>
    </row>
    <row r="83" spans="1:3" ht="14.25">
      <c r="A83" s="1"/>
      <c r="C83" s="2"/>
    </row>
    <row r="84" spans="1:3" ht="14.25">
      <c r="A84" s="1"/>
      <c r="C84" s="2"/>
    </row>
    <row r="85" spans="1:3" ht="14.25">
      <c r="A85" s="1"/>
      <c r="C85" s="2"/>
    </row>
    <row r="86" spans="1:3" ht="14.25">
      <c r="A86" s="1"/>
      <c r="C86" s="2"/>
    </row>
    <row r="87" spans="1:3" ht="14.25">
      <c r="A87" s="1"/>
      <c r="C87" s="2"/>
    </row>
    <row r="88" spans="1:3" ht="14.25">
      <c r="A88" s="1"/>
      <c r="C88" s="2"/>
    </row>
    <row r="89" spans="1:3" ht="14.25">
      <c r="A89" s="1"/>
      <c r="C89" s="2"/>
    </row>
    <row r="90" spans="1:3" ht="14.25">
      <c r="A90" s="1"/>
      <c r="C90" s="2"/>
    </row>
    <row r="91" spans="1:3" ht="14.25">
      <c r="A91" s="1"/>
      <c r="C91" s="2"/>
    </row>
    <row r="92" spans="1:3" ht="14.25">
      <c r="A92" s="1"/>
      <c r="C92" s="2"/>
    </row>
    <row r="93" spans="1:3" ht="14.25">
      <c r="A93" s="1"/>
      <c r="C93" s="2"/>
    </row>
    <row r="94" spans="1:3" ht="14.25">
      <c r="A94" s="1"/>
      <c r="C94" s="2"/>
    </row>
    <row r="95" spans="1:3" ht="14.25">
      <c r="A95" s="1"/>
      <c r="C95" s="2"/>
    </row>
    <row r="96" spans="1:3" ht="14.25">
      <c r="A96" s="1"/>
      <c r="C96" s="2"/>
    </row>
    <row r="97" spans="1:3" ht="14.25">
      <c r="A97" s="1"/>
      <c r="C97" s="2"/>
    </row>
    <row r="98" spans="1:3" ht="14.25">
      <c r="A98" s="1"/>
      <c r="C98" s="2"/>
    </row>
    <row r="99" spans="1:3" ht="14.25">
      <c r="A99" s="1"/>
      <c r="C99" s="2"/>
    </row>
    <row r="100" spans="1:3" ht="14.25">
      <c r="A100" s="1"/>
      <c r="C100" s="2"/>
    </row>
    <row r="101" spans="1:3" ht="14.25">
      <c r="A101" s="1"/>
      <c r="C101" s="2"/>
    </row>
    <row r="102" spans="1:3" ht="14.25">
      <c r="A102" s="1"/>
      <c r="C102" s="2"/>
    </row>
    <row r="103" spans="1:3" ht="14.25">
      <c r="A103" s="1"/>
      <c r="C103" s="2"/>
    </row>
    <row r="104" spans="1:3" ht="14.25">
      <c r="A104" s="1"/>
      <c r="C104" s="2"/>
    </row>
    <row r="105" spans="1:3" ht="14.25">
      <c r="A105" s="1"/>
      <c r="C105" s="2"/>
    </row>
    <row r="106" spans="1:3" ht="14.25">
      <c r="A106" s="1"/>
      <c r="C106" s="2"/>
    </row>
    <row r="107" spans="1:3" ht="14.25">
      <c r="A107" s="1"/>
      <c r="C107" s="2"/>
    </row>
    <row r="108" spans="1:3" ht="14.25">
      <c r="A108" s="1"/>
      <c r="C108" s="2"/>
    </row>
    <row r="109" spans="1:3" ht="14.25">
      <c r="A109" s="1"/>
      <c r="C109" s="2"/>
    </row>
    <row r="110" spans="1:3" ht="14.25">
      <c r="A110" s="1"/>
      <c r="C110" s="2"/>
    </row>
    <row r="111" spans="1:3" ht="14.25">
      <c r="A111" s="1"/>
      <c r="C111" s="2"/>
    </row>
    <row r="112" spans="1:3" ht="14.25">
      <c r="A112" s="1"/>
      <c r="C112" s="2"/>
    </row>
    <row r="113" spans="1:3" ht="14.25">
      <c r="A113" s="1"/>
      <c r="C113" s="2"/>
    </row>
    <row r="114" spans="1:3" ht="14.25">
      <c r="A114" s="1"/>
      <c r="C114" s="2"/>
    </row>
    <row r="115" spans="1:3" ht="14.25">
      <c r="A115" s="1"/>
      <c r="C115" s="2"/>
    </row>
    <row r="116" spans="1:3" ht="14.25">
      <c r="A116" s="1"/>
      <c r="C116" s="2"/>
    </row>
    <row r="117" spans="1:3" ht="14.25">
      <c r="A117" s="1"/>
      <c r="C117" s="2"/>
    </row>
    <row r="118" spans="1:3" ht="14.25">
      <c r="A118" s="1"/>
      <c r="C118" s="2"/>
    </row>
    <row r="119" spans="1:3" ht="14.25">
      <c r="A119" s="1"/>
      <c r="C119" s="2"/>
    </row>
    <row r="120" spans="1:3" ht="14.25">
      <c r="A120" s="1"/>
      <c r="C120" s="2"/>
    </row>
    <row r="121" spans="1:3" ht="14.25">
      <c r="A121" s="1"/>
      <c r="C121" s="2"/>
    </row>
    <row r="122" spans="1:3" ht="14.25">
      <c r="A122" s="1"/>
      <c r="C122" s="2"/>
    </row>
    <row r="123" spans="1:3" ht="14.25">
      <c r="A123" s="1"/>
      <c r="C123" s="2"/>
    </row>
    <row r="124" spans="1:3" ht="14.25">
      <c r="A124" s="1"/>
      <c r="C124" s="2"/>
    </row>
    <row r="125" spans="1:3" ht="14.25">
      <c r="A125" s="1"/>
      <c r="C125" s="2"/>
    </row>
    <row r="126" spans="1:3" ht="14.25">
      <c r="A126" s="1"/>
      <c r="C126" s="2"/>
    </row>
    <row r="127" spans="1:3" ht="14.25">
      <c r="A127" s="1"/>
      <c r="C127" s="2"/>
    </row>
    <row r="128" spans="1:3" ht="14.25">
      <c r="A128" s="1"/>
      <c r="C128" s="2"/>
    </row>
    <row r="129" spans="1:3" ht="14.25">
      <c r="A129" s="1"/>
      <c r="C129" s="2"/>
    </row>
    <row r="130" spans="1:3" ht="14.25">
      <c r="A130" s="1"/>
      <c r="C130" s="2"/>
    </row>
    <row r="131" spans="1:3" ht="14.25">
      <c r="A131" s="1"/>
      <c r="C131" s="2"/>
    </row>
    <row r="132" spans="1:3" ht="14.25">
      <c r="A132" s="1"/>
      <c r="C132" s="2"/>
    </row>
    <row r="133" spans="1:3" ht="14.25">
      <c r="A133" s="1"/>
      <c r="C133" s="2"/>
    </row>
    <row r="134" spans="1:3" ht="14.25">
      <c r="A134" s="1"/>
      <c r="C134" s="2"/>
    </row>
    <row r="135" spans="1:3" ht="14.25">
      <c r="A135" s="1"/>
      <c r="C135" s="2"/>
    </row>
    <row r="136" spans="1:3" ht="14.25">
      <c r="A136" s="1"/>
      <c r="C136" s="2"/>
    </row>
    <row r="137" spans="1:3" ht="14.25">
      <c r="A137" s="1"/>
      <c r="C137" s="2"/>
    </row>
    <row r="138" spans="1:3" ht="14.25">
      <c r="A138" s="1"/>
      <c r="C138" s="2"/>
    </row>
    <row r="139" spans="1:3" ht="14.25">
      <c r="A139" s="1"/>
      <c r="C139" s="2"/>
    </row>
    <row r="140" spans="1:3" ht="14.25">
      <c r="A140" s="1"/>
      <c r="C140" s="2"/>
    </row>
    <row r="141" spans="1:3" ht="14.25">
      <c r="A141" s="1"/>
      <c r="C141" s="2"/>
    </row>
    <row r="142" spans="1:3" ht="14.25">
      <c r="A142" s="1"/>
      <c r="C142" s="2"/>
    </row>
    <row r="143" spans="1:3" ht="14.25">
      <c r="A143" s="1"/>
      <c r="C143" s="2"/>
    </row>
    <row r="144" spans="1:3" ht="14.25">
      <c r="A144" s="1"/>
      <c r="C144" s="2"/>
    </row>
    <row r="145" spans="1:3" ht="14.25">
      <c r="A145" s="1"/>
      <c r="C145" s="2"/>
    </row>
    <row r="146" spans="1:3" ht="14.25">
      <c r="A146" s="1"/>
      <c r="C146" s="2"/>
    </row>
    <row r="147" spans="1:3" ht="14.25">
      <c r="A147" s="1"/>
      <c r="C147" s="2"/>
    </row>
    <row r="148" spans="1:3" ht="14.25">
      <c r="A148" s="1"/>
      <c r="C148" s="2"/>
    </row>
    <row r="149" spans="1:3" ht="14.25">
      <c r="A149" s="1"/>
      <c r="C149" s="2"/>
    </row>
    <row r="150" spans="1:3" ht="14.25">
      <c r="A150" s="1"/>
      <c r="C150" s="2"/>
    </row>
    <row r="151" spans="1:3" ht="14.25">
      <c r="A151" s="1"/>
      <c r="C151" s="2"/>
    </row>
    <row r="152" spans="1:3" ht="14.25">
      <c r="A152" s="1"/>
      <c r="C152" s="2"/>
    </row>
    <row r="153" spans="1:3" ht="14.25">
      <c r="A153" s="1"/>
      <c r="C153" s="2"/>
    </row>
    <row r="154" spans="1:3" ht="14.25">
      <c r="A154" s="1"/>
      <c r="C154" s="2"/>
    </row>
    <row r="155" spans="1:3" ht="14.25">
      <c r="A155" s="1"/>
      <c r="C155" s="2"/>
    </row>
    <row r="156" spans="1:3" ht="14.25">
      <c r="A156" s="1"/>
      <c r="C156" s="2"/>
    </row>
    <row r="157" spans="1:3" ht="14.25">
      <c r="A157" s="1"/>
      <c r="C157" s="2"/>
    </row>
    <row r="158" spans="1:3" ht="14.25">
      <c r="A158" s="1"/>
      <c r="C158" s="2"/>
    </row>
    <row r="159" spans="1:3" ht="14.25">
      <c r="A159" s="1"/>
      <c r="C159" s="2"/>
    </row>
    <row r="160" spans="1:3" ht="14.25">
      <c r="A160" s="1"/>
      <c r="C160" s="2"/>
    </row>
    <row r="161" spans="1:3" ht="14.25">
      <c r="A161" s="1"/>
      <c r="C161" s="2"/>
    </row>
    <row r="162" spans="1:3" ht="14.25">
      <c r="A162" s="1"/>
      <c r="C162" s="2"/>
    </row>
    <row r="163" spans="1:3" ht="14.25">
      <c r="A163" s="1"/>
      <c r="C163" s="2"/>
    </row>
    <row r="164" spans="1:3" ht="14.25">
      <c r="A164" s="1"/>
      <c r="C164" s="2"/>
    </row>
    <row r="165" spans="1:3" ht="14.25">
      <c r="A165" s="1"/>
      <c r="C165" s="2"/>
    </row>
    <row r="166" spans="1:3" ht="14.25">
      <c r="A166" s="1"/>
      <c r="C166" s="2"/>
    </row>
    <row r="167" spans="1:3" ht="14.25">
      <c r="A167" s="1"/>
      <c r="C167" s="2"/>
    </row>
    <row r="168" spans="1:3" ht="14.25">
      <c r="A168" s="1"/>
      <c r="C168" s="2"/>
    </row>
    <row r="169" spans="1:3" ht="14.25">
      <c r="A169" s="1"/>
      <c r="C169" s="2"/>
    </row>
    <row r="170" spans="1:3" ht="14.25">
      <c r="A170" s="1"/>
      <c r="C170" s="2"/>
    </row>
    <row r="171" spans="1:3" ht="14.25">
      <c r="A171" s="1"/>
      <c r="C171" s="2"/>
    </row>
    <row r="172" spans="1:3" ht="14.25">
      <c r="A172" s="1"/>
      <c r="C172" s="2"/>
    </row>
    <row r="173" spans="1:3" ht="14.25">
      <c r="A173" s="1"/>
      <c r="C173" s="2"/>
    </row>
    <row r="174" spans="1:3" ht="14.25">
      <c r="A174" s="1"/>
      <c r="C174" s="2"/>
    </row>
    <row r="175" spans="1:3" ht="14.25">
      <c r="A175" s="1"/>
      <c r="C175" s="2"/>
    </row>
    <row r="176" spans="1:3" ht="14.25">
      <c r="A176" s="1"/>
      <c r="C176" s="2"/>
    </row>
    <row r="177" spans="1:3" ht="14.25">
      <c r="A177" s="1"/>
      <c r="C177" s="2"/>
    </row>
    <row r="178" spans="1:3" ht="14.25">
      <c r="A178" s="1"/>
      <c r="C178" s="2"/>
    </row>
    <row r="179" spans="1:3" ht="14.25">
      <c r="A179" s="1"/>
      <c r="C179" s="2"/>
    </row>
    <row r="180" spans="1:3" ht="14.25">
      <c r="A180" s="1"/>
      <c r="C180" s="2"/>
    </row>
    <row r="181" spans="1:3" ht="14.25">
      <c r="A181" s="1"/>
      <c r="C181" s="2"/>
    </row>
    <row r="182" spans="1:3" ht="14.25">
      <c r="A182" s="1"/>
      <c r="C182" s="2"/>
    </row>
    <row r="183" spans="1:3" ht="14.25">
      <c r="A183" s="1"/>
      <c r="C183" s="2"/>
    </row>
    <row r="184" spans="1:3" ht="14.25">
      <c r="A184" s="1"/>
      <c r="C184" s="2"/>
    </row>
    <row r="185" spans="1:3" ht="14.25">
      <c r="A185" s="1"/>
      <c r="C185" s="2"/>
    </row>
    <row r="186" spans="1:3" ht="14.25">
      <c r="A186" s="1"/>
      <c r="C186" s="2"/>
    </row>
    <row r="187" spans="1:3" ht="14.25">
      <c r="A187" s="1"/>
      <c r="C187" s="2"/>
    </row>
    <row r="188" spans="1:3" ht="14.25">
      <c r="A188" s="1"/>
      <c r="C188" s="2"/>
    </row>
    <row r="189" spans="1:3" ht="14.25">
      <c r="A189" s="1"/>
      <c r="C189" s="2"/>
    </row>
    <row r="190" spans="1:3" ht="14.25">
      <c r="A190" s="1"/>
      <c r="C190" s="2"/>
    </row>
    <row r="191" spans="1:3" ht="14.25">
      <c r="A191" s="1"/>
      <c r="C191" s="2"/>
    </row>
    <row r="192" spans="1:3" ht="14.25">
      <c r="A192" s="1"/>
      <c r="C192" s="2"/>
    </row>
    <row r="193" spans="1:3" ht="14.25">
      <c r="A193" s="1"/>
      <c r="C193" s="2"/>
    </row>
    <row r="194" spans="1:3" ht="14.25">
      <c r="A194" s="1"/>
      <c r="C194" s="2"/>
    </row>
    <row r="195" spans="1:3" ht="14.25">
      <c r="A195" s="1"/>
      <c r="C195" s="2"/>
    </row>
    <row r="196" spans="1:3" ht="14.25">
      <c r="A196" s="1"/>
      <c r="C196" s="2"/>
    </row>
    <row r="197" spans="1:3" ht="14.25">
      <c r="A197" s="1"/>
      <c r="C197" s="2"/>
    </row>
    <row r="198" spans="1:3" ht="14.25">
      <c r="A198" s="1"/>
      <c r="C198" s="2"/>
    </row>
    <row r="199" spans="1:3" ht="14.25">
      <c r="A199" s="1"/>
      <c r="C199" s="2"/>
    </row>
    <row r="200" spans="1:3" ht="14.25">
      <c r="A200" s="1"/>
      <c r="C200" s="2"/>
    </row>
    <row r="201" spans="1:3" ht="14.25">
      <c r="A201" s="1"/>
      <c r="C201" s="2"/>
    </row>
    <row r="202" spans="1:3" ht="14.25">
      <c r="A202" s="1"/>
      <c r="C202" s="2"/>
    </row>
    <row r="203" spans="1:3" ht="14.25">
      <c r="A203" s="1"/>
      <c r="C203" s="2"/>
    </row>
    <row r="204" spans="1:3" ht="14.25">
      <c r="A204" s="1"/>
      <c r="C204" s="2"/>
    </row>
    <row r="205" spans="1:3" ht="14.25">
      <c r="A205" s="1"/>
      <c r="C205" s="2"/>
    </row>
    <row r="206" spans="1:3" ht="14.25">
      <c r="A206" s="1"/>
      <c r="C206" s="2"/>
    </row>
    <row r="207" spans="1:3" ht="14.25">
      <c r="A207" s="1"/>
      <c r="C207" s="2"/>
    </row>
    <row r="208" spans="1:3" ht="14.25">
      <c r="A208" s="1"/>
      <c r="C208" s="2"/>
    </row>
    <row r="209" spans="1:3" ht="14.25">
      <c r="A209" s="1"/>
      <c r="C209" s="2"/>
    </row>
    <row r="210" spans="1:3" ht="14.25">
      <c r="A210" s="1"/>
      <c r="C210" s="2"/>
    </row>
    <row r="211" spans="1:3" ht="14.25">
      <c r="A211" s="1"/>
      <c r="C211" s="2"/>
    </row>
    <row r="212" spans="1:3" ht="14.25">
      <c r="A212" s="1"/>
      <c r="C212" s="2"/>
    </row>
    <row r="213" spans="1:3" ht="14.25">
      <c r="A213" s="1"/>
      <c r="C213" s="2"/>
    </row>
    <row r="214" spans="1:3" ht="14.25">
      <c r="A214" s="1"/>
      <c r="C214" s="2"/>
    </row>
    <row r="215" spans="1:3" ht="14.25">
      <c r="A215" s="1"/>
      <c r="C215" s="2"/>
    </row>
    <row r="216" spans="1:3" ht="14.25">
      <c r="A216" s="1"/>
      <c r="C216" s="2"/>
    </row>
    <row r="217" spans="1:3" ht="14.25">
      <c r="A217" s="1"/>
      <c r="C217" s="2"/>
    </row>
    <row r="218" spans="1:3" ht="14.25">
      <c r="A218" s="1"/>
      <c r="C218" s="2"/>
    </row>
    <row r="219" spans="1:3" ht="14.25">
      <c r="A219" s="1"/>
      <c r="C219" s="2"/>
    </row>
    <row r="220" spans="1:3" ht="14.25">
      <c r="A220" s="1"/>
      <c r="C220" s="2"/>
    </row>
    <row r="221" spans="1:3" ht="14.25">
      <c r="A221" s="1"/>
      <c r="C221" s="2"/>
    </row>
    <row r="222" spans="1:3" ht="14.25">
      <c r="A222" s="1"/>
      <c r="C222" s="2"/>
    </row>
    <row r="223" spans="1:3" ht="14.25">
      <c r="A223" s="1"/>
      <c r="C223" s="2"/>
    </row>
    <row r="224" spans="1:3" ht="14.25">
      <c r="A224" s="1"/>
      <c r="C224" s="2"/>
    </row>
    <row r="225" spans="1:3" ht="14.25">
      <c r="A225" s="1"/>
      <c r="C225" s="2"/>
    </row>
    <row r="226" spans="1:3" ht="14.25">
      <c r="A226" s="1"/>
      <c r="C226" s="2"/>
    </row>
    <row r="227" spans="1:3" ht="14.25">
      <c r="A227" s="1"/>
      <c r="C227" s="2"/>
    </row>
    <row r="228" spans="1:3" ht="14.25">
      <c r="A228" s="1"/>
      <c r="C228" s="2"/>
    </row>
    <row r="229" spans="1:3" ht="14.25">
      <c r="A229" s="1"/>
      <c r="C229" s="2"/>
    </row>
    <row r="230" spans="1:3" ht="14.25">
      <c r="A230" s="1"/>
      <c r="C230" s="2"/>
    </row>
    <row r="231" spans="1:3" ht="14.25">
      <c r="A231" s="1"/>
      <c r="C231" s="2"/>
    </row>
    <row r="232" spans="1:3" ht="14.25">
      <c r="A232" s="1"/>
      <c r="C232" s="2"/>
    </row>
    <row r="233" spans="1:3" ht="14.25">
      <c r="A233" s="1"/>
      <c r="C233" s="2"/>
    </row>
    <row r="234" spans="1:3" ht="14.25">
      <c r="A234" s="1"/>
      <c r="C234" s="2"/>
    </row>
    <row r="235" spans="1:3" ht="14.25">
      <c r="A235" s="1"/>
      <c r="C235" s="2"/>
    </row>
    <row r="236" spans="1:3" ht="14.25">
      <c r="A236" s="1"/>
      <c r="C236" s="2"/>
    </row>
    <row r="237" spans="1:3" ht="14.25">
      <c r="A237" s="1"/>
      <c r="C237" s="2"/>
    </row>
    <row r="238" spans="1:3" ht="14.25">
      <c r="A238" s="1"/>
      <c r="C238" s="2"/>
    </row>
    <row r="239" spans="1:3" ht="14.25">
      <c r="A239" s="1"/>
      <c r="C239" s="2"/>
    </row>
    <row r="240" spans="1:3" ht="14.25">
      <c r="A240" s="1"/>
      <c r="C240" s="2"/>
    </row>
    <row r="241" spans="1:3" ht="14.25">
      <c r="A241" s="1"/>
      <c r="C241" s="2"/>
    </row>
    <row r="242" spans="1:3" ht="14.25">
      <c r="A242" s="1"/>
      <c r="C242" s="2"/>
    </row>
    <row r="243" spans="1:3" ht="14.25">
      <c r="A243" s="1"/>
      <c r="C243" s="2"/>
    </row>
    <row r="244" spans="1:3" ht="14.25">
      <c r="A244" s="1"/>
      <c r="C244" s="2"/>
    </row>
    <row r="245" spans="1:3" ht="14.25">
      <c r="A245" s="1"/>
      <c r="C245" s="2"/>
    </row>
    <row r="246" spans="1:3" ht="14.25">
      <c r="A246" s="1"/>
      <c r="C246" s="2"/>
    </row>
    <row r="247" spans="1:3" ht="14.25">
      <c r="A247" s="1"/>
      <c r="C247" s="2"/>
    </row>
    <row r="248" spans="1:3" ht="14.25">
      <c r="A248" s="1"/>
      <c r="C248" s="2"/>
    </row>
    <row r="249" spans="1:3" ht="14.25">
      <c r="A249" s="1"/>
      <c r="C249" s="2"/>
    </row>
    <row r="250" spans="1:3" ht="14.25">
      <c r="A250" s="1"/>
      <c r="C250" s="2"/>
    </row>
    <row r="251" spans="1:3" ht="14.25">
      <c r="A251" s="1"/>
      <c r="C251" s="2"/>
    </row>
    <row r="252" spans="1:3" ht="14.25">
      <c r="A252" s="1"/>
      <c r="C252" s="2"/>
    </row>
    <row r="253" spans="1:3" ht="14.25">
      <c r="A253" s="1"/>
      <c r="C253" s="2"/>
    </row>
    <row r="254" spans="1:3" ht="14.25">
      <c r="A254" s="1"/>
      <c r="C254" s="2"/>
    </row>
    <row r="255" spans="1:3" ht="14.25">
      <c r="A255" s="1"/>
      <c r="C255" s="2"/>
    </row>
    <row r="256" spans="1:3" ht="14.25">
      <c r="A256" s="1"/>
      <c r="C256" s="2"/>
    </row>
    <row r="257" spans="1:3" ht="14.25">
      <c r="A257" s="1"/>
      <c r="C257" s="2"/>
    </row>
    <row r="258" spans="1:3" ht="14.25">
      <c r="A258" s="1"/>
      <c r="C258" s="2"/>
    </row>
    <row r="259" spans="1:3" ht="14.25">
      <c r="A259" s="1"/>
      <c r="C259" s="2"/>
    </row>
    <row r="260" spans="1:3" ht="14.25">
      <c r="A260" s="1"/>
      <c r="C260" s="2"/>
    </row>
    <row r="261" spans="1:3" ht="14.25">
      <c r="A261" s="1"/>
      <c r="C261" s="2"/>
    </row>
    <row r="262" spans="1:3" ht="14.25">
      <c r="A262" s="1"/>
      <c r="C262" s="2"/>
    </row>
    <row r="263" spans="1:3" ht="14.25">
      <c r="A263" s="1"/>
      <c r="C263" s="2"/>
    </row>
    <row r="264" spans="1:3" ht="14.25">
      <c r="A264" s="1"/>
      <c r="C264" s="2"/>
    </row>
    <row r="265" spans="1:3" ht="14.25">
      <c r="A265" s="1"/>
      <c r="C265" s="2"/>
    </row>
    <row r="266" spans="1:3" ht="14.25">
      <c r="A266" s="1"/>
      <c r="C266" s="2"/>
    </row>
    <row r="267" spans="1:3" ht="14.25">
      <c r="A267" s="1"/>
      <c r="C267" s="2"/>
    </row>
    <row r="268" spans="1:3" ht="14.25">
      <c r="A268" s="1"/>
      <c r="C268" s="2"/>
    </row>
    <row r="269" spans="1:3" ht="14.25">
      <c r="A269" s="1"/>
      <c r="C269" s="2"/>
    </row>
    <row r="270" spans="1:3" ht="14.25">
      <c r="A270" s="1"/>
      <c r="C270" s="2"/>
    </row>
    <row r="271" spans="1:3" ht="14.25">
      <c r="A271" s="1"/>
      <c r="C271" s="2"/>
    </row>
    <row r="272" spans="1:3" ht="14.25">
      <c r="A272" s="1"/>
      <c r="C272" s="2"/>
    </row>
    <row r="273" spans="1:3" ht="14.25">
      <c r="A273" s="1"/>
      <c r="C273" s="2"/>
    </row>
    <row r="274" spans="1:3" ht="14.25">
      <c r="A274" s="1"/>
      <c r="C274" s="2"/>
    </row>
    <row r="275" spans="1:3" ht="14.25">
      <c r="A275" s="1"/>
      <c r="C275" s="2"/>
    </row>
    <row r="276" spans="1:3" ht="14.25">
      <c r="A276" s="1"/>
      <c r="C276" s="2"/>
    </row>
    <row r="277" spans="1:3" ht="14.25">
      <c r="A277" s="1"/>
      <c r="C277" s="2"/>
    </row>
    <row r="278" spans="1:3" ht="14.25">
      <c r="A278" s="1"/>
      <c r="C278" s="2"/>
    </row>
    <row r="279" spans="1:3" ht="14.25">
      <c r="A279" s="1"/>
      <c r="C279" s="2"/>
    </row>
    <row r="280" spans="1:3" ht="14.25">
      <c r="A280" s="1"/>
      <c r="C280" s="2"/>
    </row>
    <row r="281" spans="1:3" ht="14.25">
      <c r="A281" s="1"/>
      <c r="C281" s="2"/>
    </row>
    <row r="282" spans="1:3" ht="14.25">
      <c r="A282" s="1"/>
      <c r="C282" s="2"/>
    </row>
    <row r="283" spans="1:3" ht="14.25">
      <c r="A283" s="1"/>
      <c r="C283" s="2"/>
    </row>
    <row r="284" spans="1:3" ht="14.25">
      <c r="A284" s="1"/>
      <c r="C284" s="2"/>
    </row>
    <row r="285" spans="1:3" ht="14.25">
      <c r="A285" s="1"/>
      <c r="C285" s="2"/>
    </row>
    <row r="286" spans="1:3" ht="14.25">
      <c r="A286" s="1"/>
      <c r="C286" s="2"/>
    </row>
    <row r="287" spans="1:3" ht="14.25">
      <c r="A287" s="1"/>
      <c r="C287" s="2"/>
    </row>
    <row r="288" spans="1:3" ht="14.25">
      <c r="A288" s="1"/>
      <c r="C288" s="2"/>
    </row>
    <row r="289" spans="1:3" ht="14.25">
      <c r="A289" s="1"/>
      <c r="C289" s="2"/>
    </row>
    <row r="290" spans="1:3" ht="14.25">
      <c r="A290" s="1"/>
      <c r="C290" s="2"/>
    </row>
    <row r="291" spans="1:3" ht="14.25">
      <c r="A291" s="1"/>
      <c r="C291" s="2"/>
    </row>
    <row r="292" spans="1:3" ht="14.25">
      <c r="A292" s="1"/>
      <c r="C292" s="2"/>
    </row>
    <row r="293" spans="1:3" ht="14.25">
      <c r="A293" s="1"/>
      <c r="C293" s="2"/>
    </row>
    <row r="294" spans="1:3" ht="14.25">
      <c r="A294" s="1"/>
      <c r="C294" s="2"/>
    </row>
    <row r="295" spans="1:3" ht="14.25">
      <c r="A295" s="1"/>
      <c r="C295" s="2"/>
    </row>
    <row r="296" spans="1:3" ht="14.25">
      <c r="A296" s="1"/>
      <c r="C296" s="2"/>
    </row>
    <row r="297" spans="1:3" ht="14.25">
      <c r="A297" s="1"/>
      <c r="C297" s="2"/>
    </row>
    <row r="298" spans="1:3" ht="14.25">
      <c r="A298" s="1"/>
      <c r="C298" s="2"/>
    </row>
    <row r="299" spans="1:3" ht="14.25">
      <c r="A299" s="1"/>
      <c r="C299" s="2"/>
    </row>
    <row r="300" spans="1:3" ht="14.25">
      <c r="A300" s="1"/>
      <c r="C300" s="2"/>
    </row>
    <row r="301" spans="1:3" ht="14.25">
      <c r="A301" s="1"/>
      <c r="C301" s="2"/>
    </row>
    <row r="302" spans="1:3" ht="14.25">
      <c r="A302" s="1"/>
      <c r="C302" s="2"/>
    </row>
    <row r="303" spans="1:3" ht="14.25">
      <c r="A303" s="1"/>
      <c r="C303" s="2"/>
    </row>
    <row r="304" spans="1:3" ht="14.25">
      <c r="A304" s="1"/>
      <c r="C304" s="2"/>
    </row>
    <row r="305" spans="1:3" ht="14.25">
      <c r="A305" s="1"/>
      <c r="C305" s="2"/>
    </row>
    <row r="306" spans="1:3" ht="14.25">
      <c r="A306" s="1"/>
      <c r="C306" s="2"/>
    </row>
    <row r="307" spans="1:3" ht="14.25">
      <c r="A307" s="1"/>
      <c r="C307" s="2"/>
    </row>
    <row r="308" spans="1:3" ht="14.25">
      <c r="A308" s="1"/>
      <c r="C308" s="2"/>
    </row>
    <row r="309" spans="1:3" ht="14.25">
      <c r="A309" s="1"/>
      <c r="C309" s="2"/>
    </row>
    <row r="310" spans="1:3" ht="14.25">
      <c r="A310" s="1"/>
      <c r="C310" s="2"/>
    </row>
    <row r="311" spans="1:3" ht="14.25">
      <c r="A311" s="1"/>
      <c r="C311" s="2"/>
    </row>
    <row r="312" spans="1:3" ht="14.25">
      <c r="A312" s="1"/>
      <c r="C312" s="2"/>
    </row>
    <row r="313" spans="1:3" ht="14.25">
      <c r="A313" s="1"/>
      <c r="C313" s="2"/>
    </row>
    <row r="314" spans="1:3" ht="14.25">
      <c r="A314" s="1"/>
      <c r="C314" s="2"/>
    </row>
    <row r="315" spans="1:3" ht="14.25">
      <c r="A315" s="1"/>
      <c r="C315" s="2"/>
    </row>
    <row r="316" spans="1:3" ht="14.25">
      <c r="A316" s="1"/>
      <c r="C316" s="2"/>
    </row>
    <row r="317" spans="1:3" ht="14.25">
      <c r="A317" s="1"/>
      <c r="C317" s="2"/>
    </row>
    <row r="318" spans="1:3" ht="14.25">
      <c r="A318" s="1"/>
      <c r="C318" s="2"/>
    </row>
    <row r="319" spans="1:3" ht="14.25">
      <c r="A319" s="1"/>
      <c r="C319" s="2"/>
    </row>
    <row r="320" spans="1:3" ht="14.25">
      <c r="A320" s="1"/>
      <c r="C320" s="2"/>
    </row>
    <row r="321" spans="1:3" ht="14.25">
      <c r="A321" s="1"/>
      <c r="C321" s="2"/>
    </row>
    <row r="322" spans="1:3" ht="14.25">
      <c r="A322" s="1"/>
      <c r="C322" s="2"/>
    </row>
    <row r="323" spans="1:3" ht="14.25">
      <c r="A323" s="1"/>
      <c r="C323" s="2"/>
    </row>
    <row r="324" spans="1:3" ht="14.25">
      <c r="A324" s="1"/>
      <c r="C324" s="2"/>
    </row>
    <row r="325" spans="1:3" ht="14.25">
      <c r="A325" s="1"/>
      <c r="C325" s="2"/>
    </row>
    <row r="326" spans="1:3" ht="14.25">
      <c r="A326" s="1"/>
      <c r="C326" s="2"/>
    </row>
    <row r="327" spans="1:3" ht="14.25">
      <c r="A327" s="1"/>
      <c r="C327" s="2"/>
    </row>
    <row r="328" spans="1:3" ht="14.25">
      <c r="A328" s="1"/>
      <c r="C328" s="2"/>
    </row>
    <row r="329" spans="1:3" ht="14.25">
      <c r="A329" s="1"/>
      <c r="C329" s="2"/>
    </row>
    <row r="330" spans="1:3" ht="14.25">
      <c r="A330" s="1"/>
      <c r="C330" s="2"/>
    </row>
    <row r="331" spans="1:3" ht="14.25">
      <c r="A331" s="1"/>
      <c r="C331" s="2"/>
    </row>
    <row r="332" spans="1:3" ht="14.25">
      <c r="A332" s="1"/>
      <c r="C332" s="2"/>
    </row>
    <row r="333" spans="1:3" ht="14.25">
      <c r="A333" s="1"/>
      <c r="C333" s="2"/>
    </row>
    <row r="334" spans="1:3" ht="14.25">
      <c r="A334" s="1"/>
      <c r="C334" s="2"/>
    </row>
    <row r="335" spans="1:3" ht="14.25">
      <c r="A335" s="1"/>
      <c r="C335" s="2"/>
    </row>
    <row r="336" spans="1:3" ht="14.25">
      <c r="A336" s="1"/>
      <c r="C336" s="2"/>
    </row>
    <row r="337" spans="1:3" ht="14.25">
      <c r="A337" s="1"/>
      <c r="C337" s="2"/>
    </row>
    <row r="338" spans="1:3" ht="14.25">
      <c r="A338" s="1"/>
      <c r="C338" s="2"/>
    </row>
    <row r="339" spans="1:3" ht="14.25">
      <c r="A339" s="1"/>
      <c r="C339" s="2"/>
    </row>
    <row r="340" spans="1:3" ht="14.25">
      <c r="A340" s="1"/>
      <c r="C340" s="2"/>
    </row>
    <row r="341" spans="1:3" ht="14.25">
      <c r="A341" s="1"/>
      <c r="C341" s="2"/>
    </row>
    <row r="342" spans="1:3" ht="14.25">
      <c r="A342" s="1"/>
      <c r="C342" s="2"/>
    </row>
    <row r="343" spans="1:3" ht="14.25">
      <c r="A343" s="1"/>
      <c r="C343" s="2"/>
    </row>
    <row r="344" spans="1:3" ht="14.25">
      <c r="A344" s="1"/>
      <c r="C344" s="2"/>
    </row>
    <row r="345" spans="1:3" ht="14.25">
      <c r="A345" s="1"/>
      <c r="C345" s="2"/>
    </row>
    <row r="346" spans="1:3" ht="14.25">
      <c r="A346" s="1"/>
      <c r="C346" s="2"/>
    </row>
    <row r="347" spans="1:3" ht="14.25">
      <c r="A347" s="1"/>
      <c r="C347" s="2"/>
    </row>
    <row r="348" spans="1:3" ht="14.25">
      <c r="A348" s="1"/>
      <c r="C348" s="2"/>
    </row>
    <row r="349" spans="1:3" ht="14.25">
      <c r="A349" s="1"/>
      <c r="C349" s="2"/>
    </row>
    <row r="350" spans="1:3" ht="14.25">
      <c r="A350" s="1"/>
      <c r="C350" s="2"/>
    </row>
    <row r="351" spans="1:3" ht="14.25">
      <c r="A351" s="1"/>
      <c r="C351" s="2"/>
    </row>
    <row r="352" spans="1:3" ht="14.25">
      <c r="A352" s="1"/>
      <c r="C352" s="2"/>
    </row>
    <row r="353" spans="1:3" ht="14.25">
      <c r="A353" s="1"/>
      <c r="C353" s="2"/>
    </row>
    <row r="354" spans="1:3" ht="14.25">
      <c r="A354" s="1"/>
      <c r="C354" s="2"/>
    </row>
    <row r="355" spans="1:3" ht="14.25">
      <c r="A355" s="1"/>
      <c r="C355" s="2"/>
    </row>
    <row r="356" spans="1:3" ht="14.25">
      <c r="A356" s="1"/>
      <c r="C356" s="2"/>
    </row>
    <row r="357" spans="1:3" ht="14.25">
      <c r="A357" s="1"/>
      <c r="C357" s="2"/>
    </row>
    <row r="358" spans="1:3" ht="14.25">
      <c r="A358" s="1"/>
      <c r="C358" s="2"/>
    </row>
    <row r="359" spans="1:3" ht="14.25">
      <c r="A359" s="1"/>
      <c r="C359" s="2"/>
    </row>
    <row r="360" spans="1:3" ht="14.25">
      <c r="A360" s="1"/>
      <c r="C360" s="2"/>
    </row>
    <row r="361" spans="1:3" ht="14.25">
      <c r="A361" s="1"/>
      <c r="C361" s="2"/>
    </row>
    <row r="362" spans="1:3" ht="14.25">
      <c r="A362" s="1"/>
      <c r="C362" s="2"/>
    </row>
    <row r="363" spans="1:3" ht="14.25">
      <c r="A363" s="1"/>
      <c r="C363" s="2"/>
    </row>
    <row r="364" spans="1:3" ht="14.25">
      <c r="A364" s="1"/>
      <c r="C364" s="2"/>
    </row>
    <row r="365" spans="1:3" ht="14.25">
      <c r="A365" s="1"/>
      <c r="C365" s="2"/>
    </row>
    <row r="366" spans="1:3" ht="14.25">
      <c r="A366" s="1"/>
      <c r="C366" s="2"/>
    </row>
    <row r="367" spans="1:3" ht="14.25">
      <c r="A367" s="1"/>
      <c r="C367" s="2"/>
    </row>
    <row r="368" spans="1:3" ht="14.25">
      <c r="A368" s="1"/>
      <c r="C368" s="2"/>
    </row>
    <row r="369" spans="1:3" ht="14.25">
      <c r="A369" s="1"/>
      <c r="C369" s="2"/>
    </row>
    <row r="370" spans="1:3" ht="14.25">
      <c r="A370" s="1"/>
      <c r="C370" s="2"/>
    </row>
    <row r="371" spans="1:3" ht="14.25">
      <c r="A371" s="1"/>
      <c r="C371" s="2"/>
    </row>
    <row r="372" spans="1:3" ht="14.25">
      <c r="A372" s="1"/>
      <c r="C372" s="2"/>
    </row>
    <row r="373" spans="1:3" ht="14.25">
      <c r="A373" s="1"/>
      <c r="C373" s="2"/>
    </row>
    <row r="374" spans="1:3" ht="14.25">
      <c r="A374" s="1"/>
      <c r="C374" s="2"/>
    </row>
    <row r="375" spans="1:3" ht="14.25">
      <c r="A375" s="1"/>
      <c r="C375" s="2"/>
    </row>
    <row r="376" spans="1:3" ht="14.25">
      <c r="A376" s="1"/>
      <c r="C376" s="2"/>
    </row>
    <row r="377" spans="1:3" ht="14.25">
      <c r="A377" s="1"/>
      <c r="C377" s="2"/>
    </row>
    <row r="378" spans="1:3" ht="14.25">
      <c r="A378" s="1"/>
      <c r="C378" s="2"/>
    </row>
    <row r="379" spans="1:3" ht="14.25">
      <c r="A379" s="1"/>
      <c r="C379" s="2"/>
    </row>
    <row r="380" spans="1:3" ht="14.25">
      <c r="A380" s="1"/>
      <c r="C380" s="2"/>
    </row>
    <row r="381" spans="1:3" ht="14.25">
      <c r="A381" s="1"/>
      <c r="C381" s="2"/>
    </row>
    <row r="382" spans="1:3" ht="14.25">
      <c r="A382" s="1"/>
      <c r="C382" s="2"/>
    </row>
    <row r="383" spans="1:3" ht="14.25">
      <c r="A383" s="1"/>
      <c r="C383" s="2"/>
    </row>
    <row r="384" spans="1:3" ht="14.25">
      <c r="A384" s="1"/>
      <c r="C384" s="2"/>
    </row>
    <row r="385" spans="1:3" ht="14.25">
      <c r="A385" s="1"/>
      <c r="C385" s="2"/>
    </row>
    <row r="386" spans="1:3" ht="14.25">
      <c r="A386" s="1"/>
      <c r="C386" s="2"/>
    </row>
    <row r="387" spans="1:3" ht="14.25">
      <c r="A387" s="1"/>
      <c r="C387" s="2"/>
    </row>
    <row r="388" spans="1:3" ht="14.25">
      <c r="A388" s="1"/>
      <c r="C388" s="2"/>
    </row>
    <row r="389" spans="1:3" ht="14.25">
      <c r="A389" s="1"/>
      <c r="C389" s="2"/>
    </row>
    <row r="390" spans="1:3" ht="14.25">
      <c r="A390" s="1"/>
      <c r="C390" s="2"/>
    </row>
    <row r="391" spans="1:3" ht="14.25">
      <c r="A391" s="1"/>
      <c r="C391" s="2"/>
    </row>
    <row r="392" spans="1:3" ht="14.25">
      <c r="A392" s="1"/>
      <c r="C392" s="2"/>
    </row>
    <row r="393" spans="1:3" ht="14.25">
      <c r="A393" s="1"/>
      <c r="C393" s="2"/>
    </row>
    <row r="394" spans="1:3" ht="14.25">
      <c r="A394" s="1"/>
      <c r="C394" s="2"/>
    </row>
    <row r="395" spans="1:3" ht="14.25">
      <c r="A395" s="1"/>
      <c r="C395" s="2"/>
    </row>
    <row r="396" spans="1:3" ht="14.25">
      <c r="A396" s="1"/>
      <c r="C396" s="2"/>
    </row>
    <row r="397" spans="1:3" ht="14.25">
      <c r="A397" s="1"/>
      <c r="C397" s="2"/>
    </row>
    <row r="398" spans="1:3" ht="14.25">
      <c r="A398" s="1"/>
      <c r="C398" s="2"/>
    </row>
    <row r="399" spans="1:3" ht="14.25">
      <c r="A399" s="1"/>
      <c r="C399" s="2"/>
    </row>
    <row r="400" spans="1:3" ht="14.25">
      <c r="A400" s="1"/>
      <c r="C400" s="2"/>
    </row>
    <row r="401" spans="1:3" ht="14.25">
      <c r="A401" s="1"/>
      <c r="C401" s="2"/>
    </row>
    <row r="402" spans="1:3" ht="14.25">
      <c r="A402" s="1"/>
      <c r="C402" s="2"/>
    </row>
    <row r="403" spans="1:3" ht="14.25">
      <c r="A403" s="1"/>
      <c r="C403" s="2"/>
    </row>
    <row r="404" spans="1:3" ht="14.25">
      <c r="A404" s="1"/>
      <c r="C404" s="2"/>
    </row>
    <row r="405" spans="1:3" ht="14.25">
      <c r="A405" s="1"/>
      <c r="C405" s="2"/>
    </row>
    <row r="406" spans="1:3" ht="14.25">
      <c r="A406" s="1"/>
      <c r="C406" s="2"/>
    </row>
    <row r="407" spans="1:3" ht="14.25">
      <c r="A407" s="1"/>
      <c r="C407" s="2"/>
    </row>
    <row r="408" spans="1:3" ht="14.25">
      <c r="A408" s="1"/>
      <c r="C408" s="2"/>
    </row>
    <row r="409" spans="1:3" ht="14.25">
      <c r="A409" s="1"/>
      <c r="C409" s="2"/>
    </row>
    <row r="410" spans="1:3" ht="14.25">
      <c r="A410" s="1"/>
      <c r="C410" s="2"/>
    </row>
    <row r="411" spans="1:3" ht="14.25">
      <c r="A411" s="1"/>
      <c r="C411" s="2"/>
    </row>
    <row r="412" spans="1:3" ht="14.25">
      <c r="A412" s="1"/>
      <c r="C412" s="2"/>
    </row>
    <row r="413" spans="1:3" ht="14.25">
      <c r="A413" s="1"/>
      <c r="C413" s="2"/>
    </row>
    <row r="414" spans="1:3" ht="14.25">
      <c r="A414" s="1"/>
      <c r="C414" s="2"/>
    </row>
    <row r="415" spans="1:3" ht="14.25">
      <c r="A415" s="1"/>
      <c r="C415" s="2"/>
    </row>
    <row r="416" spans="1:3" ht="14.25">
      <c r="A416" s="1"/>
      <c r="C416" s="2"/>
    </row>
    <row r="417" spans="1:3" ht="14.25">
      <c r="A417" s="1"/>
      <c r="C417" s="2"/>
    </row>
    <row r="418" spans="1:3" ht="14.25">
      <c r="A418" s="1"/>
      <c r="C418" s="2"/>
    </row>
    <row r="419" spans="1:3" ht="14.25">
      <c r="A419" s="1"/>
      <c r="C419" s="2"/>
    </row>
    <row r="420" spans="1:3" ht="14.25">
      <c r="A420" s="1"/>
      <c r="C420" s="2"/>
    </row>
    <row r="421" spans="1:3" ht="14.25">
      <c r="A421" s="1"/>
      <c r="C421" s="2"/>
    </row>
    <row r="422" spans="1:3" ht="14.25">
      <c r="A422" s="1"/>
      <c r="C422" s="2"/>
    </row>
    <row r="423" spans="1:3" ht="14.25">
      <c r="A423" s="1"/>
      <c r="C423" s="2"/>
    </row>
    <row r="424" spans="1:3" ht="14.25">
      <c r="A424" s="1"/>
      <c r="C424" s="2"/>
    </row>
    <row r="425" spans="1:3" ht="14.25">
      <c r="A425" s="1"/>
      <c r="C425" s="2"/>
    </row>
    <row r="426" spans="1:3" ht="14.25">
      <c r="A426" s="1"/>
      <c r="C426" s="2"/>
    </row>
    <row r="427" spans="1:3" ht="14.25">
      <c r="A427" s="1"/>
      <c r="C427" s="2"/>
    </row>
    <row r="428" spans="1:3" ht="14.25">
      <c r="A428" s="1"/>
      <c r="C428" s="2"/>
    </row>
    <row r="429" spans="1:3" ht="14.25">
      <c r="A429" s="1"/>
      <c r="C429" s="2"/>
    </row>
    <row r="430" spans="1:3" ht="14.25">
      <c r="A430" s="1"/>
      <c r="C430" s="2"/>
    </row>
    <row r="431" spans="1:3" ht="14.25">
      <c r="A431" s="1"/>
      <c r="C431" s="2"/>
    </row>
    <row r="432" spans="1:3" ht="14.25">
      <c r="A432" s="1"/>
      <c r="C432" s="2"/>
    </row>
    <row r="433" spans="1:3" ht="14.25">
      <c r="A433" s="1"/>
      <c r="C433" s="2"/>
    </row>
    <row r="434" spans="1:3" ht="14.25">
      <c r="A434" s="1"/>
      <c r="C434" s="2"/>
    </row>
    <row r="435" spans="1:3" ht="14.25">
      <c r="A435" s="1"/>
      <c r="C435" s="2"/>
    </row>
    <row r="436" spans="1:3" ht="14.25">
      <c r="A436" s="1"/>
      <c r="C436" s="2"/>
    </row>
    <row r="437" spans="1:3" ht="14.25">
      <c r="A437" s="1"/>
      <c r="C437" s="2"/>
    </row>
    <row r="438" spans="1:3" ht="14.25">
      <c r="A438" s="1"/>
      <c r="C438" s="2"/>
    </row>
    <row r="439" spans="1:3" ht="14.25">
      <c r="A439" s="1"/>
      <c r="C439" s="2"/>
    </row>
    <row r="440" spans="1:3" ht="14.25">
      <c r="A440" s="1"/>
      <c r="C440" s="2"/>
    </row>
    <row r="441" spans="1:3" ht="14.25">
      <c r="A441" s="1"/>
      <c r="C441" s="2"/>
    </row>
    <row r="442" spans="1:3" ht="14.25">
      <c r="A442" s="1"/>
      <c r="C442" s="2"/>
    </row>
    <row r="443" spans="1:3" ht="14.25">
      <c r="A443" s="1"/>
      <c r="C443" s="2"/>
    </row>
    <row r="444" spans="1:3" ht="14.25">
      <c r="A444" s="1"/>
      <c r="C444" s="2"/>
    </row>
    <row r="445" spans="1:3" ht="14.25">
      <c r="A445" s="1"/>
      <c r="C445" s="2"/>
    </row>
    <row r="446" spans="1:3" ht="14.25">
      <c r="A446" s="1"/>
      <c r="C446" s="2"/>
    </row>
    <row r="447" spans="1:3" ht="14.25">
      <c r="A447" s="1"/>
      <c r="C447" s="2"/>
    </row>
    <row r="448" spans="1:3" ht="14.25">
      <c r="A448" s="1"/>
      <c r="C448" s="2"/>
    </row>
    <row r="449" spans="1:3" ht="14.25">
      <c r="A449" s="1"/>
      <c r="C449" s="2"/>
    </row>
    <row r="450" spans="1:3" ht="14.25">
      <c r="A450" s="1"/>
      <c r="C450" s="2"/>
    </row>
    <row r="451" spans="1:3" ht="14.25">
      <c r="A451" s="1"/>
      <c r="C451" s="2"/>
    </row>
    <row r="452" spans="1:3" ht="14.25">
      <c r="A452" s="1"/>
      <c r="C452" s="2"/>
    </row>
    <row r="453" spans="1:3" ht="14.25">
      <c r="A453" s="1"/>
      <c r="C453" s="2"/>
    </row>
    <row r="454" spans="1:3" ht="14.25">
      <c r="A454" s="1"/>
      <c r="C454" s="2"/>
    </row>
    <row r="455" spans="1:3" ht="14.25">
      <c r="A455" s="1"/>
      <c r="C455" s="2"/>
    </row>
    <row r="456" spans="1:3" ht="14.25">
      <c r="A456" s="1"/>
      <c r="C456" s="2"/>
    </row>
    <row r="457" spans="1:3" ht="14.25">
      <c r="A457" s="1"/>
      <c r="C457" s="2"/>
    </row>
    <row r="458" spans="1:3" ht="14.25">
      <c r="A458" s="1"/>
      <c r="C458" s="2"/>
    </row>
    <row r="459" spans="1:3" ht="14.25">
      <c r="A459" s="1"/>
      <c r="C459" s="2"/>
    </row>
    <row r="460" spans="1:3" ht="14.25">
      <c r="A460" s="1"/>
      <c r="C460" s="2"/>
    </row>
    <row r="461" spans="1:3" ht="14.25">
      <c r="A461" s="1"/>
      <c r="C461" s="2"/>
    </row>
    <row r="462" spans="1:3" ht="14.25">
      <c r="A462" s="1"/>
      <c r="C462" s="2"/>
    </row>
    <row r="463" spans="1:3" ht="14.25">
      <c r="A463" s="1"/>
      <c r="C463" s="2"/>
    </row>
    <row r="464" spans="1:3" ht="14.25">
      <c r="A464" s="1"/>
      <c r="C464" s="2"/>
    </row>
    <row r="465" spans="1:3" ht="14.25">
      <c r="A465" s="1"/>
      <c r="C465" s="2"/>
    </row>
    <row r="466" spans="1:3" ht="14.25">
      <c r="A466" s="1"/>
      <c r="C466" s="2"/>
    </row>
    <row r="467" spans="1:3" ht="14.25">
      <c r="A467" s="1"/>
      <c r="C467" s="2"/>
    </row>
    <row r="468" spans="1:3" ht="14.25">
      <c r="A468" s="1"/>
      <c r="C468" s="2"/>
    </row>
    <row r="469" spans="1:3" ht="14.25">
      <c r="A469" s="1"/>
      <c r="C469" s="2"/>
    </row>
    <row r="470" spans="1:3" ht="14.25">
      <c r="A470" s="1"/>
      <c r="C470" s="2"/>
    </row>
    <row r="471" spans="1:3" ht="14.25">
      <c r="A471" s="1"/>
      <c r="C471" s="2"/>
    </row>
    <row r="472" spans="1:3" ht="14.25">
      <c r="A472" s="1"/>
      <c r="C472" s="2"/>
    </row>
    <row r="473" spans="1:3" ht="14.25">
      <c r="A473" s="1"/>
      <c r="C473" s="2"/>
    </row>
    <row r="474" spans="1:3" ht="14.25">
      <c r="A474" s="1"/>
      <c r="C474" s="2"/>
    </row>
    <row r="475" spans="1:3" ht="14.25">
      <c r="A475" s="1"/>
      <c r="C475" s="2"/>
    </row>
    <row r="476" spans="1:3" ht="14.25">
      <c r="A476" s="1"/>
      <c r="C476" s="2"/>
    </row>
    <row r="477" spans="1:3" ht="14.25">
      <c r="A477" s="1"/>
      <c r="C477" s="2"/>
    </row>
    <row r="478" spans="1:3" ht="14.25">
      <c r="A478" s="1"/>
      <c r="C478" s="2"/>
    </row>
    <row r="479" spans="1:3" ht="14.25">
      <c r="A479" s="1"/>
      <c r="C479" s="2"/>
    </row>
    <row r="480" spans="1:3" ht="14.25">
      <c r="A480" s="1"/>
      <c r="C480" s="2"/>
    </row>
    <row r="481" spans="1:3" ht="14.25">
      <c r="A481" s="1"/>
      <c r="C481" s="2"/>
    </row>
    <row r="482" spans="1:3" ht="14.25">
      <c r="A482" s="1"/>
      <c r="C482" s="2"/>
    </row>
    <row r="483" spans="1:3" ht="14.25">
      <c r="A483" s="1"/>
      <c r="C483" s="2"/>
    </row>
    <row r="484" spans="1:3" ht="14.25">
      <c r="A484" s="1"/>
      <c r="C484" s="2"/>
    </row>
    <row r="485" spans="1:3" ht="14.25">
      <c r="A485" s="1"/>
      <c r="C485" s="2"/>
    </row>
    <row r="486" spans="1:3" ht="14.25">
      <c r="A486" s="1"/>
      <c r="C486" s="2"/>
    </row>
    <row r="487" spans="1:3" ht="14.25">
      <c r="A487" s="1"/>
      <c r="C487" s="2"/>
    </row>
    <row r="488" spans="1:3" ht="14.25">
      <c r="A488" s="1"/>
      <c r="C488" s="2"/>
    </row>
    <row r="489" spans="1:3" ht="14.25">
      <c r="A489" s="1"/>
      <c r="C489" s="2"/>
    </row>
    <row r="490" spans="1:3" ht="14.25">
      <c r="A490" s="1"/>
      <c r="C490" s="2"/>
    </row>
    <row r="491" spans="1:3" ht="14.25">
      <c r="A491" s="1"/>
      <c r="C491" s="2"/>
    </row>
    <row r="492" spans="1:3" ht="14.25">
      <c r="A492" s="1"/>
      <c r="C492" s="2"/>
    </row>
    <row r="493" spans="1:3" ht="14.25">
      <c r="A493" s="1"/>
      <c r="C493" s="2"/>
    </row>
    <row r="494" spans="1:3" ht="14.25">
      <c r="A494" s="1"/>
      <c r="C494" s="2"/>
    </row>
    <row r="495" spans="1:3" ht="14.25">
      <c r="A495" s="1"/>
      <c r="C495" s="2"/>
    </row>
    <row r="496" spans="1:3" ht="14.25">
      <c r="A496" s="1"/>
      <c r="C496" s="2"/>
    </row>
    <row r="497" spans="1:3" ht="14.25">
      <c r="A497" s="1"/>
      <c r="C497" s="2"/>
    </row>
    <row r="498" spans="1:3" ht="14.25">
      <c r="A498" s="1"/>
      <c r="C498" s="2"/>
    </row>
    <row r="499" spans="1:3" ht="14.25">
      <c r="A499" s="1"/>
      <c r="C499" s="2"/>
    </row>
    <row r="500" spans="1:3" ht="14.25">
      <c r="A500" s="1"/>
      <c r="C500" s="2"/>
    </row>
    <row r="501" spans="1:3" ht="14.25">
      <c r="A501" s="1"/>
      <c r="C501" s="2"/>
    </row>
    <row r="502" spans="1:3" ht="14.25">
      <c r="A502" s="1"/>
      <c r="C502" s="2"/>
    </row>
    <row r="503" spans="1:3" ht="14.25">
      <c r="A503" s="1"/>
      <c r="C503" s="2"/>
    </row>
    <row r="504" spans="1:3" ht="14.25">
      <c r="A504" s="1"/>
      <c r="C504" s="2"/>
    </row>
    <row r="505" spans="1:3" ht="14.25">
      <c r="A505" s="1"/>
      <c r="C505" s="2"/>
    </row>
    <row r="506" spans="1:3" ht="14.25">
      <c r="A506" s="1"/>
      <c r="C506" s="2"/>
    </row>
    <row r="507" spans="1:3" ht="14.25">
      <c r="A507" s="1"/>
      <c r="C507" s="2"/>
    </row>
    <row r="508" spans="1:3" ht="14.25">
      <c r="A508" s="1"/>
      <c r="C508" s="2"/>
    </row>
    <row r="509" spans="1:3" ht="14.25">
      <c r="A509" s="1"/>
      <c r="C509" s="2"/>
    </row>
    <row r="510" spans="1:3" ht="14.25">
      <c r="A510" s="1"/>
      <c r="C510" s="2"/>
    </row>
    <row r="511" spans="1:3" ht="14.25">
      <c r="A511" s="1"/>
      <c r="C511" s="2"/>
    </row>
    <row r="512" spans="1:3" ht="14.25">
      <c r="A512" s="1"/>
      <c r="C512" s="2"/>
    </row>
    <row r="513" spans="1:3" ht="14.25">
      <c r="A513" s="1"/>
      <c r="C513" s="2"/>
    </row>
    <row r="514" spans="1:3" ht="14.25">
      <c r="A514" s="1"/>
      <c r="C514" s="2"/>
    </row>
    <row r="515" spans="1:3" ht="14.25">
      <c r="A515" s="1"/>
      <c r="C515" s="2"/>
    </row>
    <row r="516" spans="1:3" ht="14.25">
      <c r="A516" s="1"/>
      <c r="C516" s="2"/>
    </row>
    <row r="517" spans="1:3" ht="14.25">
      <c r="A517" s="1"/>
      <c r="C517" s="2"/>
    </row>
    <row r="518" spans="1:3" ht="14.25">
      <c r="A518" s="1"/>
      <c r="C518" s="2"/>
    </row>
    <row r="519" spans="1:3" ht="14.25">
      <c r="A519" s="1"/>
      <c r="C519" s="2"/>
    </row>
    <row r="520" spans="1:3" ht="14.25">
      <c r="A520" s="1"/>
      <c r="C520" s="2"/>
    </row>
    <row r="521" spans="1:3" ht="14.25">
      <c r="A521" s="1"/>
      <c r="C521" s="2"/>
    </row>
    <row r="522" spans="1:3" ht="14.25">
      <c r="A522" s="1"/>
      <c r="C522" s="2"/>
    </row>
    <row r="523" spans="1:3" ht="14.25">
      <c r="A523" s="1"/>
      <c r="C523" s="2"/>
    </row>
    <row r="524" spans="1:3" ht="14.25">
      <c r="A524" s="1"/>
      <c r="C524" s="2"/>
    </row>
    <row r="525" spans="1:3" ht="14.25">
      <c r="A525" s="1"/>
      <c r="C525" s="2"/>
    </row>
    <row r="526" spans="1:3" ht="14.25">
      <c r="A526" s="1"/>
      <c r="C526" s="2"/>
    </row>
    <row r="527" spans="1:3" ht="14.25">
      <c r="A527" s="1"/>
      <c r="C527" s="2"/>
    </row>
    <row r="528" spans="1:3" ht="14.25">
      <c r="A528" s="1"/>
      <c r="C528" s="2"/>
    </row>
    <row r="529" spans="1:3" ht="14.25">
      <c r="A529" s="1"/>
      <c r="C529" s="2"/>
    </row>
    <row r="530" spans="1:3" ht="14.25">
      <c r="A530" s="1"/>
      <c r="C530" s="2"/>
    </row>
    <row r="531" spans="1:3" ht="14.25">
      <c r="A531" s="1"/>
      <c r="C531" s="2"/>
    </row>
    <row r="532" spans="1:3" ht="14.25">
      <c r="A532" s="1"/>
      <c r="C532" s="2"/>
    </row>
    <row r="533" spans="1:3" ht="14.25">
      <c r="A533" s="1"/>
      <c r="C533" s="2"/>
    </row>
    <row r="534" spans="1:3" ht="14.25">
      <c r="A534" s="1"/>
      <c r="C534" s="2"/>
    </row>
    <row r="535" spans="1:3" ht="14.25">
      <c r="A535" s="1"/>
      <c r="C535" s="2"/>
    </row>
    <row r="536" spans="1:3" ht="14.25">
      <c r="A536" s="1"/>
      <c r="C536" s="2"/>
    </row>
    <row r="537" spans="1:3" ht="14.25">
      <c r="A537" s="1"/>
      <c r="C537" s="2"/>
    </row>
    <row r="538" spans="1:3" ht="14.25">
      <c r="A538" s="1"/>
      <c r="C538" s="2"/>
    </row>
    <row r="539" spans="1:3" ht="14.25">
      <c r="A539" s="1"/>
      <c r="C539" s="2"/>
    </row>
    <row r="540" spans="1:3" ht="14.25">
      <c r="A540" s="1"/>
      <c r="C540" s="2"/>
    </row>
    <row r="541" spans="1:3" ht="14.25">
      <c r="A541" s="1"/>
      <c r="C541" s="2"/>
    </row>
    <row r="542" spans="1:3" ht="14.25">
      <c r="A542" s="1"/>
      <c r="C542" s="2"/>
    </row>
    <row r="543" spans="1:3" ht="14.25">
      <c r="A543" s="1"/>
      <c r="C543" s="2"/>
    </row>
    <row r="544" spans="1:3" ht="14.25">
      <c r="A544" s="1"/>
      <c r="C544" s="2"/>
    </row>
    <row r="545" spans="1:3" ht="14.25">
      <c r="A545" s="1"/>
      <c r="C545" s="2"/>
    </row>
    <row r="546" spans="1:3" ht="14.25">
      <c r="A546" s="1"/>
      <c r="C546" s="2"/>
    </row>
    <row r="547" spans="1:3" ht="14.25">
      <c r="A547" s="1"/>
      <c r="C547" s="2"/>
    </row>
    <row r="548" spans="1:3" ht="14.25">
      <c r="A548" s="1"/>
      <c r="C548" s="2"/>
    </row>
    <row r="549" spans="1:3" ht="14.25">
      <c r="A549" s="1"/>
      <c r="C549" s="2"/>
    </row>
    <row r="550" spans="1:3" ht="14.25">
      <c r="A550" s="1"/>
      <c r="C550" s="2"/>
    </row>
    <row r="551" spans="1:3" ht="14.25">
      <c r="A551" s="1"/>
      <c r="C551" s="2"/>
    </row>
    <row r="552" spans="1:3" ht="14.25">
      <c r="A552" s="1"/>
      <c r="C552" s="2"/>
    </row>
    <row r="553" spans="1:3" ht="14.25">
      <c r="A553" s="1"/>
      <c r="C553" s="2"/>
    </row>
    <row r="554" spans="1:3" ht="14.25">
      <c r="A554" s="1"/>
      <c r="C554" s="2"/>
    </row>
    <row r="555" spans="1:3" ht="14.25">
      <c r="A555" s="1"/>
      <c r="C555" s="2"/>
    </row>
    <row r="556" spans="1:3" ht="14.25">
      <c r="A556" s="1"/>
      <c r="C556" s="2"/>
    </row>
    <row r="557" spans="1:3" ht="14.25">
      <c r="A557" s="1"/>
      <c r="C557" s="2"/>
    </row>
    <row r="558" spans="1:3" ht="14.25">
      <c r="A558" s="1"/>
      <c r="C558" s="2"/>
    </row>
    <row r="559" spans="1:3" ht="14.25">
      <c r="A559" s="1"/>
      <c r="C559" s="2"/>
    </row>
    <row r="560" spans="1:3" ht="14.25">
      <c r="A560" s="1"/>
      <c r="C560" s="2"/>
    </row>
    <row r="561" spans="1:3" ht="14.25">
      <c r="A561" s="1"/>
      <c r="C561" s="2"/>
    </row>
    <row r="562" spans="1:3" ht="14.25">
      <c r="A562" s="1"/>
      <c r="C562" s="2"/>
    </row>
    <row r="563" spans="1:3" ht="14.25">
      <c r="A563" s="1"/>
      <c r="C563" s="2"/>
    </row>
    <row r="564" spans="1:3" ht="14.25">
      <c r="A564" s="1"/>
      <c r="C564" s="2"/>
    </row>
    <row r="565" spans="1:3" ht="14.25">
      <c r="A565" s="1"/>
      <c r="C565" s="2"/>
    </row>
    <row r="566" spans="1:3" ht="14.25">
      <c r="A566" s="1"/>
      <c r="C566" s="2"/>
    </row>
    <row r="567" spans="1:3" ht="14.25">
      <c r="A567" s="1"/>
      <c r="C567" s="2"/>
    </row>
    <row r="568" spans="1:3" ht="14.25">
      <c r="A568" s="1"/>
      <c r="C568" s="2"/>
    </row>
    <row r="569" spans="1:3" ht="14.25">
      <c r="A569" s="1"/>
      <c r="C569" s="2"/>
    </row>
    <row r="570" spans="1:3" ht="14.25">
      <c r="A570" s="1"/>
      <c r="C570" s="2"/>
    </row>
    <row r="571" spans="1:3" ht="14.25">
      <c r="A571" s="1"/>
      <c r="C571" s="2"/>
    </row>
    <row r="572" spans="1:3" ht="14.25">
      <c r="A572" s="1"/>
      <c r="C572" s="2"/>
    </row>
    <row r="573" spans="1:3" ht="14.25">
      <c r="A573" s="1"/>
      <c r="C573" s="2"/>
    </row>
    <row r="574" spans="1:3" ht="14.25">
      <c r="A574" s="1"/>
      <c r="C574" s="2"/>
    </row>
    <row r="575" spans="1:3" ht="14.25">
      <c r="A575" s="1"/>
      <c r="C575" s="2"/>
    </row>
    <row r="576" spans="1:3" ht="14.25">
      <c r="A576" s="1"/>
      <c r="C576" s="2"/>
    </row>
    <row r="577" spans="1:3" ht="14.25">
      <c r="A577" s="1"/>
      <c r="C577" s="2"/>
    </row>
    <row r="578" spans="1:3" ht="14.25">
      <c r="A578" s="1"/>
      <c r="C578" s="2"/>
    </row>
    <row r="579" spans="1:3" ht="14.25">
      <c r="A579" s="1"/>
      <c r="C579" s="2"/>
    </row>
    <row r="580" spans="1:3" ht="14.25">
      <c r="A580" s="1"/>
      <c r="C580" s="2"/>
    </row>
    <row r="581" spans="1:3" ht="14.25">
      <c r="A581" s="1"/>
      <c r="C581" s="2"/>
    </row>
    <row r="582" spans="1:3" ht="14.25">
      <c r="A582" s="1"/>
      <c r="C582" s="2"/>
    </row>
    <row r="583" spans="1:3" ht="14.25">
      <c r="A583" s="1"/>
      <c r="C583" s="2"/>
    </row>
    <row r="584" spans="1:3" ht="14.25">
      <c r="A584" s="1"/>
      <c r="C584" s="2"/>
    </row>
    <row r="585" spans="1:3" ht="14.25">
      <c r="A585" s="1"/>
      <c r="C585" s="2"/>
    </row>
    <row r="586" spans="1:3" ht="14.25">
      <c r="A586" s="1"/>
      <c r="C586" s="2"/>
    </row>
    <row r="587" spans="1:3" ht="14.25">
      <c r="A587" s="1"/>
      <c r="C587" s="2"/>
    </row>
    <row r="588" spans="1:3" ht="14.25">
      <c r="A588" s="1"/>
      <c r="C588" s="2"/>
    </row>
    <row r="589" spans="1:3" ht="14.25">
      <c r="A589" s="1"/>
      <c r="C589" s="2"/>
    </row>
    <row r="590" spans="1:3" ht="14.25">
      <c r="A590" s="1"/>
      <c r="C590" s="2"/>
    </row>
    <row r="591" spans="1:3" ht="14.25">
      <c r="A591" s="1"/>
      <c r="C591" s="2"/>
    </row>
    <row r="592" spans="1:3" ht="14.25">
      <c r="A592" s="1"/>
      <c r="C592" s="2"/>
    </row>
    <row r="593" spans="1:3" ht="14.25">
      <c r="A593" s="1"/>
      <c r="C593" s="2"/>
    </row>
    <row r="594" spans="1:3" ht="14.25">
      <c r="A594" s="1"/>
      <c r="C594" s="2"/>
    </row>
    <row r="595" spans="1:3" ht="14.25">
      <c r="A595" s="1"/>
      <c r="C595" s="2"/>
    </row>
    <row r="596" spans="1:3" ht="14.25">
      <c r="A596" s="1"/>
      <c r="C596" s="2"/>
    </row>
    <row r="597" spans="1:3" ht="14.25">
      <c r="A597" s="1"/>
      <c r="C597" s="2"/>
    </row>
    <row r="598" spans="1:3" ht="14.25">
      <c r="A598" s="1"/>
      <c r="C598" s="2"/>
    </row>
    <row r="599" spans="1:3" ht="14.25">
      <c r="A599" s="1"/>
      <c r="C599" s="2"/>
    </row>
    <row r="600" spans="1:3" ht="14.25">
      <c r="A600" s="1"/>
      <c r="C600" s="2"/>
    </row>
    <row r="601" spans="1:3" ht="14.25">
      <c r="A601" s="1"/>
      <c r="C601" s="2"/>
    </row>
    <row r="602" spans="1:3" ht="14.25">
      <c r="A602" s="1"/>
      <c r="C602" s="2"/>
    </row>
    <row r="603" spans="1:3" ht="14.25">
      <c r="A603" s="1"/>
      <c r="C603" s="2"/>
    </row>
    <row r="604" spans="1:3" ht="14.25">
      <c r="A604" s="1"/>
      <c r="C604" s="2"/>
    </row>
    <row r="605" spans="1:3" ht="14.25">
      <c r="A605" s="1"/>
      <c r="C605" s="2"/>
    </row>
    <row r="606" spans="1:3" ht="14.25">
      <c r="A606" s="1"/>
      <c r="C606" s="2"/>
    </row>
    <row r="607" spans="1:3" ht="14.25">
      <c r="A607" s="1"/>
      <c r="C607" s="2"/>
    </row>
    <row r="608" spans="1:3" ht="14.25">
      <c r="A608" s="1"/>
      <c r="C608" s="2"/>
    </row>
    <row r="609" spans="1:3" ht="14.25">
      <c r="A609" s="1"/>
      <c r="C609" s="2"/>
    </row>
    <row r="610" spans="1:3" ht="14.25">
      <c r="A610" s="1"/>
      <c r="C610" s="2"/>
    </row>
    <row r="611" spans="1:3" ht="14.25">
      <c r="A611" s="1"/>
      <c r="C611" s="2"/>
    </row>
    <row r="612" spans="1:3" ht="14.25">
      <c r="A612" s="1"/>
      <c r="C612" s="2"/>
    </row>
    <row r="613" spans="1:3" ht="14.25">
      <c r="A613" s="1"/>
      <c r="C613" s="2"/>
    </row>
    <row r="614" spans="1:3" ht="14.25">
      <c r="A614" s="1"/>
      <c r="C614" s="2"/>
    </row>
    <row r="615" spans="1:3" ht="14.25">
      <c r="A615" s="1"/>
      <c r="C615" s="2"/>
    </row>
    <row r="616" spans="1:3" ht="14.25">
      <c r="A616" s="1"/>
      <c r="C616" s="2"/>
    </row>
    <row r="617" spans="1:3" ht="14.25">
      <c r="A617" s="1"/>
      <c r="C617" s="2"/>
    </row>
    <row r="618" spans="1:3" ht="14.25">
      <c r="A618" s="1"/>
      <c r="C618" s="2"/>
    </row>
    <row r="619" spans="1:3" ht="14.25">
      <c r="A619" s="1"/>
      <c r="C619" s="2"/>
    </row>
    <row r="620" spans="1:3" ht="14.25">
      <c r="A620" s="1"/>
      <c r="C620" s="2"/>
    </row>
    <row r="621" spans="1:3" ht="14.25">
      <c r="A621" s="1"/>
      <c r="C621" s="2"/>
    </row>
    <row r="622" spans="1:3" ht="14.25">
      <c r="A622" s="1"/>
      <c r="C622" s="2"/>
    </row>
    <row r="623" spans="1:3" ht="14.25">
      <c r="A623" s="1"/>
      <c r="C623" s="2"/>
    </row>
    <row r="624" spans="1:3" ht="14.25">
      <c r="A624" s="1"/>
      <c r="C624" s="2"/>
    </row>
    <row r="625" spans="1:3" ht="14.25">
      <c r="A625" s="1"/>
      <c r="C625" s="2"/>
    </row>
    <row r="626" spans="1:3" ht="14.25">
      <c r="A626" s="1"/>
      <c r="C626" s="2"/>
    </row>
    <row r="627" spans="1:3" ht="14.25">
      <c r="A627" s="1"/>
      <c r="C627" s="2"/>
    </row>
    <row r="628" spans="1:3" ht="14.25">
      <c r="A628" s="1"/>
      <c r="C628" s="2"/>
    </row>
    <row r="629" spans="1:3" ht="14.25">
      <c r="A629" s="1"/>
      <c r="C629" s="2"/>
    </row>
    <row r="630" spans="1:3" ht="14.25">
      <c r="A630" s="1"/>
      <c r="C630" s="2"/>
    </row>
    <row r="631" spans="1:3" ht="14.25">
      <c r="A631" s="1"/>
      <c r="C631" s="2"/>
    </row>
    <row r="632" spans="1:3" ht="14.25">
      <c r="A632" s="1"/>
      <c r="C632" s="2"/>
    </row>
    <row r="633" spans="1:3" ht="14.25">
      <c r="A633" s="1"/>
      <c r="C633" s="2"/>
    </row>
    <row r="634" spans="1:3" ht="14.25">
      <c r="A634" s="1"/>
      <c r="C634" s="2"/>
    </row>
    <row r="635" spans="1:3" ht="14.25">
      <c r="A635" s="1"/>
      <c r="C635" s="2"/>
    </row>
    <row r="636" spans="1:3" ht="14.25">
      <c r="A636" s="1"/>
      <c r="C636" s="2"/>
    </row>
    <row r="637" spans="1:3" ht="14.25">
      <c r="A637" s="1"/>
      <c r="C637" s="2"/>
    </row>
    <row r="638" spans="1:3" ht="14.25">
      <c r="A638" s="1"/>
      <c r="C638" s="2"/>
    </row>
    <row r="639" spans="1:3" ht="14.25">
      <c r="A639" s="1"/>
      <c r="C639" s="2"/>
    </row>
    <row r="640" spans="1:3" ht="14.25">
      <c r="A640" s="1"/>
      <c r="C640" s="2"/>
    </row>
    <row r="641" spans="1:3" ht="14.25">
      <c r="A641" s="1"/>
      <c r="C641" s="2"/>
    </row>
    <row r="642" spans="1:3" ht="14.25">
      <c r="A642" s="1"/>
      <c r="C642" s="2"/>
    </row>
    <row r="643" spans="1:3" ht="14.25">
      <c r="A643" s="1"/>
      <c r="C643" s="2"/>
    </row>
    <row r="644" spans="1:3" ht="14.25">
      <c r="A644" s="1"/>
      <c r="C644" s="2"/>
    </row>
    <row r="645" spans="1:3" ht="14.25">
      <c r="A645" s="1"/>
      <c r="C645" s="2"/>
    </row>
    <row r="646" spans="1:3" ht="14.25">
      <c r="A646" s="1"/>
      <c r="C646" s="2"/>
    </row>
    <row r="647" spans="1:3" ht="14.25">
      <c r="A647" s="1"/>
      <c r="C647" s="2"/>
    </row>
    <row r="648" spans="1:3" ht="14.25">
      <c r="A648" s="1"/>
      <c r="C648" s="2"/>
    </row>
    <row r="649" spans="1:3" ht="14.25">
      <c r="A649" s="1"/>
      <c r="C649" s="2"/>
    </row>
    <row r="650" spans="1:3" ht="14.25">
      <c r="A650" s="1"/>
      <c r="C650" s="2"/>
    </row>
    <row r="651" spans="1:3" ht="14.25">
      <c r="A651" s="1"/>
      <c r="C651" s="2"/>
    </row>
    <row r="652" spans="1:3" ht="14.25">
      <c r="A652" s="1"/>
      <c r="C652" s="2"/>
    </row>
    <row r="653" spans="1:3" ht="14.25">
      <c r="A653" s="1"/>
      <c r="C653" s="2"/>
    </row>
    <row r="654" spans="1:3" ht="14.25">
      <c r="A654" s="1"/>
      <c r="C654" s="2"/>
    </row>
    <row r="655" spans="1:3" ht="14.25">
      <c r="A655" s="1"/>
      <c r="C655" s="2"/>
    </row>
    <row r="656" spans="1:3" ht="14.25">
      <c r="A656" s="1"/>
      <c r="C656" s="2"/>
    </row>
    <row r="657" spans="1:3" ht="14.25">
      <c r="A657" s="1"/>
      <c r="C657" s="2"/>
    </row>
    <row r="658" spans="1:3" ht="14.25">
      <c r="A658" s="1"/>
      <c r="C658" s="2"/>
    </row>
    <row r="659" spans="1:3" ht="14.25">
      <c r="A659" s="1"/>
      <c r="C659" s="2"/>
    </row>
    <row r="660" spans="1:3" ht="14.25">
      <c r="A660" s="1"/>
      <c r="C660" s="2"/>
    </row>
    <row r="661" spans="1:3" ht="14.25">
      <c r="A661" s="1"/>
      <c r="C661" s="2"/>
    </row>
    <row r="662" spans="1:3" ht="14.25">
      <c r="A662" s="1"/>
      <c r="C662" s="2"/>
    </row>
    <row r="663" spans="1:3" ht="14.25">
      <c r="A663" s="1"/>
      <c r="C663" s="2"/>
    </row>
    <row r="664" spans="1:3" ht="14.25">
      <c r="A664" s="1"/>
      <c r="C664" s="2"/>
    </row>
    <row r="665" spans="1:3" ht="14.25">
      <c r="A665" s="1"/>
      <c r="C665" s="2"/>
    </row>
    <row r="666" spans="1:3" ht="14.25">
      <c r="A666" s="1"/>
      <c r="C666" s="2"/>
    </row>
    <row r="667" spans="1:3" ht="14.25">
      <c r="A667" s="1"/>
      <c r="C667" s="2"/>
    </row>
    <row r="668" spans="1:3" ht="14.25">
      <c r="A668" s="1"/>
      <c r="C668" s="2"/>
    </row>
    <row r="669" spans="1:3" ht="14.25">
      <c r="A669" s="1"/>
      <c r="C669" s="2"/>
    </row>
    <row r="670" spans="1:3" ht="14.25">
      <c r="A670" s="1"/>
      <c r="C670" s="2"/>
    </row>
    <row r="671" spans="1:3" ht="14.25">
      <c r="A671" s="1"/>
      <c r="C671" s="2"/>
    </row>
    <row r="672" spans="1:3" ht="14.25">
      <c r="A672" s="1"/>
      <c r="C672" s="2"/>
    </row>
    <row r="673" spans="1:3" ht="14.25">
      <c r="A673" s="1"/>
      <c r="C673" s="2"/>
    </row>
    <row r="674" spans="1:3" ht="14.25">
      <c r="A674" s="1"/>
      <c r="C674" s="2"/>
    </row>
    <row r="675" spans="1:3" ht="14.25">
      <c r="A675" s="1"/>
      <c r="C675" s="2"/>
    </row>
    <row r="676" spans="1:3" ht="14.25">
      <c r="A676" s="1"/>
      <c r="C676" s="2"/>
    </row>
    <row r="677" spans="1:3" ht="14.25">
      <c r="A677" s="1"/>
      <c r="C677" s="2"/>
    </row>
    <row r="678" spans="1:3" ht="14.25">
      <c r="A678" s="1"/>
      <c r="C678" s="2"/>
    </row>
    <row r="679" spans="1:3" ht="14.25">
      <c r="A679" s="1"/>
      <c r="C679" s="2"/>
    </row>
    <row r="680" spans="1:3" ht="14.25">
      <c r="A680" s="1"/>
      <c r="C680" s="2"/>
    </row>
    <row r="681" spans="1:3" ht="14.25">
      <c r="A681" s="1"/>
      <c r="C681" s="2"/>
    </row>
    <row r="682" spans="1:3" ht="14.25">
      <c r="A682" s="1"/>
      <c r="C682" s="2"/>
    </row>
    <row r="683" spans="1:3" ht="14.25">
      <c r="A683" s="1"/>
      <c r="C683" s="2"/>
    </row>
    <row r="684" spans="1:3" ht="14.25">
      <c r="A684" s="1"/>
      <c r="C684" s="2"/>
    </row>
    <row r="685" spans="1:3" ht="14.25">
      <c r="A685" s="1"/>
      <c r="C685" s="2"/>
    </row>
    <row r="686" spans="1:3" ht="14.25">
      <c r="A686" s="1"/>
      <c r="C686" s="2"/>
    </row>
    <row r="687" spans="1:3" ht="14.25">
      <c r="A687" s="1"/>
      <c r="C687" s="2"/>
    </row>
    <row r="688" spans="1:3" ht="14.25">
      <c r="A688" s="1"/>
      <c r="C688" s="2"/>
    </row>
    <row r="689" spans="1:3" ht="14.25">
      <c r="A689" s="1"/>
      <c r="C689" s="2"/>
    </row>
    <row r="690" spans="1:3" ht="14.25">
      <c r="A690" s="1"/>
      <c r="C690" s="2"/>
    </row>
    <row r="691" spans="1:3" ht="14.25">
      <c r="A691" s="1"/>
      <c r="C691" s="2"/>
    </row>
    <row r="692" spans="1:3" ht="14.25">
      <c r="A692" s="1"/>
      <c r="C692" s="2"/>
    </row>
    <row r="693" spans="1:3" ht="14.25">
      <c r="A693" s="1"/>
      <c r="C693" s="2"/>
    </row>
    <row r="694" spans="1:3" ht="14.25">
      <c r="A694" s="1"/>
      <c r="C694" s="2"/>
    </row>
    <row r="695" spans="1:3" ht="14.25">
      <c r="A695" s="1"/>
      <c r="C695" s="2"/>
    </row>
    <row r="696" spans="1:3" ht="14.25">
      <c r="A696" s="1"/>
      <c r="C696" s="2"/>
    </row>
    <row r="697" spans="1:3" ht="14.25">
      <c r="A697" s="1"/>
      <c r="C697" s="2"/>
    </row>
    <row r="698" spans="1:3" ht="14.25">
      <c r="A698" s="1"/>
      <c r="C698" s="2"/>
    </row>
    <row r="699" spans="1:3" ht="14.25">
      <c r="A699" s="1"/>
      <c r="C699" s="2"/>
    </row>
    <row r="700" spans="1:3" ht="14.25">
      <c r="A700" s="1"/>
      <c r="C700" s="2"/>
    </row>
    <row r="701" spans="1:3" ht="14.25">
      <c r="A701" s="1"/>
      <c r="C701" s="2"/>
    </row>
    <row r="702" spans="1:3" ht="14.25">
      <c r="A702" s="1"/>
      <c r="C702" s="2"/>
    </row>
    <row r="703" spans="1:3" ht="14.25">
      <c r="A703" s="1"/>
      <c r="C703" s="2"/>
    </row>
    <row r="704" spans="1:3" ht="14.25">
      <c r="A704" s="1"/>
      <c r="C704" s="2"/>
    </row>
    <row r="705" spans="1:3" ht="14.25">
      <c r="A705" s="1"/>
      <c r="C705" s="2"/>
    </row>
    <row r="706" spans="1:3" ht="14.25">
      <c r="A706" s="1"/>
      <c r="C706" s="2"/>
    </row>
    <row r="707" spans="1:3" ht="14.25">
      <c r="A707" s="1"/>
      <c r="C707" s="2"/>
    </row>
    <row r="708" spans="1:3" ht="14.25">
      <c r="A708" s="1"/>
      <c r="C708" s="2"/>
    </row>
    <row r="709" spans="1:3" ht="14.25">
      <c r="A709" s="1"/>
      <c r="C709" s="2"/>
    </row>
    <row r="710" spans="1:3" ht="14.25">
      <c r="A710" s="1"/>
      <c r="C710" s="2"/>
    </row>
    <row r="711" spans="1:3" ht="14.25">
      <c r="A711" s="1"/>
      <c r="C711" s="2"/>
    </row>
    <row r="712" spans="1:3" ht="14.25">
      <c r="A712" s="1"/>
      <c r="C712" s="2"/>
    </row>
    <row r="713" spans="1:3" ht="14.25">
      <c r="A713" s="1"/>
      <c r="C713" s="2"/>
    </row>
    <row r="714" spans="1:3" ht="14.25">
      <c r="A714" s="1"/>
      <c r="C714" s="2"/>
    </row>
    <row r="715" spans="1:3" ht="14.25">
      <c r="A715" s="1"/>
      <c r="C715" s="2"/>
    </row>
    <row r="716" spans="1:3" ht="14.25">
      <c r="A716" s="1"/>
      <c r="C716" s="2"/>
    </row>
    <row r="717" spans="1:3" ht="14.25">
      <c r="A717" s="1"/>
      <c r="C717" s="2"/>
    </row>
    <row r="718" spans="1:3" ht="14.25">
      <c r="A718" s="1"/>
      <c r="C718" s="2"/>
    </row>
    <row r="719" spans="1:3" ht="14.25">
      <c r="A719" s="1"/>
      <c r="C719" s="2"/>
    </row>
    <row r="720" spans="1:3" ht="14.25">
      <c r="A720" s="1"/>
      <c r="C720" s="2"/>
    </row>
    <row r="721" spans="1:3" ht="14.25">
      <c r="A721" s="1"/>
      <c r="C721" s="2"/>
    </row>
    <row r="722" spans="1:3" ht="14.25">
      <c r="A722" s="1"/>
      <c r="C722" s="2"/>
    </row>
    <row r="723" spans="1:3" ht="14.25">
      <c r="A723" s="1"/>
      <c r="C723" s="2"/>
    </row>
    <row r="724" spans="1:3" ht="14.25">
      <c r="A724" s="1"/>
      <c r="C724" s="2"/>
    </row>
    <row r="725" spans="1:3" ht="14.25">
      <c r="A725" s="1"/>
      <c r="C725" s="2"/>
    </row>
    <row r="726" spans="1:3" ht="14.25">
      <c r="A726" s="1"/>
      <c r="C726" s="2"/>
    </row>
    <row r="727" spans="1:3" ht="14.25">
      <c r="A727" s="1"/>
      <c r="C727" s="2"/>
    </row>
    <row r="728" spans="1:3" ht="14.25">
      <c r="A728" s="1"/>
      <c r="C728" s="2"/>
    </row>
    <row r="729" spans="1:3" ht="14.25">
      <c r="A729" s="1"/>
      <c r="C729" s="2"/>
    </row>
    <row r="730" spans="1:3" ht="14.25">
      <c r="A730" s="1"/>
      <c r="C730" s="2"/>
    </row>
    <row r="731" spans="1:3" ht="14.25">
      <c r="A731" s="1"/>
      <c r="C731" s="2"/>
    </row>
    <row r="732" spans="1:3" ht="14.25">
      <c r="A732" s="1"/>
      <c r="C732" s="2"/>
    </row>
    <row r="733" spans="1:3" ht="14.25">
      <c r="A733" s="1"/>
      <c r="C733" s="2"/>
    </row>
    <row r="734" spans="1:3" ht="14.25">
      <c r="A734" s="1"/>
      <c r="C734" s="2"/>
    </row>
    <row r="735" spans="1:3" ht="14.25">
      <c r="A735" s="1"/>
      <c r="C735" s="2"/>
    </row>
    <row r="736" spans="1:3" ht="14.25">
      <c r="A736" s="1"/>
      <c r="C736" s="2"/>
    </row>
    <row r="737" spans="1:3" ht="14.25">
      <c r="A737" s="1"/>
      <c r="C737" s="2"/>
    </row>
    <row r="738" spans="1:3" ht="14.25">
      <c r="A738" s="1"/>
      <c r="C738" s="2"/>
    </row>
    <row r="739" spans="1:3" ht="14.25">
      <c r="A739" s="1"/>
      <c r="C739" s="2"/>
    </row>
    <row r="740" spans="1:3" ht="14.25">
      <c r="A740" s="1"/>
      <c r="C740" s="2"/>
    </row>
    <row r="741" spans="1:3" ht="14.25">
      <c r="A741" s="1"/>
      <c r="C741" s="2"/>
    </row>
    <row r="742" spans="1:3" ht="14.25">
      <c r="A742" s="1"/>
      <c r="C742" s="2"/>
    </row>
    <row r="743" spans="1:3" ht="14.25">
      <c r="A743" s="1"/>
      <c r="C743" s="2"/>
    </row>
    <row r="744" spans="1:3" ht="14.25">
      <c r="A744" s="1"/>
      <c r="C744" s="2"/>
    </row>
    <row r="745" spans="1:3" ht="14.25">
      <c r="A745" s="1"/>
      <c r="C745" s="2"/>
    </row>
    <row r="746" spans="1:3" ht="14.25">
      <c r="A746" s="1"/>
      <c r="C746" s="2"/>
    </row>
    <row r="747" spans="1:3" ht="14.25">
      <c r="A747" s="1"/>
      <c r="C747" s="2"/>
    </row>
    <row r="748" spans="1:3" ht="14.25">
      <c r="A748" s="1"/>
      <c r="C748" s="2"/>
    </row>
    <row r="749" spans="1:3" ht="14.25">
      <c r="A749" s="1"/>
      <c r="C749" s="2"/>
    </row>
    <row r="750" spans="1:3" ht="14.25">
      <c r="A750" s="1"/>
      <c r="C750" s="2"/>
    </row>
    <row r="751" spans="1:3" ht="14.25">
      <c r="A751" s="1"/>
      <c r="C751" s="2"/>
    </row>
    <row r="752" spans="1:3" ht="14.25">
      <c r="A752" s="1"/>
      <c r="C752" s="2"/>
    </row>
    <row r="753" spans="1:3" ht="14.25">
      <c r="A753" s="1"/>
      <c r="C753" s="2"/>
    </row>
    <row r="754" spans="1:3" ht="14.25">
      <c r="A754" s="1"/>
      <c r="C754" s="2"/>
    </row>
    <row r="755" spans="1:3" ht="14.25">
      <c r="A755" s="1"/>
      <c r="C755" s="2"/>
    </row>
    <row r="756" spans="1:3" ht="14.25">
      <c r="A756" s="1"/>
      <c r="C756" s="2"/>
    </row>
    <row r="757" spans="1:3" ht="14.25">
      <c r="A757" s="1"/>
      <c r="C757" s="2"/>
    </row>
    <row r="758" spans="1:3" ht="14.25">
      <c r="A758" s="1"/>
      <c r="C758" s="2"/>
    </row>
    <row r="759" spans="1:3" ht="14.25">
      <c r="A759" s="1"/>
      <c r="C759" s="2"/>
    </row>
    <row r="760" spans="1:3" ht="14.25">
      <c r="A760" s="1"/>
      <c r="C760" s="2"/>
    </row>
    <row r="761" spans="1:3" ht="14.25">
      <c r="A761" s="1"/>
      <c r="C761" s="2"/>
    </row>
    <row r="762" spans="1:3" ht="14.25">
      <c r="A762" s="1"/>
      <c r="C762" s="2"/>
    </row>
    <row r="763" spans="1:3" ht="14.25">
      <c r="A763" s="1"/>
      <c r="C763" s="2"/>
    </row>
    <row r="764" spans="1:3" ht="14.25">
      <c r="A764" s="1"/>
      <c r="C764" s="2"/>
    </row>
    <row r="765" spans="1:3" ht="14.25">
      <c r="A765" s="1"/>
      <c r="C765" s="2"/>
    </row>
    <row r="766" spans="1:3" ht="14.25">
      <c r="A766" s="1"/>
      <c r="C766" s="2"/>
    </row>
    <row r="767" spans="1:3" ht="14.25">
      <c r="A767" s="1"/>
      <c r="C767" s="2"/>
    </row>
    <row r="768" spans="1:3" ht="14.25">
      <c r="A768" s="1"/>
      <c r="C768" s="2"/>
    </row>
    <row r="769" spans="1:3" ht="14.25">
      <c r="A769" s="1"/>
      <c r="C769" s="2"/>
    </row>
    <row r="770" spans="1:3" ht="14.25">
      <c r="A770" s="1"/>
      <c r="C770" s="2"/>
    </row>
    <row r="771" spans="1:3" ht="14.25">
      <c r="A771" s="1"/>
      <c r="C771" s="2"/>
    </row>
    <row r="772" spans="1:3" ht="14.25">
      <c r="A772" s="1"/>
      <c r="C772" s="2"/>
    </row>
    <row r="773" spans="1:3" ht="14.25">
      <c r="A773" s="1"/>
      <c r="C773" s="2"/>
    </row>
    <row r="774" spans="1:3" ht="14.25">
      <c r="A774" s="1"/>
      <c r="C774" s="2"/>
    </row>
    <row r="775" spans="1:3" ht="14.25">
      <c r="A775" s="1"/>
      <c r="C775" s="2"/>
    </row>
    <row r="776" spans="1:3" ht="14.25">
      <c r="A776" s="1"/>
      <c r="C776" s="2"/>
    </row>
    <row r="777" spans="1:3" ht="14.25">
      <c r="A777" s="1"/>
      <c r="C777" s="2"/>
    </row>
    <row r="778" spans="1:3" ht="14.25">
      <c r="A778" s="1"/>
      <c r="C778" s="2"/>
    </row>
    <row r="779" spans="1:3" ht="14.25">
      <c r="A779" s="1"/>
      <c r="C779" s="2"/>
    </row>
    <row r="780" spans="1:3" ht="14.25">
      <c r="A780" s="1"/>
      <c r="C780" s="2"/>
    </row>
    <row r="781" spans="1:3" ht="14.25">
      <c r="A781" s="1"/>
      <c r="C781" s="2"/>
    </row>
    <row r="782" spans="1:3" ht="14.25">
      <c r="A782" s="1"/>
      <c r="C782" s="2"/>
    </row>
    <row r="783" spans="1:3" ht="14.25">
      <c r="A783" s="1"/>
      <c r="C783" s="2"/>
    </row>
    <row r="784" spans="1:3" ht="14.25">
      <c r="A784" s="1"/>
      <c r="C784" s="2"/>
    </row>
    <row r="785" spans="1:3" ht="14.25">
      <c r="A785" s="1"/>
      <c r="C785" s="2"/>
    </row>
    <row r="786" spans="1:3" ht="14.25">
      <c r="A786" s="1"/>
      <c r="C786" s="2"/>
    </row>
    <row r="787" spans="1:3" ht="14.25">
      <c r="A787" s="1"/>
      <c r="C787" s="2"/>
    </row>
    <row r="788" spans="1:3" ht="14.25">
      <c r="A788" s="1"/>
      <c r="C788" s="2"/>
    </row>
    <row r="789" spans="1:3" ht="14.25">
      <c r="A789" s="1"/>
      <c r="C789" s="2"/>
    </row>
    <row r="790" spans="1:3" ht="14.25">
      <c r="A790" s="1"/>
      <c r="C790" s="2"/>
    </row>
    <row r="791" spans="1:3" ht="14.25">
      <c r="A791" s="1"/>
      <c r="C791" s="2"/>
    </row>
    <row r="792" spans="1:3" ht="14.25">
      <c r="A792" s="1"/>
      <c r="C792" s="2"/>
    </row>
    <row r="793" spans="1:3" ht="14.25">
      <c r="A793" s="1"/>
      <c r="C793" s="2"/>
    </row>
    <row r="794" spans="1:3" ht="14.25">
      <c r="A794" s="1"/>
      <c r="C794" s="2"/>
    </row>
    <row r="795" spans="1:3" ht="14.25">
      <c r="A795" s="1"/>
      <c r="C795" s="2"/>
    </row>
    <row r="796" spans="1:3" ht="14.25">
      <c r="A796" s="1"/>
      <c r="C796" s="2"/>
    </row>
    <row r="797" spans="1:3" ht="14.25">
      <c r="A797" s="1"/>
      <c r="C797" s="2"/>
    </row>
    <row r="798" spans="1:3" ht="14.25">
      <c r="A798" s="1"/>
      <c r="C798" s="2"/>
    </row>
    <row r="799" spans="1:3" ht="14.25">
      <c r="A799" s="1"/>
      <c r="C799" s="2"/>
    </row>
    <row r="800" spans="1:3" ht="14.25">
      <c r="A800" s="1"/>
      <c r="C800" s="2"/>
    </row>
    <row r="801" spans="1:3" ht="14.25">
      <c r="A801" s="1"/>
      <c r="C801" s="2"/>
    </row>
    <row r="802" spans="1:3" ht="14.25">
      <c r="A802" s="1"/>
      <c r="C802" s="2"/>
    </row>
    <row r="803" spans="1:3" ht="14.25">
      <c r="A803" s="1"/>
      <c r="C803" s="2"/>
    </row>
    <row r="804" spans="1:3" ht="14.25">
      <c r="A804" s="1"/>
      <c r="C804" s="2"/>
    </row>
    <row r="805" spans="1:3" ht="14.25">
      <c r="A805" s="1"/>
      <c r="C805" s="2"/>
    </row>
    <row r="806" spans="1:3" ht="14.25">
      <c r="A806" s="1"/>
      <c r="C806" s="2"/>
    </row>
    <row r="807" spans="1:3" ht="14.25">
      <c r="A807" s="1"/>
      <c r="C807" s="2"/>
    </row>
    <row r="808" spans="1:3" ht="14.25">
      <c r="A808" s="1"/>
      <c r="C808" s="2"/>
    </row>
    <row r="809" spans="1:3" ht="14.25">
      <c r="A809" s="1"/>
      <c r="C809" s="2"/>
    </row>
    <row r="810" spans="1:3" ht="14.25">
      <c r="A810" s="1"/>
      <c r="C810" s="2"/>
    </row>
    <row r="811" spans="1:3" ht="14.25">
      <c r="A811" s="1"/>
      <c r="C811" s="2"/>
    </row>
    <row r="812" spans="1:3" ht="14.25">
      <c r="A812" s="1"/>
      <c r="C812" s="2"/>
    </row>
    <row r="813" spans="1:3" ht="14.25">
      <c r="A813" s="1"/>
      <c r="C813" s="2"/>
    </row>
    <row r="814" spans="1:3" ht="14.25">
      <c r="A814" s="1"/>
      <c r="C814" s="2"/>
    </row>
    <row r="815" spans="1:3" ht="14.25">
      <c r="A815" s="1"/>
      <c r="C815" s="2"/>
    </row>
    <row r="816" spans="1:3" ht="14.25">
      <c r="A816" s="1"/>
      <c r="C816" s="2"/>
    </row>
    <row r="817" spans="1:3" ht="14.25">
      <c r="A817" s="1"/>
      <c r="C817" s="2"/>
    </row>
    <row r="818" spans="1:3" ht="14.25">
      <c r="A818" s="1"/>
      <c r="C818" s="2"/>
    </row>
    <row r="819" spans="1:3" ht="14.25">
      <c r="A819" s="1"/>
      <c r="C819" s="2"/>
    </row>
    <row r="820" spans="1:3" ht="14.25">
      <c r="A820" s="1"/>
      <c r="C820" s="2"/>
    </row>
    <row r="821" spans="1:3" ht="14.25">
      <c r="A821" s="1"/>
      <c r="C821" s="2"/>
    </row>
    <row r="822" spans="1:3" ht="14.25">
      <c r="A822" s="1"/>
      <c r="C822" s="2"/>
    </row>
    <row r="823" spans="1:3" ht="14.25">
      <c r="A823" s="1"/>
      <c r="C823" s="2"/>
    </row>
    <row r="824" spans="1:3" ht="14.25">
      <c r="A824" s="1"/>
      <c r="C824" s="2"/>
    </row>
    <row r="825" spans="1:3" ht="14.25">
      <c r="A825" s="1"/>
      <c r="C825" s="2"/>
    </row>
    <row r="826" spans="1:3" ht="14.25">
      <c r="A826" s="1"/>
      <c r="C826" s="2"/>
    </row>
    <row r="827" spans="1:3" ht="14.25">
      <c r="A827" s="1"/>
      <c r="C827" s="2"/>
    </row>
    <row r="828" spans="1:3" ht="14.25">
      <c r="A828" s="1"/>
      <c r="C828" s="2"/>
    </row>
    <row r="829" spans="1:3" ht="14.25">
      <c r="A829" s="1"/>
      <c r="C829" s="2"/>
    </row>
    <row r="830" spans="1:3" ht="14.25">
      <c r="A830" s="1"/>
      <c r="C830" s="2"/>
    </row>
    <row r="831" spans="1:3" ht="14.25">
      <c r="A831" s="1"/>
      <c r="C831" s="2"/>
    </row>
    <row r="832" spans="1:3" ht="14.25">
      <c r="A832" s="1"/>
      <c r="C832" s="2"/>
    </row>
    <row r="833" spans="1:3" ht="14.25">
      <c r="A833" s="1"/>
      <c r="C833" s="2"/>
    </row>
    <row r="834" spans="1:3" ht="14.25">
      <c r="A834" s="1"/>
      <c r="C834" s="2"/>
    </row>
    <row r="835" spans="1:3" ht="14.25">
      <c r="A835" s="1"/>
      <c r="C835" s="2"/>
    </row>
    <row r="836" spans="1:3" ht="14.25">
      <c r="A836" s="1"/>
      <c r="C836" s="2"/>
    </row>
    <row r="837" spans="1:3" ht="14.25">
      <c r="A837" s="1"/>
      <c r="C837" s="2"/>
    </row>
    <row r="838" spans="1:3" ht="14.25">
      <c r="A838" s="1"/>
      <c r="C838" s="2"/>
    </row>
    <row r="839" spans="1:3" ht="14.25">
      <c r="A839" s="1"/>
      <c r="C839" s="2"/>
    </row>
    <row r="840" spans="1:3" ht="14.25">
      <c r="A840" s="1"/>
      <c r="C840" s="2"/>
    </row>
    <row r="841" spans="1:3" ht="14.25">
      <c r="A841" s="1"/>
      <c r="C841" s="2"/>
    </row>
    <row r="842" spans="1:3" ht="14.25">
      <c r="A842" s="1"/>
      <c r="C842" s="2"/>
    </row>
    <row r="843" spans="1:3" ht="14.25">
      <c r="A843" s="1"/>
      <c r="C843" s="2"/>
    </row>
    <row r="844" spans="1:3" ht="14.25">
      <c r="A844" s="1"/>
      <c r="C844" s="2"/>
    </row>
    <row r="845" spans="1:3" ht="14.25">
      <c r="A845" s="1"/>
      <c r="C845" s="2"/>
    </row>
    <row r="846" spans="1:3" ht="14.25">
      <c r="A846" s="1"/>
      <c r="C846" s="2"/>
    </row>
    <row r="847" spans="1:3" ht="14.25">
      <c r="A847" s="1"/>
      <c r="C847" s="2"/>
    </row>
    <row r="848" spans="1:3" ht="14.25">
      <c r="A848" s="1"/>
      <c r="C848" s="2"/>
    </row>
    <row r="849" spans="1:3" ht="14.25">
      <c r="A849" s="1"/>
      <c r="C849" s="2"/>
    </row>
    <row r="850" spans="1:3" ht="14.25">
      <c r="A850" s="1"/>
      <c r="C850" s="2"/>
    </row>
    <row r="851" spans="1:3" ht="14.25">
      <c r="A851" s="1"/>
      <c r="C851" s="2"/>
    </row>
    <row r="852" spans="1:3" ht="14.25">
      <c r="A852" s="1"/>
      <c r="C852" s="2"/>
    </row>
    <row r="853" spans="1:3" ht="14.25">
      <c r="A853" s="1"/>
      <c r="C853" s="2"/>
    </row>
    <row r="854" spans="1:3" ht="14.25">
      <c r="A854" s="1"/>
      <c r="C854" s="2"/>
    </row>
    <row r="855" spans="1:3" ht="14.25">
      <c r="A855" s="1"/>
      <c r="C855" s="2"/>
    </row>
    <row r="856" spans="1:3" ht="14.25">
      <c r="A856" s="1"/>
      <c r="C856" s="2"/>
    </row>
    <row r="857" spans="1:3" ht="14.25">
      <c r="A857" s="1"/>
      <c r="C857" s="2"/>
    </row>
    <row r="858" spans="1:3" ht="14.25">
      <c r="A858" s="1"/>
      <c r="C858" s="2"/>
    </row>
    <row r="859" spans="1:3" ht="14.25">
      <c r="A859" s="1"/>
      <c r="C859" s="2"/>
    </row>
    <row r="860" spans="1:3" ht="14.25">
      <c r="A860" s="1"/>
      <c r="C860" s="2"/>
    </row>
    <row r="861" spans="1:3" ht="14.25">
      <c r="A861" s="1"/>
      <c r="C861" s="2"/>
    </row>
    <row r="862" spans="1:3" ht="14.25">
      <c r="A862" s="1"/>
      <c r="C862" s="2"/>
    </row>
    <row r="863" spans="1:3" ht="14.25">
      <c r="A863" s="1"/>
      <c r="C863" s="2"/>
    </row>
    <row r="864" spans="1:3" ht="14.25">
      <c r="A864" s="1"/>
      <c r="C864" s="2"/>
    </row>
    <row r="865" spans="1:3" ht="14.25">
      <c r="A865" s="1"/>
      <c r="C865" s="2"/>
    </row>
    <row r="866" spans="1:3" ht="14.25">
      <c r="A866" s="1"/>
      <c r="C866" s="2"/>
    </row>
    <row r="867" spans="1:3" ht="14.25">
      <c r="A867" s="1"/>
      <c r="C867" s="2"/>
    </row>
    <row r="868" spans="1:3" ht="14.25">
      <c r="A868" s="1"/>
      <c r="C868" s="2"/>
    </row>
    <row r="869" spans="1:3" ht="14.25">
      <c r="A869" s="1"/>
      <c r="C869" s="2"/>
    </row>
    <row r="870" spans="1:3" ht="14.25">
      <c r="A870" s="1"/>
      <c r="C870" s="2"/>
    </row>
    <row r="871" spans="1:3" ht="14.25">
      <c r="A871" s="1"/>
      <c r="C871" s="2"/>
    </row>
    <row r="872" spans="1:3" ht="14.25">
      <c r="A872" s="1"/>
      <c r="C872" s="2"/>
    </row>
    <row r="873" spans="1:3" ht="14.25">
      <c r="A873" s="1"/>
      <c r="C873" s="2"/>
    </row>
    <row r="874" spans="1:3" ht="14.25">
      <c r="A874" s="1"/>
      <c r="C874" s="2"/>
    </row>
    <row r="875" spans="1:3" ht="14.25">
      <c r="A875" s="1"/>
      <c r="C875" s="2"/>
    </row>
    <row r="876" spans="1:3" ht="14.25">
      <c r="A876" s="1"/>
      <c r="C876" s="2"/>
    </row>
    <row r="877" spans="1:3" ht="14.25">
      <c r="A877" s="1"/>
      <c r="C877" s="2"/>
    </row>
    <row r="878" spans="1:3" ht="14.25">
      <c r="A878" s="1"/>
      <c r="C878" s="2"/>
    </row>
    <row r="879" spans="1:3" ht="14.25">
      <c r="A879" s="1"/>
      <c r="C879" s="2"/>
    </row>
    <row r="880" spans="1:3" ht="14.25">
      <c r="A880" s="1"/>
      <c r="C880" s="2"/>
    </row>
    <row r="881" spans="1:3" ht="14.25">
      <c r="A881" s="1"/>
      <c r="C881" s="2"/>
    </row>
    <row r="882" spans="1:3" ht="14.25">
      <c r="A882" s="1"/>
      <c r="C882" s="2"/>
    </row>
    <row r="883" spans="1:3" ht="14.25">
      <c r="A883" s="1"/>
      <c r="C883" s="2"/>
    </row>
    <row r="884" spans="1:3" ht="14.25">
      <c r="A884" s="1"/>
      <c r="C884" s="2"/>
    </row>
    <row r="885" spans="1:3" ht="14.25">
      <c r="A885" s="1"/>
      <c r="C885" s="2"/>
    </row>
    <row r="886" spans="1:3" ht="14.25">
      <c r="A886" s="1"/>
      <c r="C886" s="2"/>
    </row>
    <row r="887" spans="1:3" ht="14.25">
      <c r="A887" s="1"/>
      <c r="C887" s="2"/>
    </row>
    <row r="888" spans="1:3" ht="14.25">
      <c r="A888" s="1"/>
      <c r="C888" s="2"/>
    </row>
    <row r="889" spans="1:3" ht="14.25">
      <c r="A889" s="1"/>
      <c r="C889" s="2"/>
    </row>
    <row r="890" spans="1:3" ht="14.25">
      <c r="A890" s="1"/>
      <c r="C890" s="2"/>
    </row>
    <row r="891" spans="1:3" ht="14.25">
      <c r="A891" s="1"/>
      <c r="C891" s="2"/>
    </row>
    <row r="892" spans="1:3" ht="14.25">
      <c r="A892" s="1"/>
      <c r="C892" s="2"/>
    </row>
    <row r="893" spans="1:3" ht="14.25">
      <c r="A893" s="1"/>
      <c r="C893" s="2"/>
    </row>
    <row r="894" spans="1:3" ht="14.25">
      <c r="A894" s="1"/>
      <c r="C894" s="2"/>
    </row>
    <row r="895" spans="1:3" ht="14.25">
      <c r="A895" s="1"/>
      <c r="C895" s="2"/>
    </row>
    <row r="896" spans="1:3" ht="14.25">
      <c r="A896" s="1"/>
      <c r="C896" s="2"/>
    </row>
    <row r="897" spans="1:3" ht="14.25">
      <c r="A897" s="1"/>
      <c r="C897" s="2"/>
    </row>
    <row r="898" spans="1:3" ht="14.25">
      <c r="A898" s="1"/>
      <c r="C898" s="2"/>
    </row>
    <row r="899" spans="1:3" ht="14.25">
      <c r="A899" s="1"/>
      <c r="C899" s="2"/>
    </row>
    <row r="900" spans="1:3" ht="14.25">
      <c r="A900" s="1"/>
      <c r="C900" s="2"/>
    </row>
    <row r="901" spans="1:3" ht="14.25">
      <c r="A901" s="1"/>
      <c r="C901" s="2"/>
    </row>
    <row r="902" spans="1:3" ht="14.25">
      <c r="A902" s="1"/>
      <c r="C902" s="2"/>
    </row>
    <row r="903" spans="1:3" ht="14.25">
      <c r="A903" s="1"/>
      <c r="C903" s="2"/>
    </row>
    <row r="904" spans="1:3" ht="14.25">
      <c r="A904" s="1"/>
      <c r="C904" s="2"/>
    </row>
    <row r="905" spans="1:3" ht="14.25">
      <c r="A905" s="1"/>
      <c r="C905" s="2"/>
    </row>
    <row r="906" spans="1:3" ht="14.25">
      <c r="A906" s="1"/>
      <c r="C906" s="2"/>
    </row>
    <row r="907" spans="1:3" ht="14.25">
      <c r="A907" s="1"/>
      <c r="C907" s="2"/>
    </row>
    <row r="908" spans="1:3" ht="14.25">
      <c r="A908" s="1"/>
      <c r="C908" s="2"/>
    </row>
    <row r="909" spans="1:3" ht="14.25">
      <c r="A909" s="1"/>
      <c r="C909" s="2"/>
    </row>
    <row r="910" spans="1:3" ht="14.25">
      <c r="A910" s="1"/>
      <c r="C910" s="2"/>
    </row>
    <row r="911" spans="1:3" ht="14.25">
      <c r="A911" s="1"/>
      <c r="C911" s="2"/>
    </row>
    <row r="912" spans="1:3" ht="14.25">
      <c r="A912" s="1"/>
      <c r="C912" s="2"/>
    </row>
    <row r="913" spans="1:3" ht="14.25">
      <c r="A913" s="1"/>
      <c r="C913" s="2"/>
    </row>
    <row r="914" spans="1:3" ht="14.25">
      <c r="A914" s="1"/>
      <c r="C914" s="2"/>
    </row>
    <row r="915" spans="1:3" ht="14.25">
      <c r="A915" s="1"/>
      <c r="C915" s="2"/>
    </row>
    <row r="916" spans="1:3" ht="14.25">
      <c r="A916" s="1"/>
      <c r="C916" s="2"/>
    </row>
    <row r="917" spans="1:3" ht="14.25">
      <c r="A917" s="1"/>
      <c r="C917" s="2"/>
    </row>
    <row r="918" spans="1:3" ht="14.25">
      <c r="A918" s="1"/>
      <c r="C918" s="2"/>
    </row>
    <row r="919" spans="1:3" ht="14.25">
      <c r="A919" s="1"/>
      <c r="C919" s="2"/>
    </row>
    <row r="920" spans="1:3" ht="14.25">
      <c r="A920" s="1"/>
      <c r="C920" s="2"/>
    </row>
    <row r="921" spans="1:3" ht="14.25">
      <c r="A921" s="1"/>
      <c r="C921" s="2"/>
    </row>
    <row r="922" spans="1:3" ht="14.25">
      <c r="A922" s="1"/>
      <c r="C922" s="2"/>
    </row>
    <row r="923" spans="1:3" ht="14.25">
      <c r="A923" s="1"/>
      <c r="C923" s="2"/>
    </row>
    <row r="924" spans="1:3" ht="14.25">
      <c r="A924" s="1"/>
      <c r="C924" s="2"/>
    </row>
    <row r="925" spans="1:3" ht="14.25">
      <c r="A925" s="1"/>
      <c r="C925" s="2"/>
    </row>
    <row r="926" spans="1:3" ht="14.25">
      <c r="A926" s="1"/>
      <c r="C926" s="2"/>
    </row>
    <row r="927" spans="1:3" ht="14.25">
      <c r="A927" s="1"/>
      <c r="C927" s="2"/>
    </row>
    <row r="928" spans="1:3" ht="14.25">
      <c r="A928" s="1"/>
      <c r="C928" s="2"/>
    </row>
    <row r="929" spans="1:3" ht="14.25">
      <c r="A929" s="1"/>
      <c r="C929" s="2"/>
    </row>
    <row r="930" spans="1:3" ht="14.25">
      <c r="A930" s="1"/>
      <c r="C930" s="2"/>
    </row>
    <row r="931" spans="1:3" ht="14.25">
      <c r="A931" s="1"/>
      <c r="C931" s="2"/>
    </row>
    <row r="932" spans="1:3" ht="14.25">
      <c r="A932" s="1"/>
      <c r="C932" s="2"/>
    </row>
    <row r="933" spans="1:3" ht="14.25">
      <c r="A933" s="1"/>
      <c r="C933" s="2"/>
    </row>
    <row r="934" spans="1:3" ht="14.25">
      <c r="A934" s="1"/>
      <c r="C934" s="2"/>
    </row>
    <row r="935" spans="1:3" ht="14.25">
      <c r="A935" s="1"/>
      <c r="C935" s="2"/>
    </row>
    <row r="936" spans="1:3" ht="14.25">
      <c r="A936" s="1"/>
      <c r="C936" s="2"/>
    </row>
    <row r="937" spans="1:3" ht="14.25">
      <c r="A937" s="1"/>
      <c r="C937" s="2"/>
    </row>
    <row r="938" spans="1:3" ht="14.25">
      <c r="A938" s="1"/>
      <c r="C938" s="2"/>
    </row>
    <row r="939" spans="1:3" ht="14.25">
      <c r="A939" s="1"/>
      <c r="C939" s="2"/>
    </row>
    <row r="940" spans="1:3" ht="14.25">
      <c r="A940" s="1"/>
      <c r="C940" s="2"/>
    </row>
    <row r="941" spans="1:3" ht="14.25">
      <c r="A941" s="1"/>
      <c r="C941" s="2"/>
    </row>
    <row r="942" spans="1:3" ht="14.25">
      <c r="A942" s="1"/>
      <c r="C942" s="2"/>
    </row>
    <row r="943" spans="1:3" ht="14.25">
      <c r="A943" s="1"/>
      <c r="C943" s="2"/>
    </row>
    <row r="944" spans="1:3" ht="14.25">
      <c r="A944" s="1"/>
      <c r="C944" s="2"/>
    </row>
    <row r="945" spans="1:3" ht="14.25">
      <c r="A945" s="1"/>
      <c r="C945" s="2"/>
    </row>
    <row r="946" spans="1:3" ht="14.25">
      <c r="A946" s="1"/>
      <c r="C946" s="2"/>
    </row>
    <row r="947" spans="1:3" ht="14.25">
      <c r="A947" s="1"/>
      <c r="C947" s="2"/>
    </row>
    <row r="948" spans="1:3" ht="14.25">
      <c r="A948" s="1"/>
      <c r="C948" s="2"/>
    </row>
    <row r="949" spans="1:3" ht="14.25">
      <c r="A949" s="1"/>
      <c r="C949" s="2"/>
    </row>
    <row r="950" spans="1:3" ht="14.25">
      <c r="A950" s="1"/>
      <c r="C950" s="2"/>
    </row>
    <row r="951" spans="1:3" ht="14.25">
      <c r="A951" s="1"/>
      <c r="C951" s="2"/>
    </row>
    <row r="952" spans="1:3" ht="14.25">
      <c r="A952" s="1"/>
      <c r="C952" s="2"/>
    </row>
    <row r="953" spans="1:3" ht="14.25">
      <c r="A953" s="1"/>
      <c r="C953" s="2"/>
    </row>
    <row r="954" spans="1:3" ht="14.25">
      <c r="A954" s="1"/>
      <c r="C954" s="2"/>
    </row>
    <row r="955" spans="1:3" ht="14.25">
      <c r="A955" s="1"/>
      <c r="C955" s="2"/>
    </row>
    <row r="956" spans="1:3" ht="14.25">
      <c r="A956" s="1"/>
      <c r="C956" s="2"/>
    </row>
    <row r="957" spans="1:3" ht="14.25">
      <c r="A957" s="1"/>
      <c r="C957" s="2"/>
    </row>
    <row r="958" spans="1:3" ht="14.25">
      <c r="A958" s="1"/>
      <c r="C958" s="2"/>
    </row>
    <row r="959" spans="1:3" ht="14.25">
      <c r="A959" s="1"/>
      <c r="C959" s="2"/>
    </row>
    <row r="960" spans="1:3" ht="14.25">
      <c r="A960" s="1"/>
      <c r="C960" s="2"/>
    </row>
    <row r="961" spans="1:3" ht="14.25">
      <c r="A961" s="1"/>
      <c r="C961" s="2"/>
    </row>
    <row r="962" spans="1:3" ht="14.25">
      <c r="A962" s="1"/>
      <c r="C962" s="2"/>
    </row>
    <row r="963" spans="1:3" ht="14.25">
      <c r="A963" s="1"/>
      <c r="C963" s="2"/>
    </row>
    <row r="964" spans="1:3" ht="14.25">
      <c r="A964" s="1"/>
      <c r="C964" s="2"/>
    </row>
    <row r="965" spans="1:3" ht="14.25">
      <c r="A965" s="1"/>
      <c r="C965" s="2"/>
    </row>
    <row r="966" spans="1:3" ht="14.25">
      <c r="A966" s="1"/>
      <c r="C966" s="2"/>
    </row>
    <row r="967" spans="1:3" ht="14.25">
      <c r="A967" s="1"/>
      <c r="C967" s="2"/>
    </row>
    <row r="968" spans="1:3" ht="14.25">
      <c r="A968" s="1"/>
      <c r="C968" s="2"/>
    </row>
    <row r="969" spans="1:3" ht="14.25">
      <c r="A969" s="1"/>
      <c r="C969" s="2"/>
    </row>
    <row r="970" spans="1:3" ht="14.25">
      <c r="A970" s="1"/>
      <c r="C970" s="2"/>
    </row>
    <row r="971" spans="1:3" ht="14.25">
      <c r="A971" s="1"/>
      <c r="C971" s="2"/>
    </row>
    <row r="972" spans="1:3" ht="14.25">
      <c r="A972" s="1"/>
      <c r="C972" s="2"/>
    </row>
    <row r="973" spans="1:3" ht="14.25">
      <c r="A973" s="1"/>
      <c r="C973" s="2"/>
    </row>
    <row r="974" spans="1:3" ht="14.25">
      <c r="A974" s="1"/>
      <c r="C974" s="2"/>
    </row>
    <row r="975" spans="1:3" ht="14.25">
      <c r="A975" s="1"/>
      <c r="C975" s="2"/>
    </row>
    <row r="976" spans="1:3" ht="14.25">
      <c r="A976" s="1"/>
      <c r="C976" s="2"/>
    </row>
    <row r="977" spans="1:3" ht="14.25">
      <c r="A977" s="1"/>
      <c r="C977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'שלב א - טעינת דפי מקור'!#REF!</xm:f>
          </x14:formula1>
          <xm:sqref>A4:A977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outlinePr summaryBelow="0" summaryRight="0"/>
  </sheetPr>
  <dimension ref="A1:P1002"/>
  <sheetViews>
    <sheetView rightToLeft="1" workbookViewId="0">
      <selection activeCell="F3" sqref="F3"/>
    </sheetView>
  </sheetViews>
  <sheetFormatPr defaultColWidth="12.625" defaultRowHeight="15" customHeight="1"/>
  <cols>
    <col min="1" max="1" customWidth="true" width="16.25"/>
    <col min="6" max="6" customWidth="true" width="21.5"/>
  </cols>
  <sheetData>
    <row r="1" spans="1:16" ht="1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P1" s="3"/>
    </row>
    <row r="2" spans="1:16" ht="15" customHeight="1">
      <c r="A2" s="15" t="s">
        <v>52</v>
      </c>
      <c r="B2" s="16"/>
      <c r="C2" s="16"/>
      <c r="D2" s="16"/>
      <c r="E2" s="17" t="s">
        <v>53</v>
      </c>
      <c r="F2" s="18" t="e">
        <f>#REF!</f>
        <v>#REF!</v>
      </c>
      <c r="H2" s="19"/>
      <c r="I2" s="19"/>
      <c r="J2" s="19"/>
      <c r="K2" s="19"/>
      <c r="P2" s="3"/>
    </row>
    <row r="3" spans="1:16" ht="14.25">
      <c r="A3" s="16" t="s">
        <v>54</v>
      </c>
      <c r="B3" s="16" t="s">
        <v>55</v>
      </c>
      <c r="C3" s="16" t="s">
        <v>56</v>
      </c>
      <c r="D3" s="16" t="s">
        <v>57</v>
      </c>
      <c r="E3" s="16" t="s">
        <v>58</v>
      </c>
      <c r="F3" s="16" t="s">
        <v>59</v>
      </c>
      <c r="G3" s="16" t="s">
        <v>60</v>
      </c>
      <c r="H3" s="16" t="s">
        <v>61</v>
      </c>
      <c r="I3" s="16" t="s">
        <v>62</v>
      </c>
      <c r="J3" s="16" t="s">
        <v>63</v>
      </c>
      <c r="K3" s="16" t="s">
        <v>64</v>
      </c>
      <c r="L3" s="16" t="s">
        <v>65</v>
      </c>
      <c r="M3" s="16" t="s">
        <v>66</v>
      </c>
      <c r="N3" s="16" t="s">
        <v>10</v>
      </c>
    </row>
    <row r="4" spans="1:16" ht="14.25">
      <c r="C4" s="1"/>
    </row>
    <row r="5" spans="1:16" ht="14.25">
      <c r="C5" s="1"/>
    </row>
    <row r="6" spans="1:16" ht="14.25">
      <c r="C6" s="1"/>
    </row>
    <row r="7" spans="1:16" ht="14.25">
      <c r="C7" s="1"/>
    </row>
    <row r="8" spans="1:16" ht="14.25">
      <c r="C8" s="1"/>
    </row>
    <row r="9" spans="1:16" ht="14.25">
      <c r="C9" s="1"/>
    </row>
    <row r="10" spans="1:16" ht="14.25">
      <c r="C10" s="1"/>
    </row>
    <row r="11" spans="1:16" ht="14.25">
      <c r="C11" s="1"/>
    </row>
    <row r="12" spans="1:16" ht="14.25">
      <c r="C12" s="1"/>
    </row>
    <row r="13" spans="1:16" ht="14.25">
      <c r="C13" s="1"/>
    </row>
    <row r="14" spans="1:16" ht="14.25">
      <c r="C14" s="1"/>
    </row>
    <row r="15" spans="1:16" ht="14.25">
      <c r="C15" s="1"/>
    </row>
    <row r="16" spans="1:16" ht="14.25">
      <c r="C16" s="1"/>
    </row>
    <row r="17" spans="3:3" ht="14.25">
      <c r="C17" s="1"/>
    </row>
    <row r="18" spans="3:3" ht="14.25">
      <c r="C18" s="1"/>
    </row>
    <row r="19" spans="3:3" ht="14.25">
      <c r="C19" s="1"/>
    </row>
    <row r="20" spans="3:3" ht="14.25">
      <c r="C20" s="1"/>
    </row>
    <row r="21" spans="3:3" ht="14.25">
      <c r="C21" s="1"/>
    </row>
    <row r="22" spans="3:3" ht="14.25">
      <c r="C22" s="1"/>
    </row>
    <row r="23" spans="3:3" ht="14.25">
      <c r="C23" s="1"/>
    </row>
    <row r="24" spans="3:3" ht="14.25">
      <c r="C24" s="1"/>
    </row>
    <row r="25" spans="3:3" ht="14.25">
      <c r="C25" s="1"/>
    </row>
    <row r="26" spans="3:3" ht="14.25">
      <c r="C26" s="1"/>
    </row>
    <row r="27" spans="3:3" ht="14.25">
      <c r="C27" s="1"/>
    </row>
    <row r="28" spans="3:3" ht="14.25">
      <c r="C28" s="1"/>
    </row>
    <row r="29" spans="3:3" ht="14.25">
      <c r="C29" s="1"/>
    </row>
    <row r="30" spans="3:3" ht="14.25">
      <c r="C30" s="1"/>
    </row>
    <row r="31" spans="3:3" ht="14.25">
      <c r="C31" s="1"/>
    </row>
    <row r="32" spans="3:3" ht="14.25">
      <c r="C32" s="1"/>
    </row>
    <row r="33" spans="3:3" ht="14.25">
      <c r="C33" s="1"/>
    </row>
    <row r="34" spans="3:3" ht="14.25">
      <c r="C34" s="1"/>
    </row>
    <row r="35" spans="3:3" ht="14.25">
      <c r="C35" s="1"/>
    </row>
    <row r="36" spans="3:3" ht="14.25">
      <c r="C36" s="1"/>
    </row>
    <row r="37" spans="3:3" ht="14.25">
      <c r="C37" s="1"/>
    </row>
    <row r="38" spans="3:3" ht="14.25">
      <c r="C38" s="1"/>
    </row>
    <row r="39" spans="3:3" ht="14.25">
      <c r="C39" s="1"/>
    </row>
    <row r="40" spans="3:3" ht="14.25">
      <c r="C40" s="1"/>
    </row>
    <row r="41" spans="3:3" ht="14.25">
      <c r="C41" s="1"/>
    </row>
    <row r="42" spans="3:3" ht="14.25">
      <c r="C42" s="1"/>
    </row>
    <row r="43" spans="3:3" ht="14.25">
      <c r="C43" s="1"/>
    </row>
    <row r="44" spans="3:3" ht="14.25">
      <c r="C44" s="1"/>
    </row>
    <row r="45" spans="3:3" ht="14.25">
      <c r="C45" s="1"/>
    </row>
    <row r="46" spans="3:3" ht="14.25">
      <c r="C46" s="1"/>
    </row>
    <row r="47" spans="3:3" ht="14.25">
      <c r="C47" s="1"/>
    </row>
    <row r="48" spans="3:3" ht="14.25">
      <c r="C48" s="1"/>
    </row>
    <row r="49" spans="3:3" ht="14.25">
      <c r="C49" s="1"/>
    </row>
    <row r="50" spans="3:3" ht="14.25">
      <c r="C50" s="1"/>
    </row>
    <row r="51" spans="3:3" ht="14.25">
      <c r="C51" s="1"/>
    </row>
    <row r="52" spans="3:3" ht="14.25">
      <c r="C52" s="1"/>
    </row>
    <row r="53" spans="3:3" ht="14.25">
      <c r="C53" s="1"/>
    </row>
    <row r="54" spans="3:3" ht="14.25">
      <c r="C54" s="1"/>
    </row>
    <row r="55" spans="3:3" ht="14.25">
      <c r="C55" s="1"/>
    </row>
    <row r="56" spans="3:3" ht="14.25">
      <c r="C56" s="1"/>
    </row>
    <row r="57" spans="3:3" ht="14.25">
      <c r="C57" s="1"/>
    </row>
    <row r="58" spans="3:3" ht="14.25">
      <c r="C58" s="1"/>
    </row>
    <row r="59" spans="3:3" ht="14.25">
      <c r="C59" s="1"/>
    </row>
    <row r="60" spans="3:3" ht="14.25">
      <c r="C60" s="1"/>
    </row>
    <row r="61" spans="3:3" ht="14.25">
      <c r="C61" s="1"/>
    </row>
    <row r="62" spans="3:3" ht="14.25">
      <c r="C62" s="1"/>
    </row>
    <row r="63" spans="3:3" ht="14.25">
      <c r="C63" s="1"/>
    </row>
    <row r="64" spans="3:3" ht="14.25">
      <c r="C64" s="1"/>
    </row>
    <row r="65" spans="3:3" ht="14.25">
      <c r="C65" s="1"/>
    </row>
    <row r="66" spans="3:3" ht="14.25">
      <c r="C66" s="1"/>
    </row>
    <row r="67" spans="3:3" ht="14.25">
      <c r="C67" s="1"/>
    </row>
    <row r="68" spans="3:3" ht="14.25">
      <c r="C68" s="1"/>
    </row>
    <row r="69" spans="3:3" ht="14.25">
      <c r="C69" s="1"/>
    </row>
    <row r="70" spans="3:3" ht="14.25">
      <c r="C70" s="1"/>
    </row>
    <row r="71" spans="3:3" ht="14.25">
      <c r="C71" s="1"/>
    </row>
    <row r="72" spans="3:3" ht="14.25">
      <c r="C72" s="1"/>
    </row>
    <row r="73" spans="3:3" ht="14.25">
      <c r="C73" s="1"/>
    </row>
    <row r="74" spans="3:3" ht="14.25">
      <c r="C74" s="1"/>
    </row>
    <row r="75" spans="3:3" ht="14.25">
      <c r="C75" s="1"/>
    </row>
    <row r="76" spans="3:3" ht="14.25">
      <c r="C76" s="1"/>
    </row>
    <row r="77" spans="3:3" ht="14.25">
      <c r="C77" s="1"/>
    </row>
    <row r="78" spans="3:3" ht="14.25">
      <c r="C78" s="1"/>
    </row>
    <row r="79" spans="3:3" ht="14.25">
      <c r="C79" s="1"/>
    </row>
    <row r="80" spans="3:3" ht="14.25">
      <c r="C80" s="1"/>
    </row>
    <row r="81" spans="3:3" ht="14.25">
      <c r="C81" s="1"/>
    </row>
    <row r="82" spans="3:3" ht="14.25">
      <c r="C82" s="1"/>
    </row>
    <row r="83" spans="3:3" ht="14.25">
      <c r="C83" s="1"/>
    </row>
    <row r="84" spans="3:3" ht="14.25">
      <c r="C84" s="1"/>
    </row>
    <row r="85" spans="3:3" ht="14.25">
      <c r="C85" s="1"/>
    </row>
    <row r="86" spans="3:3" ht="14.25">
      <c r="C86" s="1"/>
    </row>
    <row r="87" spans="3:3" ht="14.25">
      <c r="C87" s="1"/>
    </row>
    <row r="88" spans="3:3" ht="14.25">
      <c r="C88" s="1"/>
    </row>
    <row r="89" spans="3:3" ht="14.25">
      <c r="C89" s="1"/>
    </row>
    <row r="90" spans="3:3" ht="14.25">
      <c r="C90" s="1"/>
    </row>
    <row r="91" spans="3:3" ht="14.25">
      <c r="C91" s="1"/>
    </row>
    <row r="92" spans="3:3" ht="14.25">
      <c r="C92" s="1"/>
    </row>
    <row r="93" spans="3:3" ht="14.25">
      <c r="C93" s="1"/>
    </row>
    <row r="94" spans="3:3" ht="14.25">
      <c r="C94" s="1"/>
    </row>
    <row r="95" spans="3:3" ht="14.25">
      <c r="C95" s="1"/>
    </row>
    <row r="96" spans="3:3" ht="14.25">
      <c r="C96" s="1"/>
    </row>
    <row r="97" spans="3:3" ht="14.25">
      <c r="C97" s="1"/>
    </row>
    <row r="98" spans="3:3" ht="14.25">
      <c r="C98" s="1"/>
    </row>
    <row r="99" spans="3:3" ht="14.25">
      <c r="C99" s="1"/>
    </row>
    <row r="100" spans="3:3" ht="14.25">
      <c r="C100" s="1"/>
    </row>
    <row r="101" spans="3:3" ht="14.25">
      <c r="C101" s="1"/>
    </row>
    <row r="102" spans="3:3" ht="14.25">
      <c r="C102" s="1"/>
    </row>
    <row r="103" spans="3:3" ht="14.25">
      <c r="C103" s="1"/>
    </row>
    <row r="104" spans="3:3" ht="14.25">
      <c r="C104" s="1"/>
    </row>
    <row r="105" spans="3:3" ht="14.25">
      <c r="C105" s="1"/>
    </row>
    <row r="106" spans="3:3" ht="14.25">
      <c r="C106" s="1"/>
    </row>
    <row r="107" spans="3:3" ht="14.25">
      <c r="C107" s="1"/>
    </row>
    <row r="108" spans="3:3" ht="14.25">
      <c r="C108" s="1"/>
    </row>
    <row r="109" spans="3:3" ht="14.25">
      <c r="C109" s="1"/>
    </row>
    <row r="110" spans="3:3" ht="14.25">
      <c r="C110" s="1"/>
    </row>
    <row r="111" spans="3:3" ht="14.25">
      <c r="C111" s="1"/>
    </row>
    <row r="112" spans="3:3" ht="14.25">
      <c r="C112" s="1"/>
    </row>
    <row r="113" spans="3:3" ht="14.25">
      <c r="C113" s="1"/>
    </row>
    <row r="114" spans="3:3" ht="14.25">
      <c r="C114" s="1"/>
    </row>
    <row r="115" spans="3:3" ht="14.25">
      <c r="C115" s="1"/>
    </row>
    <row r="116" spans="3:3" ht="14.25">
      <c r="C116" s="1"/>
    </row>
    <row r="117" spans="3:3" ht="14.25">
      <c r="C117" s="1"/>
    </row>
    <row r="118" spans="3:3" ht="14.25">
      <c r="C118" s="1"/>
    </row>
    <row r="119" spans="3:3" ht="14.25">
      <c r="C119" s="1"/>
    </row>
    <row r="120" spans="3:3" ht="14.25">
      <c r="C120" s="1"/>
    </row>
    <row r="121" spans="3:3" ht="14.25">
      <c r="C121" s="1"/>
    </row>
    <row r="122" spans="3:3" ht="14.25">
      <c r="C122" s="1"/>
    </row>
    <row r="123" spans="3:3" ht="14.25">
      <c r="C123" s="1"/>
    </row>
    <row r="124" spans="3:3" ht="14.25">
      <c r="C124" s="1"/>
    </row>
    <row r="125" spans="3:3" ht="14.25">
      <c r="C125" s="1"/>
    </row>
    <row r="126" spans="3:3" ht="14.25">
      <c r="C126" s="1"/>
    </row>
    <row r="127" spans="3:3" ht="14.25">
      <c r="C127" s="1"/>
    </row>
    <row r="128" spans="3:3" ht="14.25">
      <c r="C128" s="1"/>
    </row>
    <row r="129" spans="3:3" ht="14.25">
      <c r="C129" s="1"/>
    </row>
    <row r="130" spans="3:3" ht="14.25">
      <c r="C130" s="1"/>
    </row>
    <row r="131" spans="3:3" ht="14.25">
      <c r="C131" s="1"/>
    </row>
    <row r="132" spans="3:3" ht="14.25">
      <c r="C132" s="1"/>
    </row>
    <row r="133" spans="3:3" ht="14.25">
      <c r="C133" s="1"/>
    </row>
    <row r="134" spans="3:3" ht="14.25">
      <c r="C134" s="1"/>
    </row>
    <row r="135" spans="3:3" ht="14.25">
      <c r="C135" s="1"/>
    </row>
    <row r="136" spans="3:3" ht="14.25">
      <c r="C136" s="1"/>
    </row>
    <row r="137" spans="3:3" ht="14.25">
      <c r="C137" s="1"/>
    </row>
    <row r="138" spans="3:3" ht="14.25">
      <c r="C138" s="1"/>
    </row>
    <row r="139" spans="3:3" ht="14.25">
      <c r="C139" s="1"/>
    </row>
    <row r="140" spans="3:3" ht="14.25">
      <c r="C140" s="1"/>
    </row>
    <row r="141" spans="3:3" ht="14.25">
      <c r="C141" s="1"/>
    </row>
    <row r="142" spans="3:3" ht="14.25">
      <c r="C142" s="1"/>
    </row>
    <row r="143" spans="3:3" ht="14.25">
      <c r="C143" s="1"/>
    </row>
    <row r="144" spans="3:3" ht="14.25">
      <c r="C144" s="1"/>
    </row>
    <row r="145" spans="3:3" ht="14.25">
      <c r="C145" s="1"/>
    </row>
    <row r="146" spans="3:3" ht="14.25">
      <c r="C146" s="1"/>
    </row>
    <row r="147" spans="3:3" ht="14.25">
      <c r="C147" s="1"/>
    </row>
    <row r="148" spans="3:3" ht="14.25">
      <c r="C148" s="1"/>
    </row>
    <row r="149" spans="3:3" ht="14.25">
      <c r="C149" s="1"/>
    </row>
    <row r="150" spans="3:3" ht="14.25">
      <c r="C150" s="1"/>
    </row>
    <row r="151" spans="3:3" ht="14.25">
      <c r="C151" s="1"/>
    </row>
    <row r="152" spans="3:3" ht="14.25">
      <c r="C152" s="1"/>
    </row>
    <row r="153" spans="3:3" ht="14.25">
      <c r="C153" s="1"/>
    </row>
    <row r="154" spans="3:3" ht="14.25">
      <c r="C154" s="1"/>
    </row>
    <row r="155" spans="3:3" ht="14.25">
      <c r="C155" s="1"/>
    </row>
    <row r="156" spans="3:3" ht="14.25">
      <c r="C156" s="1"/>
    </row>
    <row r="157" spans="3:3" ht="14.25">
      <c r="C157" s="1"/>
    </row>
    <row r="158" spans="3:3" ht="14.25">
      <c r="C158" s="1"/>
    </row>
    <row r="159" spans="3:3" ht="14.25">
      <c r="C159" s="1"/>
    </row>
    <row r="160" spans="3:3" ht="14.25">
      <c r="C160" s="1"/>
    </row>
    <row r="161" spans="3:3" ht="14.25">
      <c r="C161" s="1"/>
    </row>
    <row r="162" spans="3:3" ht="14.25">
      <c r="C162" s="1"/>
    </row>
    <row r="163" spans="3:3" ht="14.25">
      <c r="C163" s="1"/>
    </row>
    <row r="164" spans="3:3" ht="14.25">
      <c r="C164" s="1"/>
    </row>
    <row r="165" spans="3:3" ht="14.25">
      <c r="C165" s="1"/>
    </row>
    <row r="166" spans="3:3" ht="14.25">
      <c r="C166" s="1"/>
    </row>
    <row r="167" spans="3:3" ht="14.25">
      <c r="C167" s="1"/>
    </row>
    <row r="168" spans="3:3" ht="14.25">
      <c r="C168" s="1"/>
    </row>
    <row r="169" spans="3:3" ht="14.25">
      <c r="C169" s="1"/>
    </row>
    <row r="170" spans="3:3" ht="14.25">
      <c r="C170" s="1"/>
    </row>
    <row r="171" spans="3:3" ht="14.25">
      <c r="C171" s="1"/>
    </row>
    <row r="172" spans="3:3" ht="14.25">
      <c r="C172" s="1"/>
    </row>
    <row r="173" spans="3:3" ht="14.25">
      <c r="C173" s="1"/>
    </row>
    <row r="174" spans="3:3" ht="14.25">
      <c r="C174" s="1"/>
    </row>
    <row r="175" spans="3:3" ht="14.25">
      <c r="C175" s="1"/>
    </row>
    <row r="176" spans="3:3" ht="14.25">
      <c r="C176" s="1"/>
    </row>
    <row r="177" spans="3:3" ht="14.25">
      <c r="C177" s="1"/>
    </row>
    <row r="178" spans="3:3" ht="14.25">
      <c r="C178" s="1"/>
    </row>
    <row r="179" spans="3:3" ht="14.25">
      <c r="C179" s="1"/>
    </row>
    <row r="180" spans="3:3" ht="14.25">
      <c r="C180" s="1"/>
    </row>
    <row r="181" spans="3:3" ht="14.25">
      <c r="C181" s="1"/>
    </row>
    <row r="182" spans="3:3" ht="14.25">
      <c r="C182" s="1"/>
    </row>
    <row r="183" spans="3:3" ht="14.25">
      <c r="C183" s="1"/>
    </row>
    <row r="184" spans="3:3" ht="14.25">
      <c r="C184" s="1"/>
    </row>
    <row r="185" spans="3:3" ht="14.25">
      <c r="C185" s="1"/>
    </row>
    <row r="186" spans="3:3" ht="14.25">
      <c r="C186" s="1"/>
    </row>
    <row r="187" spans="3:3" ht="14.25">
      <c r="C187" s="1"/>
    </row>
    <row r="188" spans="3:3" ht="14.25">
      <c r="C188" s="1"/>
    </row>
    <row r="189" spans="3:3" ht="14.25">
      <c r="C189" s="1"/>
    </row>
    <row r="190" spans="3:3" ht="14.25">
      <c r="C190" s="1"/>
    </row>
    <row r="191" spans="3:3" ht="14.25">
      <c r="C191" s="1"/>
    </row>
    <row r="192" spans="3:3" ht="14.25">
      <c r="C192" s="1"/>
    </row>
    <row r="193" spans="3:3" ht="14.25">
      <c r="C193" s="1"/>
    </row>
    <row r="194" spans="3:3" ht="14.25">
      <c r="C194" s="1"/>
    </row>
    <row r="195" spans="3:3" ht="14.25">
      <c r="C195" s="1"/>
    </row>
    <row r="196" spans="3:3" ht="14.25">
      <c r="C196" s="1"/>
    </row>
    <row r="197" spans="3:3" ht="14.25">
      <c r="C197" s="1"/>
    </row>
    <row r="198" spans="3:3" ht="14.25">
      <c r="C198" s="1"/>
    </row>
    <row r="199" spans="3:3" ht="14.25">
      <c r="C199" s="1"/>
    </row>
    <row r="200" spans="3:3" ht="14.25">
      <c r="C200" s="1"/>
    </row>
    <row r="201" spans="3:3" ht="14.25">
      <c r="C201" s="1"/>
    </row>
    <row r="202" spans="3:3" ht="14.25">
      <c r="C202" s="1"/>
    </row>
    <row r="203" spans="3:3" ht="14.25">
      <c r="C203" s="1"/>
    </row>
    <row r="204" spans="3:3" ht="14.25">
      <c r="C204" s="1"/>
    </row>
    <row r="205" spans="3:3" ht="14.25">
      <c r="C205" s="1"/>
    </row>
    <row r="206" spans="3:3" ht="14.25">
      <c r="C206" s="1"/>
    </row>
    <row r="207" spans="3:3" ht="14.25">
      <c r="C207" s="1"/>
    </row>
    <row r="208" spans="3:3" ht="14.25">
      <c r="C208" s="1"/>
    </row>
    <row r="209" spans="3:3" ht="14.25">
      <c r="C209" s="1"/>
    </row>
    <row r="210" spans="3:3" ht="14.25">
      <c r="C210" s="1"/>
    </row>
    <row r="211" spans="3:3" ht="14.25">
      <c r="C211" s="1"/>
    </row>
    <row r="212" spans="3:3" ht="14.25">
      <c r="C212" s="1"/>
    </row>
    <row r="213" spans="3:3" ht="14.25">
      <c r="C213" s="1"/>
    </row>
    <row r="214" spans="3:3" ht="14.25">
      <c r="C214" s="1"/>
    </row>
    <row r="215" spans="3:3" ht="14.25">
      <c r="C215" s="1"/>
    </row>
    <row r="216" spans="3:3" ht="14.25">
      <c r="C216" s="1"/>
    </row>
    <row r="217" spans="3:3" ht="14.25">
      <c r="C217" s="1"/>
    </row>
    <row r="218" spans="3:3" ht="14.25">
      <c r="C218" s="1"/>
    </row>
    <row r="219" spans="3:3" ht="14.25">
      <c r="C219" s="1"/>
    </row>
    <row r="220" spans="3:3" ht="14.25">
      <c r="C220" s="1"/>
    </row>
    <row r="221" spans="3:3" ht="14.25">
      <c r="C221" s="1"/>
    </row>
    <row r="222" spans="3:3" ht="14.25">
      <c r="C222" s="1"/>
    </row>
    <row r="223" spans="3:3" ht="14.25">
      <c r="C223" s="1"/>
    </row>
    <row r="224" spans="3:3" ht="14.25">
      <c r="C224" s="1"/>
    </row>
    <row r="225" spans="3:3" ht="14.25">
      <c r="C225" s="1"/>
    </row>
    <row r="226" spans="3:3" ht="14.25">
      <c r="C226" s="1"/>
    </row>
    <row r="227" spans="3:3" ht="14.25">
      <c r="C227" s="1"/>
    </row>
    <row r="228" spans="3:3" ht="14.25">
      <c r="C228" s="1"/>
    </row>
    <row r="229" spans="3:3" ht="14.25">
      <c r="C229" s="1"/>
    </row>
    <row r="230" spans="3:3" ht="14.25">
      <c r="C230" s="1"/>
    </row>
    <row r="231" spans="3:3" ht="14.25">
      <c r="C231" s="1"/>
    </row>
    <row r="232" spans="3:3" ht="14.25">
      <c r="C232" s="1"/>
    </row>
    <row r="233" spans="3:3" ht="14.25">
      <c r="C233" s="1"/>
    </row>
    <row r="234" spans="3:3" ht="14.25">
      <c r="C234" s="1"/>
    </row>
    <row r="235" spans="3:3" ht="14.25">
      <c r="C235" s="1"/>
    </row>
    <row r="236" spans="3:3" ht="14.25">
      <c r="C236" s="1"/>
    </row>
    <row r="237" spans="3:3" ht="14.25">
      <c r="C237" s="1"/>
    </row>
    <row r="238" spans="3:3" ht="14.25">
      <c r="C238" s="1"/>
    </row>
    <row r="239" spans="3:3" ht="14.25">
      <c r="C239" s="1"/>
    </row>
    <row r="240" spans="3:3" ht="14.25">
      <c r="C240" s="1"/>
    </row>
    <row r="241" spans="3:3" ht="14.25">
      <c r="C241" s="1"/>
    </row>
    <row r="242" spans="3:3" ht="14.25">
      <c r="C242" s="1"/>
    </row>
    <row r="243" spans="3:3" ht="14.25">
      <c r="C243" s="1"/>
    </row>
    <row r="244" spans="3:3" ht="14.25">
      <c r="C244" s="1"/>
    </row>
    <row r="245" spans="3:3" ht="14.25">
      <c r="C245" s="1"/>
    </row>
    <row r="246" spans="3:3" ht="14.25">
      <c r="C246" s="1"/>
    </row>
    <row r="247" spans="3:3" ht="14.25">
      <c r="C247" s="1"/>
    </row>
    <row r="248" spans="3:3" ht="14.25">
      <c r="C248" s="1"/>
    </row>
    <row r="249" spans="3:3" ht="14.25">
      <c r="C249" s="1"/>
    </row>
    <row r="250" spans="3:3" ht="14.25">
      <c r="C250" s="1"/>
    </row>
    <row r="251" spans="3:3" ht="14.25">
      <c r="C251" s="1"/>
    </row>
    <row r="252" spans="3:3" ht="14.25">
      <c r="C252" s="1"/>
    </row>
    <row r="253" spans="3:3" ht="14.25">
      <c r="C253" s="1"/>
    </row>
    <row r="254" spans="3:3" ht="14.25">
      <c r="C254" s="1"/>
    </row>
    <row r="255" spans="3:3" ht="14.25">
      <c r="C255" s="1"/>
    </row>
    <row r="256" spans="3:3" ht="14.25">
      <c r="C256" s="1"/>
    </row>
    <row r="257" spans="3:3" ht="14.25">
      <c r="C257" s="1"/>
    </row>
    <row r="258" spans="3:3" ht="14.25">
      <c r="C258" s="1"/>
    </row>
    <row r="259" spans="3:3" ht="14.25">
      <c r="C259" s="1"/>
    </row>
    <row r="260" spans="3:3" ht="14.25">
      <c r="C260" s="1"/>
    </row>
    <row r="261" spans="3:3" ht="14.25">
      <c r="C261" s="1"/>
    </row>
    <row r="262" spans="3:3" ht="14.25">
      <c r="C262" s="1"/>
    </row>
    <row r="263" spans="3:3" ht="14.25">
      <c r="C263" s="1"/>
    </row>
    <row r="264" spans="3:3" ht="14.25">
      <c r="C264" s="1"/>
    </row>
    <row r="265" spans="3:3" ht="14.25">
      <c r="C265" s="1"/>
    </row>
    <row r="266" spans="3:3" ht="14.25">
      <c r="C266" s="1"/>
    </row>
    <row r="267" spans="3:3" ht="14.25">
      <c r="C267" s="1"/>
    </row>
    <row r="268" spans="3:3" ht="14.25">
      <c r="C268" s="1"/>
    </row>
    <row r="269" spans="3:3" ht="14.25">
      <c r="C269" s="1"/>
    </row>
    <row r="270" spans="3:3" ht="14.25">
      <c r="C270" s="1"/>
    </row>
    <row r="271" spans="3:3" ht="14.25">
      <c r="C271" s="1"/>
    </row>
    <row r="272" spans="3:3" ht="14.25">
      <c r="C272" s="1"/>
    </row>
    <row r="273" spans="3:3" ht="14.25">
      <c r="C273" s="1"/>
    </row>
    <row r="274" spans="3:3" ht="14.25">
      <c r="C274" s="1"/>
    </row>
    <row r="275" spans="3:3" ht="14.25">
      <c r="C275" s="1"/>
    </row>
    <row r="276" spans="3:3" ht="14.25">
      <c r="C276" s="1"/>
    </row>
    <row r="277" spans="3:3" ht="14.25">
      <c r="C277" s="1"/>
    </row>
    <row r="278" spans="3:3" ht="14.25">
      <c r="C278" s="1"/>
    </row>
    <row r="279" spans="3:3" ht="14.25">
      <c r="C279" s="1"/>
    </row>
    <row r="280" spans="3:3" ht="14.25">
      <c r="C280" s="1"/>
    </row>
    <row r="281" spans="3:3" ht="14.25">
      <c r="C281" s="1"/>
    </row>
    <row r="282" spans="3:3" ht="14.25">
      <c r="C282" s="1"/>
    </row>
    <row r="283" spans="3:3" ht="14.25">
      <c r="C283" s="1"/>
    </row>
    <row r="284" spans="3:3" ht="14.25">
      <c r="C284" s="1"/>
    </row>
    <row r="285" spans="3:3" ht="14.25">
      <c r="C285" s="1"/>
    </row>
    <row r="286" spans="3:3" ht="14.25">
      <c r="C286" s="1"/>
    </row>
    <row r="287" spans="3:3" ht="14.25">
      <c r="C287" s="1"/>
    </row>
    <row r="288" spans="3:3" ht="14.25">
      <c r="C288" s="1"/>
    </row>
    <row r="289" spans="3:3" ht="14.25">
      <c r="C289" s="1"/>
    </row>
    <row r="290" spans="3:3" ht="14.25">
      <c r="C290" s="1"/>
    </row>
    <row r="291" spans="3:3" ht="14.25">
      <c r="C291" s="1"/>
    </row>
    <row r="292" spans="3:3" ht="14.25">
      <c r="C292" s="1"/>
    </row>
    <row r="293" spans="3:3" ht="14.25">
      <c r="C293" s="1"/>
    </row>
    <row r="294" spans="3:3" ht="14.25">
      <c r="C294" s="1"/>
    </row>
    <row r="295" spans="3:3" ht="14.25">
      <c r="C295" s="1"/>
    </row>
    <row r="296" spans="3:3" ht="14.25">
      <c r="C296" s="1"/>
    </row>
    <row r="297" spans="3:3" ht="14.25">
      <c r="C297" s="1"/>
    </row>
    <row r="298" spans="3:3" ht="14.25">
      <c r="C298" s="1"/>
    </row>
    <row r="299" spans="3:3" ht="14.25">
      <c r="C299" s="1"/>
    </row>
    <row r="300" spans="3:3" ht="14.25">
      <c r="C300" s="1"/>
    </row>
    <row r="301" spans="3:3" ht="14.25">
      <c r="C301" s="1"/>
    </row>
    <row r="302" spans="3:3" ht="14.25">
      <c r="C302" s="1"/>
    </row>
    <row r="303" spans="3:3" ht="14.25">
      <c r="C303" s="1"/>
    </row>
    <row r="304" spans="3:3" ht="14.25">
      <c r="C304" s="1"/>
    </row>
    <row r="305" spans="3:3" ht="14.25">
      <c r="C305" s="1"/>
    </row>
    <row r="306" spans="3:3" ht="14.25">
      <c r="C306" s="1"/>
    </row>
    <row r="307" spans="3:3" ht="14.25">
      <c r="C307" s="1"/>
    </row>
    <row r="308" spans="3:3" ht="14.25">
      <c r="C308" s="1"/>
    </row>
    <row r="309" spans="3:3" ht="14.25">
      <c r="C309" s="1"/>
    </row>
    <row r="310" spans="3:3" ht="14.25">
      <c r="C310" s="1"/>
    </row>
    <row r="311" spans="3:3" ht="14.25">
      <c r="C311" s="1"/>
    </row>
    <row r="312" spans="3:3" ht="14.25">
      <c r="C312" s="1"/>
    </row>
    <row r="313" spans="3:3" ht="14.25">
      <c r="C313" s="1"/>
    </row>
    <row r="314" spans="3:3" ht="14.25">
      <c r="C314" s="1"/>
    </row>
    <row r="315" spans="3:3" ht="14.25">
      <c r="C315" s="1"/>
    </row>
    <row r="316" spans="3:3" ht="14.25">
      <c r="C316" s="1"/>
    </row>
    <row r="317" spans="3:3" ht="14.25">
      <c r="C317" s="1"/>
    </row>
    <row r="318" spans="3:3" ht="14.25">
      <c r="C318" s="1"/>
    </row>
    <row r="319" spans="3:3" ht="14.25">
      <c r="C319" s="1"/>
    </row>
    <row r="320" spans="3:3" ht="14.25">
      <c r="C320" s="1"/>
    </row>
    <row r="321" spans="3:3" ht="14.25">
      <c r="C321" s="1"/>
    </row>
    <row r="322" spans="3:3" ht="14.25">
      <c r="C322" s="1"/>
    </row>
    <row r="323" spans="3:3" ht="14.25">
      <c r="C323" s="1"/>
    </row>
    <row r="324" spans="3:3" ht="14.25">
      <c r="C324" s="1"/>
    </row>
    <row r="325" spans="3:3" ht="14.25">
      <c r="C325" s="1"/>
    </row>
    <row r="326" spans="3:3" ht="14.25">
      <c r="C326" s="1"/>
    </row>
    <row r="327" spans="3:3" ht="14.25">
      <c r="C327" s="1"/>
    </row>
    <row r="328" spans="3:3" ht="14.25">
      <c r="C328" s="1"/>
    </row>
    <row r="329" spans="3:3" ht="14.25">
      <c r="C329" s="1"/>
    </row>
    <row r="330" spans="3:3" ht="14.25">
      <c r="C330" s="1"/>
    </row>
    <row r="331" spans="3:3" ht="14.25">
      <c r="C331" s="1"/>
    </row>
    <row r="332" spans="3:3" ht="14.25">
      <c r="C332" s="1"/>
    </row>
    <row r="333" spans="3:3" ht="14.25">
      <c r="C333" s="1"/>
    </row>
    <row r="334" spans="3:3" ht="14.25">
      <c r="C334" s="1"/>
    </row>
    <row r="335" spans="3:3" ht="14.25">
      <c r="C335" s="1"/>
    </row>
    <row r="336" spans="3:3" ht="14.25">
      <c r="C336" s="1"/>
    </row>
    <row r="337" spans="3:3" ht="14.25">
      <c r="C337" s="1"/>
    </row>
    <row r="338" spans="3:3" ht="14.25">
      <c r="C338" s="1"/>
    </row>
    <row r="339" spans="3:3" ht="14.25">
      <c r="C339" s="1"/>
    </row>
    <row r="340" spans="3:3" ht="14.25">
      <c r="C340" s="1"/>
    </row>
    <row r="341" spans="3:3" ht="14.25">
      <c r="C341" s="1"/>
    </row>
    <row r="342" spans="3:3" ht="14.25">
      <c r="C342" s="1"/>
    </row>
    <row r="343" spans="3:3" ht="14.25">
      <c r="C343" s="1"/>
    </row>
    <row r="344" spans="3:3" ht="14.25">
      <c r="C344" s="1"/>
    </row>
    <row r="345" spans="3:3" ht="14.25">
      <c r="C345" s="1"/>
    </row>
    <row r="346" spans="3:3" ht="14.25">
      <c r="C346" s="1"/>
    </row>
    <row r="347" spans="3:3" ht="14.25">
      <c r="C347" s="1"/>
    </row>
    <row r="348" spans="3:3" ht="14.25">
      <c r="C348" s="1"/>
    </row>
    <row r="349" spans="3:3" ht="14.25">
      <c r="C349" s="1"/>
    </row>
    <row r="350" spans="3:3" ht="14.25">
      <c r="C350" s="1"/>
    </row>
    <row r="351" spans="3:3" ht="14.25">
      <c r="C351" s="1"/>
    </row>
    <row r="352" spans="3:3" ht="14.25">
      <c r="C352" s="1"/>
    </row>
    <row r="353" spans="3:3" ht="14.25">
      <c r="C353" s="1"/>
    </row>
    <row r="354" spans="3:3" ht="14.25">
      <c r="C354" s="1"/>
    </row>
    <row r="355" spans="3:3" ht="14.25">
      <c r="C355" s="1"/>
    </row>
    <row r="356" spans="3:3" ht="14.25">
      <c r="C356" s="1"/>
    </row>
    <row r="357" spans="3:3" ht="14.25">
      <c r="C357" s="1"/>
    </row>
    <row r="358" spans="3:3" ht="14.25">
      <c r="C358" s="1"/>
    </row>
    <row r="359" spans="3:3" ht="14.25">
      <c r="C359" s="1"/>
    </row>
    <row r="360" spans="3:3" ht="14.25">
      <c r="C360" s="1"/>
    </row>
    <row r="361" spans="3:3" ht="14.25">
      <c r="C361" s="1"/>
    </row>
    <row r="362" spans="3:3" ht="14.25">
      <c r="C362" s="1"/>
    </row>
    <row r="363" spans="3:3" ht="14.25">
      <c r="C363" s="1"/>
    </row>
    <row r="364" spans="3:3" ht="14.25">
      <c r="C364" s="1"/>
    </row>
    <row r="365" spans="3:3" ht="14.25">
      <c r="C365" s="1"/>
    </row>
    <row r="366" spans="3:3" ht="14.25">
      <c r="C366" s="1"/>
    </row>
    <row r="367" spans="3:3" ht="14.25">
      <c r="C367" s="1"/>
    </row>
    <row r="368" spans="3:3" ht="14.25">
      <c r="C368" s="1"/>
    </row>
    <row r="369" spans="3:3" ht="14.25">
      <c r="C369" s="1"/>
    </row>
    <row r="370" spans="3:3" ht="14.25">
      <c r="C370" s="1"/>
    </row>
    <row r="371" spans="3:3" ht="14.25">
      <c r="C371" s="1"/>
    </row>
    <row r="372" spans="3:3" ht="14.25">
      <c r="C372" s="1"/>
    </row>
    <row r="373" spans="3:3" ht="14.25">
      <c r="C373" s="1"/>
    </row>
    <row r="374" spans="3:3" ht="14.25">
      <c r="C374" s="1"/>
    </row>
    <row r="375" spans="3:3" ht="14.25">
      <c r="C375" s="1"/>
    </row>
    <row r="376" spans="3:3" ht="14.25">
      <c r="C376" s="1"/>
    </row>
    <row r="377" spans="3:3" ht="14.25">
      <c r="C377" s="1"/>
    </row>
    <row r="378" spans="3:3" ht="14.25">
      <c r="C378" s="1"/>
    </row>
    <row r="379" spans="3:3" ht="14.25">
      <c r="C379" s="1"/>
    </row>
    <row r="380" spans="3:3" ht="14.25">
      <c r="C380" s="1"/>
    </row>
    <row r="381" spans="3:3" ht="14.25">
      <c r="C381" s="1"/>
    </row>
    <row r="382" spans="3:3" ht="14.25">
      <c r="C382" s="1"/>
    </row>
    <row r="383" spans="3:3" ht="14.25">
      <c r="C383" s="1"/>
    </row>
    <row r="384" spans="3:3" ht="14.25">
      <c r="C384" s="1"/>
    </row>
    <row r="385" spans="3:3" ht="14.25">
      <c r="C385" s="1"/>
    </row>
    <row r="386" spans="3:3" ht="14.25">
      <c r="C386" s="1"/>
    </row>
    <row r="387" spans="3:3" ht="14.25">
      <c r="C387" s="1"/>
    </row>
    <row r="388" spans="3:3" ht="14.25">
      <c r="C388" s="1"/>
    </row>
    <row r="389" spans="3:3" ht="14.25">
      <c r="C389" s="1"/>
    </row>
    <row r="390" spans="3:3" ht="14.25">
      <c r="C390" s="1"/>
    </row>
    <row r="391" spans="3:3" ht="14.25">
      <c r="C391" s="1"/>
    </row>
    <row r="392" spans="3:3" ht="14.25">
      <c r="C392" s="1"/>
    </row>
    <row r="393" spans="3:3" ht="14.25">
      <c r="C393" s="1"/>
    </row>
    <row r="394" spans="3:3" ht="14.25">
      <c r="C394" s="1"/>
    </row>
    <row r="395" spans="3:3" ht="14.25">
      <c r="C395" s="1"/>
    </row>
    <row r="396" spans="3:3" ht="14.25">
      <c r="C396" s="1"/>
    </row>
    <row r="397" spans="3:3" ht="14.25">
      <c r="C397" s="1"/>
    </row>
    <row r="398" spans="3:3" ht="14.25">
      <c r="C398" s="1"/>
    </row>
    <row r="399" spans="3:3" ht="14.25">
      <c r="C399" s="1"/>
    </row>
    <row r="400" spans="3:3" ht="14.25">
      <c r="C400" s="1"/>
    </row>
    <row r="401" spans="3:3" ht="14.25">
      <c r="C401" s="1"/>
    </row>
    <row r="402" spans="3:3" ht="14.25">
      <c r="C402" s="1"/>
    </row>
    <row r="403" spans="3:3" ht="14.25">
      <c r="C403" s="1"/>
    </row>
    <row r="404" spans="3:3" ht="14.25">
      <c r="C404" s="1"/>
    </row>
    <row r="405" spans="3:3" ht="14.25">
      <c r="C405" s="1"/>
    </row>
    <row r="406" spans="3:3" ht="14.25">
      <c r="C406" s="1"/>
    </row>
    <row r="407" spans="3:3" ht="14.25">
      <c r="C407" s="1"/>
    </row>
    <row r="408" spans="3:3" ht="14.25">
      <c r="C408" s="1"/>
    </row>
    <row r="409" spans="3:3" ht="14.25">
      <c r="C409" s="1"/>
    </row>
    <row r="410" spans="3:3" ht="14.25">
      <c r="C410" s="1"/>
    </row>
    <row r="411" spans="3:3" ht="14.25">
      <c r="C411" s="1"/>
    </row>
    <row r="412" spans="3:3" ht="14.25">
      <c r="C412" s="1"/>
    </row>
    <row r="413" spans="3:3" ht="14.25">
      <c r="C413" s="1"/>
    </row>
    <row r="414" spans="3:3" ht="14.25">
      <c r="C414" s="1"/>
    </row>
    <row r="415" spans="3:3" ht="14.25">
      <c r="C415" s="1"/>
    </row>
    <row r="416" spans="3:3" ht="14.25">
      <c r="C416" s="1"/>
    </row>
    <row r="417" spans="3:3" ht="14.25">
      <c r="C417" s="1"/>
    </row>
    <row r="418" spans="3:3" ht="14.25">
      <c r="C418" s="1"/>
    </row>
    <row r="419" spans="3:3" ht="14.25">
      <c r="C419" s="1"/>
    </row>
    <row r="420" spans="3:3" ht="14.25">
      <c r="C420" s="1"/>
    </row>
    <row r="421" spans="3:3" ht="14.25">
      <c r="C421" s="1"/>
    </row>
    <row r="422" spans="3:3" ht="14.25">
      <c r="C422" s="1"/>
    </row>
    <row r="423" spans="3:3" ht="14.25">
      <c r="C423" s="1"/>
    </row>
    <row r="424" spans="3:3" ht="14.25">
      <c r="C424" s="1"/>
    </row>
    <row r="425" spans="3:3" ht="14.25">
      <c r="C425" s="1"/>
    </row>
    <row r="426" spans="3:3" ht="14.25">
      <c r="C426" s="1"/>
    </row>
    <row r="427" spans="3:3" ht="14.25">
      <c r="C427" s="1"/>
    </row>
    <row r="428" spans="3:3" ht="14.25">
      <c r="C428" s="1"/>
    </row>
    <row r="429" spans="3:3" ht="14.25">
      <c r="C429" s="1"/>
    </row>
    <row r="430" spans="3:3" ht="14.25">
      <c r="C430" s="1"/>
    </row>
    <row r="431" spans="3:3" ht="14.25">
      <c r="C431" s="1"/>
    </row>
    <row r="432" spans="3:3" ht="14.25">
      <c r="C432" s="1"/>
    </row>
    <row r="433" spans="3:3" ht="14.25">
      <c r="C433" s="1"/>
    </row>
    <row r="434" spans="3:3" ht="14.25">
      <c r="C434" s="1"/>
    </row>
    <row r="435" spans="3:3" ht="14.25">
      <c r="C435" s="1"/>
    </row>
    <row r="436" spans="3:3" ht="14.25">
      <c r="C436" s="1"/>
    </row>
    <row r="437" spans="3:3" ht="14.25">
      <c r="C437" s="1"/>
    </row>
    <row r="438" spans="3:3" ht="14.25">
      <c r="C438" s="1"/>
    </row>
    <row r="439" spans="3:3" ht="14.25">
      <c r="C439" s="1"/>
    </row>
    <row r="440" spans="3:3" ht="14.25">
      <c r="C440" s="1"/>
    </row>
    <row r="441" spans="3:3" ht="14.25">
      <c r="C441" s="1"/>
    </row>
    <row r="442" spans="3:3" ht="14.25">
      <c r="C442" s="1"/>
    </row>
    <row r="443" spans="3:3" ht="14.25">
      <c r="C443" s="1"/>
    </row>
    <row r="444" spans="3:3" ht="14.25">
      <c r="C444" s="1"/>
    </row>
    <row r="445" spans="3:3" ht="14.25">
      <c r="C445" s="1"/>
    </row>
    <row r="446" spans="3:3" ht="14.25">
      <c r="C446" s="1"/>
    </row>
    <row r="447" spans="3:3" ht="14.25">
      <c r="C447" s="1"/>
    </row>
    <row r="448" spans="3:3" ht="14.25">
      <c r="C448" s="1"/>
    </row>
    <row r="449" spans="3:3" ht="14.25">
      <c r="C449" s="1"/>
    </row>
    <row r="450" spans="3:3" ht="14.25">
      <c r="C450" s="1"/>
    </row>
    <row r="451" spans="3:3" ht="14.25">
      <c r="C451" s="1"/>
    </row>
    <row r="452" spans="3:3" ht="14.25">
      <c r="C452" s="1"/>
    </row>
    <row r="453" spans="3:3" ht="14.25">
      <c r="C453" s="1"/>
    </row>
    <row r="454" spans="3:3" ht="14.25">
      <c r="C454" s="1"/>
    </row>
    <row r="455" spans="3:3" ht="14.25">
      <c r="C455" s="1"/>
    </row>
    <row r="456" spans="3:3" ht="14.25">
      <c r="C456" s="1"/>
    </row>
    <row r="457" spans="3:3" ht="14.25">
      <c r="C457" s="1"/>
    </row>
    <row r="458" spans="3:3" ht="14.25">
      <c r="C458" s="1"/>
    </row>
    <row r="459" spans="3:3" ht="14.25">
      <c r="C459" s="1"/>
    </row>
    <row r="460" spans="3:3" ht="14.25">
      <c r="C460" s="1"/>
    </row>
    <row r="461" spans="3:3" ht="14.25">
      <c r="C461" s="1"/>
    </row>
    <row r="462" spans="3:3" ht="14.25">
      <c r="C462" s="1"/>
    </row>
    <row r="463" spans="3:3" ht="14.25">
      <c r="C463" s="1"/>
    </row>
    <row r="464" spans="3:3" ht="14.25">
      <c r="C464" s="1"/>
    </row>
    <row r="465" spans="3:3" ht="14.25">
      <c r="C465" s="1"/>
    </row>
    <row r="466" spans="3:3" ht="14.25">
      <c r="C466" s="1"/>
    </row>
    <row r="467" spans="3:3" ht="14.25">
      <c r="C467" s="1"/>
    </row>
    <row r="468" spans="3:3" ht="14.25">
      <c r="C468" s="1"/>
    </row>
    <row r="469" spans="3:3" ht="14.25">
      <c r="C469" s="1"/>
    </row>
    <row r="470" spans="3:3" ht="14.25">
      <c r="C470" s="1"/>
    </row>
    <row r="471" spans="3:3" ht="14.25">
      <c r="C471" s="1"/>
    </row>
    <row r="472" spans="3:3" ht="14.25">
      <c r="C472" s="1"/>
    </row>
    <row r="473" spans="3:3" ht="14.25">
      <c r="C473" s="1"/>
    </row>
    <row r="474" spans="3:3" ht="14.25">
      <c r="C474" s="1"/>
    </row>
    <row r="475" spans="3:3" ht="14.25">
      <c r="C475" s="1"/>
    </row>
    <row r="476" spans="3:3" ht="14.25">
      <c r="C476" s="1"/>
    </row>
    <row r="477" spans="3:3" ht="14.25">
      <c r="C477" s="1"/>
    </row>
    <row r="478" spans="3:3" ht="14.25">
      <c r="C478" s="1"/>
    </row>
    <row r="479" spans="3:3" ht="14.25">
      <c r="C479" s="1"/>
    </row>
    <row r="480" spans="3:3" ht="14.25">
      <c r="C480" s="1"/>
    </row>
    <row r="481" spans="3:3" ht="14.25">
      <c r="C481" s="1"/>
    </row>
    <row r="482" spans="3:3" ht="14.25">
      <c r="C482" s="1"/>
    </row>
    <row r="483" spans="3:3" ht="14.25">
      <c r="C483" s="1"/>
    </row>
    <row r="484" spans="3:3" ht="14.25">
      <c r="C484" s="1"/>
    </row>
    <row r="485" spans="3:3" ht="14.25">
      <c r="C485" s="1"/>
    </row>
    <row r="486" spans="3:3" ht="14.25">
      <c r="C486" s="1"/>
    </row>
    <row r="487" spans="3:3" ht="14.25">
      <c r="C487" s="1"/>
    </row>
    <row r="488" spans="3:3" ht="14.25">
      <c r="C488" s="1"/>
    </row>
    <row r="489" spans="3:3" ht="14.25">
      <c r="C489" s="1"/>
    </row>
    <row r="490" spans="3:3" ht="14.25">
      <c r="C490" s="1"/>
    </row>
    <row r="491" spans="3:3" ht="14.25">
      <c r="C491" s="1"/>
    </row>
    <row r="492" spans="3:3" ht="14.25">
      <c r="C492" s="1"/>
    </row>
    <row r="493" spans="3:3" ht="14.25">
      <c r="C493" s="1"/>
    </row>
    <row r="494" spans="3:3" ht="14.25">
      <c r="C494" s="1"/>
    </row>
    <row r="495" spans="3:3" ht="14.25">
      <c r="C495" s="1"/>
    </row>
    <row r="496" spans="3:3" ht="14.25">
      <c r="C496" s="1"/>
    </row>
    <row r="497" spans="3:3" ht="14.25">
      <c r="C497" s="1"/>
    </row>
    <row r="498" spans="3:3" ht="14.25">
      <c r="C498" s="1"/>
    </row>
    <row r="499" spans="3:3" ht="14.25">
      <c r="C499" s="1"/>
    </row>
    <row r="500" spans="3:3" ht="14.25">
      <c r="C500" s="1"/>
    </row>
    <row r="501" spans="3:3" ht="14.25">
      <c r="C501" s="1"/>
    </row>
    <row r="502" spans="3:3" ht="14.25">
      <c r="C502" s="1"/>
    </row>
    <row r="503" spans="3:3" ht="14.25">
      <c r="C503" s="1"/>
    </row>
    <row r="504" spans="3:3" ht="14.25">
      <c r="C504" s="1"/>
    </row>
    <row r="505" spans="3:3" ht="14.25">
      <c r="C505" s="1"/>
    </row>
    <row r="506" spans="3:3" ht="14.25">
      <c r="C506" s="1"/>
    </row>
    <row r="507" spans="3:3" ht="14.25">
      <c r="C507" s="1"/>
    </row>
    <row r="508" spans="3:3" ht="14.25">
      <c r="C508" s="1"/>
    </row>
    <row r="509" spans="3:3" ht="14.25">
      <c r="C509" s="1"/>
    </row>
    <row r="510" spans="3:3" ht="14.25">
      <c r="C510" s="1"/>
    </row>
    <row r="511" spans="3:3" ht="14.25">
      <c r="C511" s="1"/>
    </row>
    <row r="512" spans="3:3" ht="14.25">
      <c r="C512" s="1"/>
    </row>
    <row r="513" spans="3:3" ht="14.25">
      <c r="C513" s="1"/>
    </row>
    <row r="514" spans="3:3" ht="14.25">
      <c r="C514" s="1"/>
    </row>
    <row r="515" spans="3:3" ht="14.25">
      <c r="C515" s="1"/>
    </row>
    <row r="516" spans="3:3" ht="14.25">
      <c r="C516" s="1"/>
    </row>
    <row r="517" spans="3:3" ht="14.25">
      <c r="C517" s="1"/>
    </row>
    <row r="518" spans="3:3" ht="14.25">
      <c r="C518" s="1"/>
    </row>
    <row r="519" spans="3:3" ht="14.25">
      <c r="C519" s="1"/>
    </row>
    <row r="520" spans="3:3" ht="14.25">
      <c r="C520" s="1"/>
    </row>
    <row r="521" spans="3:3" ht="14.25">
      <c r="C521" s="1"/>
    </row>
    <row r="522" spans="3:3" ht="14.25">
      <c r="C522" s="1"/>
    </row>
    <row r="523" spans="3:3" ht="14.25">
      <c r="C523" s="1"/>
    </row>
    <row r="524" spans="3:3" ht="14.25">
      <c r="C524" s="1"/>
    </row>
    <row r="525" spans="3:3" ht="14.25">
      <c r="C525" s="1"/>
    </row>
    <row r="526" spans="3:3" ht="14.25">
      <c r="C526" s="1"/>
    </row>
    <row r="527" spans="3:3" ht="14.25">
      <c r="C527" s="1"/>
    </row>
    <row r="528" spans="3:3" ht="14.25">
      <c r="C528" s="1"/>
    </row>
    <row r="529" spans="3:3" ht="14.25">
      <c r="C529" s="1"/>
    </row>
    <row r="530" spans="3:3" ht="14.25">
      <c r="C530" s="1"/>
    </row>
    <row r="531" spans="3:3" ht="14.25">
      <c r="C531" s="1"/>
    </row>
    <row r="532" spans="3:3" ht="14.25">
      <c r="C532" s="1"/>
    </row>
    <row r="533" spans="3:3" ht="14.25">
      <c r="C533" s="1"/>
    </row>
    <row r="534" spans="3:3" ht="14.25">
      <c r="C534" s="1"/>
    </row>
    <row r="535" spans="3:3" ht="14.25">
      <c r="C535" s="1"/>
    </row>
    <row r="536" spans="3:3" ht="14.25">
      <c r="C536" s="1"/>
    </row>
    <row r="537" spans="3:3" ht="14.25">
      <c r="C537" s="1"/>
    </row>
    <row r="538" spans="3:3" ht="14.25">
      <c r="C538" s="1"/>
    </row>
    <row r="539" spans="3:3" ht="14.25">
      <c r="C539" s="1"/>
    </row>
    <row r="540" spans="3:3" ht="14.25">
      <c r="C540" s="1"/>
    </row>
    <row r="541" spans="3:3" ht="14.25">
      <c r="C541" s="1"/>
    </row>
    <row r="542" spans="3:3" ht="14.25">
      <c r="C542" s="1"/>
    </row>
    <row r="543" spans="3:3" ht="14.25">
      <c r="C543" s="1"/>
    </row>
    <row r="544" spans="3:3" ht="14.25">
      <c r="C544" s="1"/>
    </row>
    <row r="545" spans="3:3" ht="14.25">
      <c r="C545" s="1"/>
    </row>
    <row r="546" spans="3:3" ht="14.25">
      <c r="C546" s="1"/>
    </row>
    <row r="547" spans="3:3" ht="14.25">
      <c r="C547" s="1"/>
    </row>
    <row r="548" spans="3:3" ht="14.25">
      <c r="C548" s="1"/>
    </row>
    <row r="549" spans="3:3" ht="14.25">
      <c r="C549" s="1"/>
    </row>
    <row r="550" spans="3:3" ht="14.25">
      <c r="C550" s="1"/>
    </row>
    <row r="551" spans="3:3" ht="14.25">
      <c r="C551" s="1"/>
    </row>
    <row r="552" spans="3:3" ht="14.25">
      <c r="C552" s="1"/>
    </row>
    <row r="553" spans="3:3" ht="14.25">
      <c r="C553" s="1"/>
    </row>
    <row r="554" spans="3:3" ht="14.25">
      <c r="C554" s="1"/>
    </row>
    <row r="555" spans="3:3" ht="14.25">
      <c r="C555" s="1"/>
    </row>
    <row r="556" spans="3:3" ht="14.25">
      <c r="C556" s="1"/>
    </row>
    <row r="557" spans="3:3" ht="14.25">
      <c r="C557" s="1"/>
    </row>
    <row r="558" spans="3:3" ht="14.25">
      <c r="C558" s="1"/>
    </row>
    <row r="559" spans="3:3" ht="14.25">
      <c r="C559" s="1"/>
    </row>
    <row r="560" spans="3:3" ht="14.25">
      <c r="C560" s="1"/>
    </row>
    <row r="561" spans="3:3" ht="14.25">
      <c r="C561" s="1"/>
    </row>
    <row r="562" spans="3:3" ht="14.25">
      <c r="C562" s="1"/>
    </row>
    <row r="563" spans="3:3" ht="14.25">
      <c r="C563" s="1"/>
    </row>
    <row r="564" spans="3:3" ht="14.25">
      <c r="C564" s="1"/>
    </row>
    <row r="565" spans="3:3" ht="14.25">
      <c r="C565" s="1"/>
    </row>
    <row r="566" spans="3:3" ht="14.25">
      <c r="C566" s="1"/>
    </row>
    <row r="567" spans="3:3" ht="14.25">
      <c r="C567" s="1"/>
    </row>
    <row r="568" spans="3:3" ht="14.25">
      <c r="C568" s="1"/>
    </row>
    <row r="569" spans="3:3" ht="14.25">
      <c r="C569" s="1"/>
    </row>
    <row r="570" spans="3:3" ht="14.25">
      <c r="C570" s="1"/>
    </row>
    <row r="571" spans="3:3" ht="14.25">
      <c r="C571" s="1"/>
    </row>
    <row r="572" spans="3:3" ht="14.25">
      <c r="C572" s="1"/>
    </row>
    <row r="573" spans="3:3" ht="14.25">
      <c r="C573" s="1"/>
    </row>
    <row r="574" spans="3:3" ht="14.25">
      <c r="C574" s="1"/>
    </row>
    <row r="575" spans="3:3" ht="14.25">
      <c r="C575" s="1"/>
    </row>
    <row r="576" spans="3:3" ht="14.25">
      <c r="C576" s="1"/>
    </row>
    <row r="577" spans="3:3" ht="14.25">
      <c r="C577" s="1"/>
    </row>
    <row r="578" spans="3:3" ht="14.25">
      <c r="C578" s="1"/>
    </row>
    <row r="579" spans="3:3" ht="14.25">
      <c r="C579" s="1"/>
    </row>
    <row r="580" spans="3:3" ht="14.25">
      <c r="C580" s="1"/>
    </row>
    <row r="581" spans="3:3" ht="14.25">
      <c r="C581" s="1"/>
    </row>
    <row r="582" spans="3:3" ht="14.25">
      <c r="C582" s="1"/>
    </row>
    <row r="583" spans="3:3" ht="14.25">
      <c r="C583" s="1"/>
    </row>
    <row r="584" spans="3:3" ht="14.25">
      <c r="C584" s="1"/>
    </row>
    <row r="585" spans="3:3" ht="14.25">
      <c r="C585" s="1"/>
    </row>
    <row r="586" spans="3:3" ht="14.25">
      <c r="C586" s="1"/>
    </row>
    <row r="587" spans="3:3" ht="14.25">
      <c r="C587" s="1"/>
    </row>
    <row r="588" spans="3:3" ht="14.25">
      <c r="C588" s="1"/>
    </row>
    <row r="589" spans="3:3" ht="14.25">
      <c r="C589" s="1"/>
    </row>
    <row r="590" spans="3:3" ht="14.25">
      <c r="C590" s="1"/>
    </row>
    <row r="591" spans="3:3" ht="14.25">
      <c r="C591" s="1"/>
    </row>
    <row r="592" spans="3:3" ht="14.25">
      <c r="C592" s="1"/>
    </row>
    <row r="593" spans="3:3" ht="14.25">
      <c r="C593" s="1"/>
    </row>
    <row r="594" spans="3:3" ht="14.25">
      <c r="C594" s="1"/>
    </row>
    <row r="595" spans="3:3" ht="14.25">
      <c r="C595" s="1"/>
    </row>
    <row r="596" spans="3:3" ht="14.25">
      <c r="C596" s="1"/>
    </row>
    <row r="597" spans="3:3" ht="14.25">
      <c r="C597" s="1"/>
    </row>
    <row r="598" spans="3:3" ht="14.25">
      <c r="C598" s="1"/>
    </row>
    <row r="599" spans="3:3" ht="14.25">
      <c r="C599" s="1"/>
    </row>
    <row r="600" spans="3:3" ht="14.25">
      <c r="C600" s="1"/>
    </row>
    <row r="601" spans="3:3" ht="14.25">
      <c r="C601" s="1"/>
    </row>
    <row r="602" spans="3:3" ht="14.25">
      <c r="C602" s="1"/>
    </row>
    <row r="603" spans="3:3" ht="14.25">
      <c r="C603" s="1"/>
    </row>
    <row r="604" spans="3:3" ht="14.25">
      <c r="C604" s="1"/>
    </row>
    <row r="605" spans="3:3" ht="14.25">
      <c r="C605" s="1"/>
    </row>
    <row r="606" spans="3:3" ht="14.25">
      <c r="C606" s="1"/>
    </row>
    <row r="607" spans="3:3" ht="14.25">
      <c r="C607" s="1"/>
    </row>
    <row r="608" spans="3:3" ht="14.25">
      <c r="C608" s="1"/>
    </row>
    <row r="609" spans="3:3" ht="14.25">
      <c r="C609" s="1"/>
    </row>
    <row r="610" spans="3:3" ht="14.25">
      <c r="C610" s="1"/>
    </row>
    <row r="611" spans="3:3" ht="14.25">
      <c r="C611" s="1"/>
    </row>
    <row r="612" spans="3:3" ht="14.25">
      <c r="C612" s="1"/>
    </row>
    <row r="613" spans="3:3" ht="14.25">
      <c r="C613" s="1"/>
    </row>
    <row r="614" spans="3:3" ht="14.25">
      <c r="C614" s="1"/>
    </row>
    <row r="615" spans="3:3" ht="14.25">
      <c r="C615" s="1"/>
    </row>
    <row r="616" spans="3:3" ht="14.25">
      <c r="C616" s="1"/>
    </row>
    <row r="617" spans="3:3" ht="14.25">
      <c r="C617" s="1"/>
    </row>
    <row r="618" spans="3:3" ht="14.25">
      <c r="C618" s="1"/>
    </row>
    <row r="619" spans="3:3" ht="14.25">
      <c r="C619" s="1"/>
    </row>
    <row r="620" spans="3:3" ht="14.25">
      <c r="C620" s="1"/>
    </row>
    <row r="621" spans="3:3" ht="14.25">
      <c r="C621" s="1"/>
    </row>
    <row r="622" spans="3:3" ht="14.25">
      <c r="C622" s="1"/>
    </row>
    <row r="623" spans="3:3" ht="14.25">
      <c r="C623" s="1"/>
    </row>
    <row r="624" spans="3:3" ht="14.25">
      <c r="C624" s="1"/>
    </row>
    <row r="625" spans="3:3" ht="14.25">
      <c r="C625" s="1"/>
    </row>
    <row r="626" spans="3:3" ht="14.25">
      <c r="C626" s="1"/>
    </row>
    <row r="627" spans="3:3" ht="14.25">
      <c r="C627" s="1"/>
    </row>
    <row r="628" spans="3:3" ht="14.25">
      <c r="C628" s="1"/>
    </row>
    <row r="629" spans="3:3" ht="14.25">
      <c r="C629" s="1"/>
    </row>
    <row r="630" spans="3:3" ht="14.25">
      <c r="C630" s="1"/>
    </row>
    <row r="631" spans="3:3" ht="14.25">
      <c r="C631" s="1"/>
    </row>
    <row r="632" spans="3:3" ht="14.25">
      <c r="C632" s="1"/>
    </row>
    <row r="633" spans="3:3" ht="14.25">
      <c r="C633" s="1"/>
    </row>
    <row r="634" spans="3:3" ht="14.25">
      <c r="C634" s="1"/>
    </row>
    <row r="635" spans="3:3" ht="14.25">
      <c r="C635" s="1"/>
    </row>
    <row r="636" spans="3:3" ht="14.25">
      <c r="C636" s="1"/>
    </row>
    <row r="637" spans="3:3" ht="14.25">
      <c r="C637" s="1"/>
    </row>
    <row r="638" spans="3:3" ht="14.25">
      <c r="C638" s="1"/>
    </row>
    <row r="639" spans="3:3" ht="14.25">
      <c r="C639" s="1"/>
    </row>
    <row r="640" spans="3:3" ht="14.25">
      <c r="C640" s="1"/>
    </row>
    <row r="641" spans="3:3" ht="14.25">
      <c r="C641" s="1"/>
    </row>
    <row r="642" spans="3:3" ht="14.25">
      <c r="C642" s="1"/>
    </row>
    <row r="643" spans="3:3" ht="14.25">
      <c r="C643" s="1"/>
    </row>
    <row r="644" spans="3:3" ht="14.25">
      <c r="C644" s="1"/>
    </row>
    <row r="645" spans="3:3" ht="14.25">
      <c r="C645" s="1"/>
    </row>
    <row r="646" spans="3:3" ht="14.25">
      <c r="C646" s="1"/>
    </row>
    <row r="647" spans="3:3" ht="14.25">
      <c r="C647" s="1"/>
    </row>
    <row r="648" spans="3:3" ht="14.25">
      <c r="C648" s="1"/>
    </row>
    <row r="649" spans="3:3" ht="14.25">
      <c r="C649" s="1"/>
    </row>
    <row r="650" spans="3:3" ht="14.25">
      <c r="C650" s="1"/>
    </row>
    <row r="651" spans="3:3" ht="14.25">
      <c r="C651" s="1"/>
    </row>
    <row r="652" spans="3:3" ht="14.25">
      <c r="C652" s="1"/>
    </row>
    <row r="653" spans="3:3" ht="14.25">
      <c r="C653" s="1"/>
    </row>
    <row r="654" spans="3:3" ht="14.25">
      <c r="C654" s="1"/>
    </row>
    <row r="655" spans="3:3" ht="14.25">
      <c r="C655" s="1"/>
    </row>
    <row r="656" spans="3:3" ht="14.25">
      <c r="C656" s="1"/>
    </row>
    <row r="657" spans="3:3" ht="14.25">
      <c r="C657" s="1"/>
    </row>
    <row r="658" spans="3:3" ht="14.25">
      <c r="C658" s="1"/>
    </row>
    <row r="659" spans="3:3" ht="14.25">
      <c r="C659" s="1"/>
    </row>
    <row r="660" spans="3:3" ht="14.25">
      <c r="C660" s="1"/>
    </row>
    <row r="661" spans="3:3" ht="14.25">
      <c r="C661" s="1"/>
    </row>
    <row r="662" spans="3:3" ht="14.25">
      <c r="C662" s="1"/>
    </row>
    <row r="663" spans="3:3" ht="14.25">
      <c r="C663" s="1"/>
    </row>
    <row r="664" spans="3:3" ht="14.25">
      <c r="C664" s="1"/>
    </row>
    <row r="665" spans="3:3" ht="14.25">
      <c r="C665" s="1"/>
    </row>
    <row r="666" spans="3:3" ht="14.25">
      <c r="C666" s="1"/>
    </row>
    <row r="667" spans="3:3" ht="14.25">
      <c r="C667" s="1"/>
    </row>
    <row r="668" spans="3:3" ht="14.25">
      <c r="C668" s="1"/>
    </row>
    <row r="669" spans="3:3" ht="14.25">
      <c r="C669" s="1"/>
    </row>
    <row r="670" spans="3:3" ht="14.25">
      <c r="C670" s="1"/>
    </row>
    <row r="671" spans="3:3" ht="14.25">
      <c r="C671" s="1"/>
    </row>
    <row r="672" spans="3:3" ht="14.25">
      <c r="C672" s="1"/>
    </row>
    <row r="673" spans="3:3" ht="14.25">
      <c r="C673" s="1"/>
    </row>
    <row r="674" spans="3:3" ht="14.25">
      <c r="C674" s="1"/>
    </row>
    <row r="675" spans="3:3" ht="14.25">
      <c r="C675" s="1"/>
    </row>
    <row r="676" spans="3:3" ht="14.25">
      <c r="C676" s="1"/>
    </row>
    <row r="677" spans="3:3" ht="14.25">
      <c r="C677" s="1"/>
    </row>
    <row r="678" spans="3:3" ht="14.25">
      <c r="C678" s="1"/>
    </row>
    <row r="679" spans="3:3" ht="14.25">
      <c r="C679" s="1"/>
    </row>
    <row r="680" spans="3:3" ht="14.25">
      <c r="C680" s="1"/>
    </row>
    <row r="681" spans="3:3" ht="14.25">
      <c r="C681" s="1"/>
    </row>
    <row r="682" spans="3:3" ht="14.25">
      <c r="C682" s="1"/>
    </row>
    <row r="683" spans="3:3" ht="14.25">
      <c r="C683" s="1"/>
    </row>
    <row r="684" spans="3:3" ht="14.25">
      <c r="C684" s="1"/>
    </row>
    <row r="685" spans="3:3" ht="14.25">
      <c r="C685" s="1"/>
    </row>
    <row r="686" spans="3:3" ht="14.25">
      <c r="C686" s="1"/>
    </row>
    <row r="687" spans="3:3" ht="14.25">
      <c r="C687" s="1"/>
    </row>
    <row r="688" spans="3:3" ht="14.25">
      <c r="C688" s="1"/>
    </row>
    <row r="689" spans="3:3" ht="14.25">
      <c r="C689" s="1"/>
    </row>
    <row r="690" spans="3:3" ht="14.25">
      <c r="C690" s="1"/>
    </row>
    <row r="691" spans="3:3" ht="14.25">
      <c r="C691" s="1"/>
    </row>
    <row r="692" spans="3:3" ht="14.25">
      <c r="C692" s="1"/>
    </row>
    <row r="693" spans="3:3" ht="14.25">
      <c r="C693" s="1"/>
    </row>
    <row r="694" spans="3:3" ht="14.25">
      <c r="C694" s="1"/>
    </row>
    <row r="695" spans="3:3" ht="14.25">
      <c r="C695" s="1"/>
    </row>
    <row r="696" spans="3:3" ht="14.25">
      <c r="C696" s="1"/>
    </row>
    <row r="697" spans="3:3" ht="14.25">
      <c r="C697" s="1"/>
    </row>
    <row r="698" spans="3:3" ht="14.25">
      <c r="C698" s="1"/>
    </row>
    <row r="699" spans="3:3" ht="14.25">
      <c r="C699" s="1"/>
    </row>
    <row r="700" spans="3:3" ht="14.25">
      <c r="C700" s="1"/>
    </row>
    <row r="701" spans="3:3" ht="14.25">
      <c r="C701" s="1"/>
    </row>
    <row r="702" spans="3:3" ht="14.25">
      <c r="C702" s="1"/>
    </row>
    <row r="703" spans="3:3" ht="14.25">
      <c r="C703" s="1"/>
    </row>
    <row r="704" spans="3:3" ht="14.25">
      <c r="C704" s="1"/>
    </row>
    <row r="705" spans="3:3" ht="14.25">
      <c r="C705" s="1"/>
    </row>
    <row r="706" spans="3:3" ht="14.25">
      <c r="C706" s="1"/>
    </row>
    <row r="707" spans="3:3" ht="14.25">
      <c r="C707" s="1"/>
    </row>
    <row r="708" spans="3:3" ht="14.25">
      <c r="C708" s="1"/>
    </row>
    <row r="709" spans="3:3" ht="14.25">
      <c r="C709" s="1"/>
    </row>
    <row r="710" spans="3:3" ht="14.25">
      <c r="C710" s="1"/>
    </row>
    <row r="711" spans="3:3" ht="14.25">
      <c r="C711" s="1"/>
    </row>
    <row r="712" spans="3:3" ht="14.25">
      <c r="C712" s="1"/>
    </row>
    <row r="713" spans="3:3" ht="14.25">
      <c r="C713" s="1"/>
    </row>
    <row r="714" spans="3:3" ht="14.25">
      <c r="C714" s="1"/>
    </row>
    <row r="715" spans="3:3" ht="14.25">
      <c r="C715" s="1"/>
    </row>
    <row r="716" spans="3:3" ht="14.25">
      <c r="C716" s="1"/>
    </row>
    <row r="717" spans="3:3" ht="14.25">
      <c r="C717" s="1"/>
    </row>
    <row r="718" spans="3:3" ht="14.25">
      <c r="C718" s="1"/>
    </row>
    <row r="719" spans="3:3" ht="14.25">
      <c r="C719" s="1"/>
    </row>
    <row r="720" spans="3:3" ht="14.25">
      <c r="C720" s="1"/>
    </row>
    <row r="721" spans="3:3" ht="14.25">
      <c r="C721" s="1"/>
    </row>
    <row r="722" spans="3:3" ht="14.25">
      <c r="C722" s="1"/>
    </row>
    <row r="723" spans="3:3" ht="14.25">
      <c r="C723" s="1"/>
    </row>
    <row r="724" spans="3:3" ht="14.25">
      <c r="C724" s="1"/>
    </row>
    <row r="725" spans="3:3" ht="14.25">
      <c r="C725" s="1"/>
    </row>
    <row r="726" spans="3:3" ht="14.25">
      <c r="C726" s="1"/>
    </row>
    <row r="727" spans="3:3" ht="14.25">
      <c r="C727" s="1"/>
    </row>
    <row r="728" spans="3:3" ht="14.25">
      <c r="C728" s="1"/>
    </row>
    <row r="729" spans="3:3" ht="14.25">
      <c r="C729" s="1"/>
    </row>
    <row r="730" spans="3:3" ht="14.25">
      <c r="C730" s="1"/>
    </row>
    <row r="731" spans="3:3" ht="14.25">
      <c r="C731" s="1"/>
    </row>
    <row r="732" spans="3:3" ht="14.25">
      <c r="C732" s="1"/>
    </row>
    <row r="733" spans="3:3" ht="14.25">
      <c r="C733" s="1"/>
    </row>
    <row r="734" spans="3:3" ht="14.25">
      <c r="C734" s="1"/>
    </row>
    <row r="735" spans="3:3" ht="14.25">
      <c r="C735" s="1"/>
    </row>
    <row r="736" spans="3:3" ht="14.25">
      <c r="C736" s="1"/>
    </row>
    <row r="737" spans="3:3" ht="14.25">
      <c r="C737" s="1"/>
    </row>
    <row r="738" spans="3:3" ht="14.25">
      <c r="C738" s="1"/>
    </row>
    <row r="739" spans="3:3" ht="14.25">
      <c r="C739" s="1"/>
    </row>
    <row r="740" spans="3:3" ht="14.25">
      <c r="C740" s="1"/>
    </row>
    <row r="741" spans="3:3" ht="14.25">
      <c r="C741" s="1"/>
    </row>
    <row r="742" spans="3:3" ht="14.25">
      <c r="C742" s="1"/>
    </row>
    <row r="743" spans="3:3" ht="14.25">
      <c r="C743" s="1"/>
    </row>
    <row r="744" spans="3:3" ht="14.25">
      <c r="C744" s="1"/>
    </row>
    <row r="745" spans="3:3" ht="14.25">
      <c r="C745" s="1"/>
    </row>
    <row r="746" spans="3:3" ht="14.25">
      <c r="C746" s="1"/>
    </row>
    <row r="747" spans="3:3" ht="14.25">
      <c r="C747" s="1"/>
    </row>
    <row r="748" spans="3:3" ht="14.25">
      <c r="C748" s="1"/>
    </row>
    <row r="749" spans="3:3" ht="14.25">
      <c r="C749" s="1"/>
    </row>
    <row r="750" spans="3:3" ht="14.25">
      <c r="C750" s="1"/>
    </row>
    <row r="751" spans="3:3" ht="14.25">
      <c r="C751" s="1"/>
    </row>
    <row r="752" spans="3:3" ht="14.25">
      <c r="C752" s="1"/>
    </row>
    <row r="753" spans="3:3" ht="14.25">
      <c r="C753" s="1"/>
    </row>
    <row r="754" spans="3:3" ht="14.25">
      <c r="C754" s="1"/>
    </row>
    <row r="755" spans="3:3" ht="14.25">
      <c r="C755" s="1"/>
    </row>
    <row r="756" spans="3:3" ht="14.25">
      <c r="C756" s="1"/>
    </row>
    <row r="757" spans="3:3" ht="14.25">
      <c r="C757" s="1"/>
    </row>
    <row r="758" spans="3:3" ht="14.25">
      <c r="C758" s="1"/>
    </row>
    <row r="759" spans="3:3" ht="14.25">
      <c r="C759" s="1"/>
    </row>
    <row r="760" spans="3:3" ht="14.25">
      <c r="C760" s="1"/>
    </row>
    <row r="761" spans="3:3" ht="14.25">
      <c r="C761" s="1"/>
    </row>
    <row r="762" spans="3:3" ht="14.25">
      <c r="C762" s="1"/>
    </row>
    <row r="763" spans="3:3" ht="14.25">
      <c r="C763" s="1"/>
    </row>
    <row r="764" spans="3:3" ht="14.25">
      <c r="C764" s="1"/>
    </row>
    <row r="765" spans="3:3" ht="14.25">
      <c r="C765" s="1"/>
    </row>
    <row r="766" spans="3:3" ht="14.25">
      <c r="C766" s="1"/>
    </row>
    <row r="767" spans="3:3" ht="14.25">
      <c r="C767" s="1"/>
    </row>
    <row r="768" spans="3:3" ht="14.25">
      <c r="C768" s="1"/>
    </row>
    <row r="769" spans="3:3" ht="14.25">
      <c r="C769" s="1"/>
    </row>
    <row r="770" spans="3:3" ht="14.25">
      <c r="C770" s="1"/>
    </row>
    <row r="771" spans="3:3" ht="14.25">
      <c r="C771" s="1"/>
    </row>
    <row r="772" spans="3:3" ht="14.25">
      <c r="C772" s="1"/>
    </row>
    <row r="773" spans="3:3" ht="14.25">
      <c r="C773" s="1"/>
    </row>
    <row r="774" spans="3:3" ht="14.25">
      <c r="C774" s="1"/>
    </row>
    <row r="775" spans="3:3" ht="14.25">
      <c r="C775" s="1"/>
    </row>
    <row r="776" spans="3:3" ht="14.25">
      <c r="C776" s="1"/>
    </row>
    <row r="777" spans="3:3" ht="14.25">
      <c r="C777" s="1"/>
    </row>
    <row r="778" spans="3:3" ht="14.25">
      <c r="C778" s="1"/>
    </row>
    <row r="779" spans="3:3" ht="14.25">
      <c r="C779" s="1"/>
    </row>
    <row r="780" spans="3:3" ht="14.25">
      <c r="C780" s="1"/>
    </row>
    <row r="781" spans="3:3" ht="14.25">
      <c r="C781" s="1"/>
    </row>
    <row r="782" spans="3:3" ht="14.25">
      <c r="C782" s="1"/>
    </row>
    <row r="783" spans="3:3" ht="14.25">
      <c r="C783" s="1"/>
    </row>
    <row r="784" spans="3:3" ht="14.25">
      <c r="C784" s="1"/>
    </row>
    <row r="785" spans="3:3" ht="14.25">
      <c r="C785" s="1"/>
    </row>
    <row r="786" spans="3:3" ht="14.25">
      <c r="C786" s="1"/>
    </row>
    <row r="787" spans="3:3" ht="14.25">
      <c r="C787" s="1"/>
    </row>
    <row r="788" spans="3:3" ht="14.25">
      <c r="C788" s="1"/>
    </row>
    <row r="789" spans="3:3" ht="14.25">
      <c r="C789" s="1"/>
    </row>
    <row r="790" spans="3:3" ht="14.25">
      <c r="C790" s="1"/>
    </row>
    <row r="791" spans="3:3" ht="14.25">
      <c r="C791" s="1"/>
    </row>
    <row r="792" spans="3:3" ht="14.25">
      <c r="C792" s="1"/>
    </row>
    <row r="793" spans="3:3" ht="14.25">
      <c r="C793" s="1"/>
    </row>
    <row r="794" spans="3:3" ht="14.25">
      <c r="C794" s="1"/>
    </row>
    <row r="795" spans="3:3" ht="14.25">
      <c r="C795" s="1"/>
    </row>
    <row r="796" spans="3:3" ht="14.25">
      <c r="C796" s="1"/>
    </row>
    <row r="797" spans="3:3" ht="14.25">
      <c r="C797" s="1"/>
    </row>
    <row r="798" spans="3:3" ht="14.25">
      <c r="C798" s="1"/>
    </row>
    <row r="799" spans="3:3" ht="14.25">
      <c r="C799" s="1"/>
    </row>
    <row r="800" spans="3:3" ht="14.25">
      <c r="C800" s="1"/>
    </row>
    <row r="801" spans="3:3" ht="14.25">
      <c r="C801" s="1"/>
    </row>
    <row r="802" spans="3:3" ht="14.25">
      <c r="C802" s="1"/>
    </row>
    <row r="803" spans="3:3" ht="14.25">
      <c r="C803" s="1"/>
    </row>
    <row r="804" spans="3:3" ht="14.25">
      <c r="C804" s="1"/>
    </row>
    <row r="805" spans="3:3" ht="14.25">
      <c r="C805" s="1"/>
    </row>
    <row r="806" spans="3:3" ht="14.25">
      <c r="C806" s="1"/>
    </row>
    <row r="807" spans="3:3" ht="14.25">
      <c r="C807" s="1"/>
    </row>
    <row r="808" spans="3:3" ht="14.25">
      <c r="C808" s="1"/>
    </row>
    <row r="809" spans="3:3" ht="14.25">
      <c r="C809" s="1"/>
    </row>
    <row r="810" spans="3:3" ht="14.25">
      <c r="C810" s="1"/>
    </row>
    <row r="811" spans="3:3" ht="14.25">
      <c r="C811" s="1"/>
    </row>
    <row r="812" spans="3:3" ht="14.25">
      <c r="C812" s="1"/>
    </row>
    <row r="813" spans="3:3" ht="14.25">
      <c r="C813" s="1"/>
    </row>
    <row r="814" spans="3:3" ht="14.25">
      <c r="C814" s="1"/>
    </row>
    <row r="815" spans="3:3" ht="14.25">
      <c r="C815" s="1"/>
    </row>
    <row r="816" spans="3:3" ht="14.25">
      <c r="C816" s="1"/>
    </row>
    <row r="817" spans="3:3" ht="14.25">
      <c r="C817" s="1"/>
    </row>
    <row r="818" spans="3:3" ht="14.25">
      <c r="C818" s="1"/>
    </row>
    <row r="819" spans="3:3" ht="14.25">
      <c r="C819" s="1"/>
    </row>
    <row r="820" spans="3:3" ht="14.25">
      <c r="C820" s="1"/>
    </row>
    <row r="821" spans="3:3" ht="14.25">
      <c r="C821" s="1"/>
    </row>
    <row r="822" spans="3:3" ht="14.25">
      <c r="C822" s="1"/>
    </row>
    <row r="823" spans="3:3" ht="14.25">
      <c r="C823" s="1"/>
    </row>
    <row r="824" spans="3:3" ht="14.25">
      <c r="C824" s="1"/>
    </row>
    <row r="825" spans="3:3" ht="14.25">
      <c r="C825" s="1"/>
    </row>
    <row r="826" spans="3:3" ht="14.25">
      <c r="C826" s="1"/>
    </row>
    <row r="827" spans="3:3" ht="14.25">
      <c r="C827" s="1"/>
    </row>
    <row r="828" spans="3:3" ht="14.25">
      <c r="C828" s="1"/>
    </row>
    <row r="829" spans="3:3" ht="14.25">
      <c r="C829" s="1"/>
    </row>
    <row r="830" spans="3:3" ht="14.25">
      <c r="C830" s="1"/>
    </row>
    <row r="831" spans="3:3" ht="14.25">
      <c r="C831" s="1"/>
    </row>
    <row r="832" spans="3:3" ht="14.25">
      <c r="C832" s="1"/>
    </row>
    <row r="833" spans="3:3" ht="14.25">
      <c r="C833" s="1"/>
    </row>
    <row r="834" spans="3:3" ht="14.25">
      <c r="C834" s="1"/>
    </row>
    <row r="835" spans="3:3" ht="14.25">
      <c r="C835" s="1"/>
    </row>
    <row r="836" spans="3:3" ht="14.25">
      <c r="C836" s="1"/>
    </row>
    <row r="837" spans="3:3" ht="14.25">
      <c r="C837" s="1"/>
    </row>
    <row r="838" spans="3:3" ht="14.25">
      <c r="C838" s="1"/>
    </row>
    <row r="839" spans="3:3" ht="14.25">
      <c r="C839" s="1"/>
    </row>
    <row r="840" spans="3:3" ht="14.25">
      <c r="C840" s="1"/>
    </row>
    <row r="841" spans="3:3" ht="14.25">
      <c r="C841" s="1"/>
    </row>
    <row r="842" spans="3:3" ht="14.25">
      <c r="C842" s="1"/>
    </row>
    <row r="843" spans="3:3" ht="14.25">
      <c r="C843" s="1"/>
    </row>
    <row r="844" spans="3:3" ht="14.25">
      <c r="C844" s="1"/>
    </row>
    <row r="845" spans="3:3" ht="14.25">
      <c r="C845" s="1"/>
    </row>
    <row r="846" spans="3:3" ht="14.25">
      <c r="C846" s="1"/>
    </row>
    <row r="847" spans="3:3" ht="14.25">
      <c r="C847" s="1"/>
    </row>
    <row r="848" spans="3:3" ht="14.25">
      <c r="C848" s="1"/>
    </row>
    <row r="849" spans="3:3" ht="14.25">
      <c r="C849" s="1"/>
    </row>
    <row r="850" spans="3:3" ht="14.25">
      <c r="C850" s="1"/>
    </row>
    <row r="851" spans="3:3" ht="14.25">
      <c r="C851" s="1"/>
    </row>
    <row r="852" spans="3:3" ht="14.25">
      <c r="C852" s="1"/>
    </row>
    <row r="853" spans="3:3" ht="14.25">
      <c r="C853" s="1"/>
    </row>
    <row r="854" spans="3:3" ht="14.25">
      <c r="C854" s="1"/>
    </row>
    <row r="855" spans="3:3" ht="14.25">
      <c r="C855" s="1"/>
    </row>
    <row r="856" spans="3:3" ht="14.25">
      <c r="C856" s="1"/>
    </row>
    <row r="857" spans="3:3" ht="14.25">
      <c r="C857" s="1"/>
    </row>
    <row r="858" spans="3:3" ht="14.25">
      <c r="C858" s="1"/>
    </row>
    <row r="859" spans="3:3" ht="14.25">
      <c r="C859" s="1"/>
    </row>
    <row r="860" spans="3:3" ht="14.25">
      <c r="C860" s="1"/>
    </row>
    <row r="861" spans="3:3" ht="14.25">
      <c r="C861" s="1"/>
    </row>
    <row r="862" spans="3:3" ht="14.25">
      <c r="C862" s="1"/>
    </row>
    <row r="863" spans="3:3" ht="14.25">
      <c r="C863" s="1"/>
    </row>
    <row r="864" spans="3:3" ht="14.25">
      <c r="C864" s="1"/>
    </row>
    <row r="865" spans="3:3" ht="14.25">
      <c r="C865" s="1"/>
    </row>
    <row r="866" spans="3:3" ht="14.25">
      <c r="C866" s="1"/>
    </row>
    <row r="867" spans="3:3" ht="14.25">
      <c r="C867" s="1"/>
    </row>
    <row r="868" spans="3:3" ht="14.25">
      <c r="C868" s="1"/>
    </row>
    <row r="869" spans="3:3" ht="14.25">
      <c r="C869" s="1"/>
    </row>
    <row r="870" spans="3:3" ht="14.25">
      <c r="C870" s="1"/>
    </row>
    <row r="871" spans="3:3" ht="14.25">
      <c r="C871" s="1"/>
    </row>
    <row r="872" spans="3:3" ht="14.25">
      <c r="C872" s="1"/>
    </row>
    <row r="873" spans="3:3" ht="14.25">
      <c r="C873" s="1"/>
    </row>
    <row r="874" spans="3:3" ht="14.25">
      <c r="C874" s="1"/>
    </row>
    <row r="875" spans="3:3" ht="14.25">
      <c r="C875" s="1"/>
    </row>
    <row r="876" spans="3:3" ht="14.25">
      <c r="C876" s="1"/>
    </row>
    <row r="877" spans="3:3" ht="14.25">
      <c r="C877" s="1"/>
    </row>
    <row r="878" spans="3:3" ht="14.25">
      <c r="C878" s="1"/>
    </row>
    <row r="879" spans="3:3" ht="14.25">
      <c r="C879" s="1"/>
    </row>
    <row r="880" spans="3:3" ht="14.25">
      <c r="C880" s="1"/>
    </row>
    <row r="881" spans="3:3" ht="14.25">
      <c r="C881" s="1"/>
    </row>
    <row r="882" spans="3:3" ht="14.25">
      <c r="C882" s="1"/>
    </row>
    <row r="883" spans="3:3" ht="14.25">
      <c r="C883" s="1"/>
    </row>
    <row r="884" spans="3:3" ht="14.25">
      <c r="C884" s="1"/>
    </row>
    <row r="885" spans="3:3" ht="14.25">
      <c r="C885" s="1"/>
    </row>
    <row r="886" spans="3:3" ht="14.25">
      <c r="C886" s="1"/>
    </row>
    <row r="887" spans="3:3" ht="14.25">
      <c r="C887" s="1"/>
    </row>
    <row r="888" spans="3:3" ht="14.25">
      <c r="C888" s="1"/>
    </row>
    <row r="889" spans="3:3" ht="14.25">
      <c r="C889" s="1"/>
    </row>
    <row r="890" spans="3:3" ht="14.25">
      <c r="C890" s="1"/>
    </row>
    <row r="891" spans="3:3" ht="14.25">
      <c r="C891" s="1"/>
    </row>
    <row r="892" spans="3:3" ht="14.25">
      <c r="C892" s="1"/>
    </row>
    <row r="893" spans="3:3" ht="14.25">
      <c r="C893" s="1"/>
    </row>
    <row r="894" spans="3:3" ht="14.25">
      <c r="C894" s="1"/>
    </row>
    <row r="895" spans="3:3" ht="14.25">
      <c r="C895" s="1"/>
    </row>
    <row r="896" spans="3:3" ht="14.25">
      <c r="C896" s="1"/>
    </row>
    <row r="897" spans="3:3" ht="14.25">
      <c r="C897" s="1"/>
    </row>
    <row r="898" spans="3:3" ht="14.25">
      <c r="C898" s="1"/>
    </row>
    <row r="899" spans="3:3" ht="14.25">
      <c r="C899" s="1"/>
    </row>
    <row r="900" spans="3:3" ht="14.25">
      <c r="C900" s="1"/>
    </row>
    <row r="901" spans="3:3" ht="14.25">
      <c r="C901" s="1"/>
    </row>
    <row r="902" spans="3:3" ht="14.25">
      <c r="C902" s="1"/>
    </row>
    <row r="903" spans="3:3" ht="14.25">
      <c r="C903" s="1"/>
    </row>
    <row r="904" spans="3:3" ht="14.25">
      <c r="C904" s="1"/>
    </row>
    <row r="905" spans="3:3" ht="14.25">
      <c r="C905" s="1"/>
    </row>
    <row r="906" spans="3:3" ht="14.25">
      <c r="C906" s="1"/>
    </row>
    <row r="907" spans="3:3" ht="14.25">
      <c r="C907" s="1"/>
    </row>
    <row r="908" spans="3:3" ht="14.25">
      <c r="C908" s="1"/>
    </row>
    <row r="909" spans="3:3" ht="14.25">
      <c r="C909" s="1"/>
    </row>
    <row r="910" spans="3:3" ht="14.25">
      <c r="C910" s="1"/>
    </row>
    <row r="911" spans="3:3" ht="14.25">
      <c r="C911" s="1"/>
    </row>
    <row r="912" spans="3:3" ht="14.25">
      <c r="C912" s="1"/>
    </row>
    <row r="913" spans="3:3" ht="14.25">
      <c r="C913" s="1"/>
    </row>
    <row r="914" spans="3:3" ht="14.25">
      <c r="C914" s="1"/>
    </row>
    <row r="915" spans="3:3" ht="14.25">
      <c r="C915" s="1"/>
    </row>
    <row r="916" spans="3:3" ht="14.25">
      <c r="C916" s="1"/>
    </row>
    <row r="917" spans="3:3" ht="14.25">
      <c r="C917" s="1"/>
    </row>
    <row r="918" spans="3:3" ht="14.25">
      <c r="C918" s="1"/>
    </row>
    <row r="919" spans="3:3" ht="14.25">
      <c r="C919" s="1"/>
    </row>
    <row r="920" spans="3:3" ht="14.25">
      <c r="C920" s="1"/>
    </row>
    <row r="921" spans="3:3" ht="14.25">
      <c r="C921" s="1"/>
    </row>
    <row r="922" spans="3:3" ht="14.25">
      <c r="C922" s="1"/>
    </row>
    <row r="923" spans="3:3" ht="14.25">
      <c r="C923" s="1"/>
    </row>
    <row r="924" spans="3:3" ht="14.25">
      <c r="C924" s="1"/>
    </row>
    <row r="925" spans="3:3" ht="14.25">
      <c r="C925" s="1"/>
    </row>
    <row r="926" spans="3:3" ht="14.25">
      <c r="C926" s="1"/>
    </row>
    <row r="927" spans="3:3" ht="14.25">
      <c r="C927" s="1"/>
    </row>
    <row r="928" spans="3:3" ht="14.25">
      <c r="C928" s="1"/>
    </row>
    <row r="929" spans="3:3" ht="14.25">
      <c r="C929" s="1"/>
    </row>
    <row r="930" spans="3:3" ht="14.25">
      <c r="C930" s="1"/>
    </row>
    <row r="931" spans="3:3" ht="14.25">
      <c r="C931" s="1"/>
    </row>
    <row r="932" spans="3:3" ht="14.25">
      <c r="C932" s="1"/>
    </row>
    <row r="933" spans="3:3" ht="14.25">
      <c r="C933" s="1"/>
    </row>
    <row r="934" spans="3:3" ht="14.25">
      <c r="C934" s="1"/>
    </row>
    <row r="935" spans="3:3" ht="14.25">
      <c r="C935" s="1"/>
    </row>
    <row r="936" spans="3:3" ht="14.25">
      <c r="C936" s="1"/>
    </row>
    <row r="937" spans="3:3" ht="14.25">
      <c r="C937" s="1"/>
    </row>
    <row r="938" spans="3:3" ht="14.25">
      <c r="C938" s="1"/>
    </row>
    <row r="939" spans="3:3" ht="14.25">
      <c r="C939" s="1"/>
    </row>
    <row r="940" spans="3:3" ht="14.25">
      <c r="C940" s="1"/>
    </row>
    <row r="941" spans="3:3" ht="14.25">
      <c r="C941" s="1"/>
    </row>
    <row r="942" spans="3:3" ht="14.25">
      <c r="C942" s="1"/>
    </row>
    <row r="943" spans="3:3" ht="14.25">
      <c r="C943" s="1"/>
    </row>
    <row r="944" spans="3:3" ht="14.25">
      <c r="C944" s="1"/>
    </row>
    <row r="945" spans="3:3" ht="14.25">
      <c r="C945" s="1"/>
    </row>
    <row r="946" spans="3:3" ht="14.25">
      <c r="C946" s="1"/>
    </row>
    <row r="947" spans="3:3" ht="14.25">
      <c r="C947" s="1"/>
    </row>
    <row r="948" spans="3:3" ht="14.25">
      <c r="C948" s="1"/>
    </row>
    <row r="949" spans="3:3" ht="14.25">
      <c r="C949" s="1"/>
    </row>
    <row r="950" spans="3:3" ht="14.25">
      <c r="C950" s="1"/>
    </row>
    <row r="951" spans="3:3" ht="14.25">
      <c r="C951" s="1"/>
    </row>
    <row r="952" spans="3:3" ht="14.25">
      <c r="C952" s="1"/>
    </row>
    <row r="953" spans="3:3" ht="14.25">
      <c r="C953" s="1"/>
    </row>
    <row r="954" spans="3:3" ht="14.25">
      <c r="C954" s="1"/>
    </row>
    <row r="955" spans="3:3" ht="14.25">
      <c r="C955" s="1"/>
    </row>
    <row r="956" spans="3:3" ht="14.25">
      <c r="C956" s="1"/>
    </row>
    <row r="957" spans="3:3" ht="14.25">
      <c r="C957" s="1"/>
    </row>
    <row r="958" spans="3:3" ht="14.25">
      <c r="C958" s="1"/>
    </row>
    <row r="959" spans="3:3" ht="14.25">
      <c r="C959" s="1"/>
    </row>
    <row r="960" spans="3:3" ht="14.25">
      <c r="C960" s="1"/>
    </row>
    <row r="961" spans="3:3" ht="14.25">
      <c r="C961" s="1"/>
    </row>
    <row r="962" spans="3:3" ht="14.25">
      <c r="C962" s="1"/>
    </row>
    <row r="963" spans="3:3" ht="14.25">
      <c r="C963" s="1"/>
    </row>
    <row r="964" spans="3:3" ht="14.25">
      <c r="C964" s="1"/>
    </row>
    <row r="965" spans="3:3" ht="14.25">
      <c r="C965" s="1"/>
    </row>
    <row r="966" spans="3:3" ht="14.25">
      <c r="C966" s="1"/>
    </row>
    <row r="967" spans="3:3" ht="14.25">
      <c r="C967" s="1"/>
    </row>
    <row r="968" spans="3:3" ht="14.25">
      <c r="C968" s="1"/>
    </row>
    <row r="969" spans="3:3" ht="14.25">
      <c r="C969" s="1"/>
    </row>
    <row r="970" spans="3:3" ht="14.25">
      <c r="C970" s="1"/>
    </row>
    <row r="971" spans="3:3" ht="14.25">
      <c r="C971" s="1"/>
    </row>
    <row r="972" spans="3:3" ht="14.25">
      <c r="C972" s="1"/>
    </row>
    <row r="973" spans="3:3" ht="14.25">
      <c r="C973" s="1"/>
    </row>
    <row r="974" spans="3:3" ht="14.25">
      <c r="C974" s="1"/>
    </row>
    <row r="975" spans="3:3" ht="14.25">
      <c r="C975" s="1"/>
    </row>
    <row r="976" spans="3:3" ht="14.25">
      <c r="C976" s="1"/>
    </row>
    <row r="977" spans="3:3" ht="14.25">
      <c r="C977" s="1"/>
    </row>
    <row r="978" spans="3:3" ht="14.25">
      <c r="C978" s="1"/>
    </row>
    <row r="979" spans="3:3" ht="14.25">
      <c r="C979" s="1"/>
    </row>
    <row r="980" spans="3:3" ht="14.25">
      <c r="C980" s="1"/>
    </row>
    <row r="981" spans="3:3" ht="14.25">
      <c r="C981" s="1"/>
    </row>
    <row r="982" spans="3:3" ht="14.25">
      <c r="C982" s="1"/>
    </row>
    <row r="983" spans="3:3" ht="14.25">
      <c r="C983" s="1"/>
    </row>
    <row r="984" spans="3:3" ht="14.25">
      <c r="C984" s="1"/>
    </row>
    <row r="985" spans="3:3" ht="14.25">
      <c r="C985" s="1"/>
    </row>
    <row r="986" spans="3:3" ht="14.25">
      <c r="C986" s="1"/>
    </row>
    <row r="987" spans="3:3" ht="14.25">
      <c r="C987" s="1"/>
    </row>
    <row r="988" spans="3:3" ht="14.25">
      <c r="C988" s="1"/>
    </row>
    <row r="989" spans="3:3" ht="14.25">
      <c r="C989" s="1"/>
    </row>
    <row r="990" spans="3:3" ht="14.25">
      <c r="C990" s="1"/>
    </row>
    <row r="991" spans="3:3" ht="14.25">
      <c r="C991" s="1"/>
    </row>
    <row r="992" spans="3:3" ht="14.25">
      <c r="C992" s="1"/>
    </row>
    <row r="993" spans="3:3" ht="14.25">
      <c r="C993" s="1"/>
    </row>
    <row r="994" spans="3:3" ht="14.25">
      <c r="C994" s="1"/>
    </row>
    <row r="995" spans="3:3" ht="14.25">
      <c r="C995" s="1"/>
    </row>
    <row r="996" spans="3:3" ht="14.25">
      <c r="C996" s="1"/>
    </row>
    <row r="997" spans="3:3" ht="14.25">
      <c r="C997" s="1"/>
    </row>
    <row r="998" spans="3:3" ht="14.25">
      <c r="C998" s="1"/>
    </row>
    <row r="999" spans="3:3" ht="14.25">
      <c r="C999" s="1"/>
    </row>
    <row r="1000" spans="3:3" ht="14.25">
      <c r="C1000" s="1"/>
    </row>
    <row r="1001" spans="3:3" ht="14.25">
      <c r="C1001" s="1"/>
    </row>
    <row r="1002" spans="3:3" ht="14.25">
      <c r="C1002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'שלב א - טעינת דפי מקור'!#REF!</xm:f>
          </x14:formula1>
          <xm:sqref>C4:C1002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10"/>
  <dimension ref="A1:AH323"/>
  <sheetViews>
    <sheetView rightToLeft="1" zoomScale="90" zoomScaleNormal="90" workbookViewId="0">
      <pane ySplit="1" topLeftCell="A2" activePane="bottomLeft" state="frozen"/>
      <selection activeCell="B9" sqref="B9:C9"/>
      <selection pane="bottomLeft" activeCell="A2" sqref="A2"/>
    </sheetView>
  </sheetViews>
  <sheetFormatPr defaultColWidth="0" defaultRowHeight="15"/>
  <cols>
    <col min="1" max="1" customWidth="true" style="135" width="14.0"/>
    <col min="2" max="2" customWidth="true" style="135" width="13.875"/>
    <col min="3" max="3" customWidth="true" style="135" width="14.25"/>
    <col min="4" max="4" customWidth="true" style="135" width="18.875"/>
    <col min="5" max="5" customWidth="true" style="135" width="18.375"/>
    <col min="6" max="6" customWidth="true" style="135" width="10.375"/>
    <col min="7" max="7" customWidth="true" style="135" width="20.25"/>
    <col min="8" max="8" customWidth="true" style="135" width="17.875"/>
    <col min="9" max="9" customWidth="true" style="135" width="16.75"/>
    <col min="10" max="10" customWidth="true" style="135" width="13.5"/>
    <col min="11" max="11" customWidth="true" style="135" width="17.375"/>
    <col min="12" max="12" customWidth="true" style="135" width="23.125"/>
    <col min="13" max="13" customWidth="true" style="135" width="14.375"/>
    <col min="14" max="14" customWidth="true" style="135" width="29.5"/>
    <col min="15" max="15" customWidth="true" style="135" width="18.125"/>
    <col min="16" max="16" customWidth="true" style="135" width="21.125"/>
    <col min="17" max="17" bestFit="true" customWidth="true" style="135" width="9.75"/>
    <col min="18" max="18" customWidth="true" style="135" width="12.625"/>
    <col min="19" max="19" bestFit="true" customWidth="true" style="135" width="15.375"/>
    <col min="20" max="26" customWidth="true" style="135" width="8.75"/>
    <col min="27" max="27" customWidth="true" hidden="true" style="139" width="14.0"/>
    <col min="28" max="28" customWidth="true" hidden="true" style="139" width="12.5"/>
    <col min="29" max="29" customWidth="true" hidden="true" style="139" width="20.75"/>
    <col min="30" max="30" customWidth="true" hidden="true" style="139" width="21.0"/>
    <col min="31" max="32" customWidth="true" hidden="true" style="135" width="8.75"/>
    <col min="33" max="33" customWidth="true" hidden="true" style="135" width="17.25"/>
    <col min="34" max="34" customWidth="true" hidden="true" style="135" width="11.25"/>
    <col min="35" max="52" customWidth="true" style="135" width="8.75"/>
    <col min="53" max="16384" hidden="true" style="135" width="8.75"/>
  </cols>
  <sheetData>
    <row r="1" spans="1:34" ht="21">
      <c r="A1" s="176" t="s">
        <v>352</v>
      </c>
      <c r="B1" s="176" t="s">
        <v>350</v>
      </c>
      <c r="C1" s="176" t="s">
        <v>347</v>
      </c>
      <c r="D1" s="176" t="s">
        <v>362</v>
      </c>
      <c r="E1" s="176" t="s">
        <v>355</v>
      </c>
      <c r="F1" s="176" t="s">
        <v>358</v>
      </c>
      <c r="G1" s="176" t="s">
        <v>349</v>
      </c>
      <c r="H1" s="176" t="s">
        <v>353</v>
      </c>
      <c r="I1" s="176" t="s">
        <v>354</v>
      </c>
      <c r="J1" s="176" t="s">
        <v>345</v>
      </c>
      <c r="K1" s="176" t="s">
        <v>351</v>
      </c>
      <c r="L1" s="176" t="s">
        <v>361</v>
      </c>
      <c r="M1" s="176" t="s">
        <v>356</v>
      </c>
      <c r="N1" s="176" t="s">
        <v>357</v>
      </c>
      <c r="O1" s="176" t="s">
        <v>359</v>
      </c>
      <c r="P1" s="176" t="s">
        <v>360</v>
      </c>
      <c r="Q1" s="194" t="s">
        <v>348</v>
      </c>
      <c r="R1" s="194" t="s">
        <v>346</v>
      </c>
      <c r="S1" s="194" t="s">
        <v>344</v>
      </c>
    </row>
    <row r="2" spans="1:34">
      <c r="A2" s="156" t="s">
        <v>17</v>
      </c>
      <c r="B2" s="157" t="s">
        <v>404</v>
      </c>
      <c r="C2" s="157" t="s">
        <v>282</v>
      </c>
      <c r="D2" s="157" t="s">
        <v>335</v>
      </c>
      <c r="E2" s="157" t="s">
        <v>13</v>
      </c>
      <c r="F2" s="157" t="s">
        <v>309</v>
      </c>
      <c r="G2" s="158" t="s">
        <v>286</v>
      </c>
      <c r="H2" s="158" t="s">
        <v>298</v>
      </c>
      <c r="I2" s="158" t="s">
        <v>400</v>
      </c>
      <c r="J2" s="158" t="s">
        <v>325</v>
      </c>
      <c r="K2" s="158" t="s">
        <v>313</v>
      </c>
      <c r="L2" s="158" t="s">
        <v>330</v>
      </c>
      <c r="M2" s="158" t="s">
        <v>301</v>
      </c>
      <c r="N2" s="159" t="s">
        <v>342</v>
      </c>
      <c r="O2" s="158" t="s">
        <v>317</v>
      </c>
      <c r="P2" s="158" t="s">
        <v>319</v>
      </c>
      <c r="Q2" s="160" t="s">
        <v>394</v>
      </c>
      <c r="R2" s="160" t="s">
        <v>5</v>
      </c>
      <c r="S2" s="160" t="s">
        <v>272</v>
      </c>
      <c r="AA2" s="139" t="s">
        <v>388</v>
      </c>
      <c r="AB2" s="139" t="s">
        <v>389</v>
      </c>
      <c r="AC2" s="139" t="s">
        <v>390</v>
      </c>
      <c r="AD2" s="139" t="s">
        <v>391</v>
      </c>
    </row>
    <row r="3" spans="1:34">
      <c r="A3" s="156" t="s">
        <v>293</v>
      </c>
      <c r="B3" s="157" t="s">
        <v>341</v>
      </c>
      <c r="C3" s="157" t="s">
        <v>283</v>
      </c>
      <c r="D3" s="157" t="s">
        <v>336</v>
      </c>
      <c r="E3" s="157" t="s">
        <v>12</v>
      </c>
      <c r="F3" s="157" t="s">
        <v>310</v>
      </c>
      <c r="G3" s="158" t="s">
        <v>288</v>
      </c>
      <c r="H3" s="158" t="s">
        <v>294</v>
      </c>
      <c r="I3" s="158" t="s">
        <v>295</v>
      </c>
      <c r="J3" s="158" t="s">
        <v>278</v>
      </c>
      <c r="K3" s="158" t="s">
        <v>291</v>
      </c>
      <c r="L3" s="159" t="s">
        <v>320</v>
      </c>
      <c r="M3" s="159" t="s">
        <v>2</v>
      </c>
      <c r="N3" s="159" t="s">
        <v>305</v>
      </c>
      <c r="O3" s="165"/>
      <c r="P3" s="158" t="s">
        <v>318</v>
      </c>
      <c r="Q3" s="161" t="s">
        <v>395</v>
      </c>
      <c r="R3" s="160" t="s">
        <v>274</v>
      </c>
      <c r="S3" s="160" t="s">
        <v>11</v>
      </c>
      <c r="AC3" s="169"/>
      <c r="AD3" s="170"/>
    </row>
    <row r="4" spans="1:34">
      <c r="A4" s="156" t="s">
        <v>379</v>
      </c>
      <c r="B4" s="157" t="s">
        <v>321</v>
      </c>
      <c r="C4" s="157" t="s">
        <v>284</v>
      </c>
      <c r="D4" s="157" t="s">
        <v>337</v>
      </c>
      <c r="E4" s="157" t="s">
        <v>14</v>
      </c>
      <c r="F4" s="157" t="s">
        <v>311</v>
      </c>
      <c r="G4" s="158" t="s">
        <v>308</v>
      </c>
      <c r="H4" s="158" t="s">
        <v>297</v>
      </c>
      <c r="I4" s="159" t="s">
        <v>332</v>
      </c>
      <c r="J4" s="158" t="s">
        <v>280</v>
      </c>
      <c r="K4" s="158" t="s">
        <v>315</v>
      </c>
      <c r="L4" s="159" t="s">
        <v>331</v>
      </c>
      <c r="M4" s="159" t="s">
        <v>3</v>
      </c>
      <c r="N4" s="165"/>
      <c r="O4" s="165"/>
      <c r="P4" s="158" t="s">
        <v>70</v>
      </c>
      <c r="Q4" s="162" t="s">
        <v>396</v>
      </c>
      <c r="R4" s="160" t="s">
        <v>7</v>
      </c>
      <c r="S4" s="161" t="s">
        <v>72</v>
      </c>
      <c r="AA4" s="139" t="str">
        <f>IF(A2="","",A2)</f>
        <v>מזון</v>
      </c>
      <c r="AB4" s="139" t="str">
        <f>IF(Q2="","",Q2)</f>
        <v>שכר עבודה 1</v>
      </c>
      <c r="AC4" s="171" t="str">
        <f ca="1">IFERROR(INDEX(BlanksRangeExp,SMALL((IF(LEN(BlanksRangeExp),ROW(INDIRECT("1:"&amp;ROWS(BlanksRangeExp))))),ROW(A1)),1),"")</f>
        <v>מזון</v>
      </c>
      <c r="AD4" s="172" t="str">
        <f t="array" aca="1" ref="AD4" ca="1">IFERROR(INDEX(BlanksRangeInc,SMALL((IF(LEN(BlanksRangeInc),ROW(INDIRECT("1:"&amp;ROWS(BlanksRangeInc))))),ROW(A1)),1),"")</f>
        <v>שכר עבודה 1</v>
      </c>
      <c r="AG4" s="142" t="str">
        <f>טבלה4[[#Headers],[מזון ופארמה]]</f>
        <v>מזון ופארמה</v>
      </c>
      <c r="AH4" s="143" t="s">
        <v>363</v>
      </c>
    </row>
    <row r="5" spans="1:34">
      <c r="A5" s="156" t="s">
        <v>292</v>
      </c>
      <c r="B5" s="157" t="s">
        <v>322</v>
      </c>
      <c r="C5" s="163" t="s">
        <v>299</v>
      </c>
      <c r="D5" s="156" t="s">
        <v>338</v>
      </c>
      <c r="E5" s="163" t="s">
        <v>296</v>
      </c>
      <c r="F5" s="165"/>
      <c r="G5" s="158" t="s">
        <v>401</v>
      </c>
      <c r="H5" s="165"/>
      <c r="I5" s="159" t="s">
        <v>333</v>
      </c>
      <c r="J5" s="158" t="s">
        <v>326</v>
      </c>
      <c r="K5" s="158" t="s">
        <v>314</v>
      </c>
      <c r="L5" s="159" t="s">
        <v>339</v>
      </c>
      <c r="M5" s="159" t="s">
        <v>302</v>
      </c>
      <c r="N5" s="165"/>
      <c r="O5" s="165"/>
      <c r="P5" s="159" t="s">
        <v>402</v>
      </c>
      <c r="Q5" s="164" t="s">
        <v>397</v>
      </c>
      <c r="R5" s="161" t="s">
        <v>275</v>
      </c>
      <c r="S5" s="164" t="s">
        <v>273</v>
      </c>
      <c r="AA5" s="139" t="str">
        <f t="shared" ref="AA5:AA23" si="0">IF(A3="","",A3)</f>
        <v>פארמה וטואלטיקה</v>
      </c>
      <c r="AB5" s="139" t="str">
        <f t="shared" ref="AB5:AB23" si="1">IF(Q3="","",Q3)</f>
        <v>שכר עבודה 2</v>
      </c>
      <c r="AC5" s="171" t="str">
        <f t="array" aca="1" ref="AC5" ca="1">IFERROR(INDEX(BlanksRangeExp,SMALL((IF(LEN(BlanksRangeExp),ROW(INDIRECT("1:"&amp;ROWS(BlanksRangeExp))))),ROW(A2)),1),"")</f>
        <v>פארמה וטואלטיקה</v>
      </c>
      <c r="AD5" s="172" t="str">
        <f t="array" aca="1" ref="AD5" ca="1">IFERROR(INDEX(BlanksRangeInc,SMALL((IF(LEN(BlanksRangeInc),ROW(INDIRECT("1:"&amp;ROWS(BlanksRangeInc))))),ROW(A2)),1),"")</f>
        <v>שכר עבודה 2</v>
      </c>
      <c r="AG5" s="142" t="str">
        <f>טבלה7[[#Headers],[פנאי, בילוי ותחביבים]]</f>
        <v>פנאי, בילוי ותחביבים</v>
      </c>
      <c r="AH5" s="142" t="s">
        <v>370</v>
      </c>
    </row>
    <row r="6" spans="1:34">
      <c r="A6" s="165" t="s">
        <v>312</v>
      </c>
      <c r="B6" s="157" t="s">
        <v>403</v>
      </c>
      <c r="C6" s="165"/>
      <c r="D6" s="156" t="s">
        <v>405</v>
      </c>
      <c r="E6" s="163" t="s">
        <v>71</v>
      </c>
      <c r="F6" s="165"/>
      <c r="G6" s="158" t="s">
        <v>285</v>
      </c>
      <c r="H6" s="165"/>
      <c r="I6" s="159" t="s">
        <v>429</v>
      </c>
      <c r="J6" s="158" t="s">
        <v>327</v>
      </c>
      <c r="K6" s="159" t="s">
        <v>316</v>
      </c>
      <c r="L6" s="165"/>
      <c r="M6" s="159" t="s">
        <v>303</v>
      </c>
      <c r="N6" s="165"/>
      <c r="O6" s="165"/>
      <c r="P6" s="165"/>
      <c r="Q6" s="164" t="s">
        <v>277</v>
      </c>
      <c r="R6" s="164" t="s">
        <v>276</v>
      </c>
      <c r="S6" s="165"/>
      <c r="AA6" s="139" t="str">
        <f t="shared" si="0"/>
        <v>בר מים</v>
      </c>
      <c r="AB6" s="139" t="str">
        <f t="shared" si="1"/>
        <v>שכר עבודה 3</v>
      </c>
      <c r="AC6" s="171" t="str">
        <f t="array" aca="1" ref="AC6" ca="1">IFERROR(INDEX(BlanksRangeExp,SMALL((IF(LEN(BlanksRangeExp),ROW(INDIRECT("1:"&amp;ROWS(BlanksRangeExp))))),ROW(A3)),1),"")</f>
        <v>בר מים</v>
      </c>
      <c r="AD6" s="172" t="str">
        <f t="array" aca="1" ref="AD6" ca="1">IFERROR(INDEX(BlanksRangeInc,SMALL((IF(LEN(BlanksRangeInc),ROW(INDIRECT("1:"&amp;ROWS(BlanksRangeInc))))),ROW(A3)),1),"")</f>
        <v>שכר עבודה 3</v>
      </c>
      <c r="AG6" s="142" t="str">
        <f>טבלה8[[#Headers],[ביגוד והנעלה]]</f>
        <v>ביגוד והנעלה</v>
      </c>
      <c r="AH6" s="142" t="s">
        <v>364</v>
      </c>
    </row>
    <row r="7" spans="1:34">
      <c r="A7" s="165" t="s">
        <v>384</v>
      </c>
      <c r="B7" s="157" t="s">
        <v>290</v>
      </c>
      <c r="C7" s="165"/>
      <c r="D7" s="165"/>
      <c r="E7" s="163" t="s">
        <v>334</v>
      </c>
      <c r="F7" s="165"/>
      <c r="G7" s="158" t="s">
        <v>287</v>
      </c>
      <c r="H7" s="165"/>
      <c r="I7" s="159" t="s">
        <v>16</v>
      </c>
      <c r="J7" s="158" t="s">
        <v>18</v>
      </c>
      <c r="K7" s="165"/>
      <c r="L7" s="165"/>
      <c r="M7" s="159" t="s">
        <v>304</v>
      </c>
      <c r="N7" s="165"/>
      <c r="O7" s="165"/>
      <c r="P7" s="165"/>
      <c r="Q7" s="165"/>
      <c r="R7" s="165"/>
      <c r="S7" s="165"/>
      <c r="AA7" s="139" t="str">
        <f t="shared" si="0"/>
        <v>אוכל מוכן / בעבודה</v>
      </c>
      <c r="AB7" s="139" t="str">
        <f t="shared" si="1"/>
        <v>שכר עבודה 4</v>
      </c>
      <c r="AC7" s="171" t="str">
        <f t="array" aca="1" ref="AC7" ca="1">IFERROR(INDEX(BlanksRangeExp,SMALL((IF(LEN(BlanksRangeExp),ROW(INDIRECT("1:"&amp;ROWS(BlanksRangeExp))))),ROW(A4)),1),"")</f>
        <v>אוכל מוכן / בעבודה</v>
      </c>
      <c r="AD7" s="172" t="str">
        <f t="array" aca="1" ref="AD7" ca="1">IFERROR(INDEX(BlanksRangeInc,SMALL((IF(LEN(BlanksRangeInc),ROW(INDIRECT("1:"&amp;ROWS(BlanksRangeInc))))),ROW(A4)),1),"")</f>
        <v>שכר עבודה 4</v>
      </c>
      <c r="AG7" s="142" t="str">
        <f>טבלה9[[#Headers],[תכולת בית]]</f>
        <v>תכולת בית</v>
      </c>
      <c r="AH7" s="142" t="s">
        <v>376</v>
      </c>
    </row>
    <row r="8" spans="1:34">
      <c r="A8" s="165"/>
      <c r="B8" s="156" t="s">
        <v>323</v>
      </c>
      <c r="C8" s="165"/>
      <c r="D8" s="165"/>
      <c r="E8" s="163" t="s">
        <v>398</v>
      </c>
      <c r="F8" s="165"/>
      <c r="G8" s="158" t="s">
        <v>383</v>
      </c>
      <c r="H8" s="165"/>
      <c r="I8" s="159" t="s">
        <v>300</v>
      </c>
      <c r="J8" s="158" t="s">
        <v>281</v>
      </c>
      <c r="K8" s="165"/>
      <c r="L8" s="165"/>
      <c r="M8" s="165"/>
      <c r="N8" s="165"/>
      <c r="O8" s="165"/>
      <c r="P8" s="165"/>
      <c r="Q8" s="165"/>
      <c r="R8" s="165"/>
      <c r="S8" s="165"/>
      <c r="AA8" s="139" t="str">
        <f t="shared" si="0"/>
        <v>עישון</v>
      </c>
      <c r="AB8" s="139" t="str">
        <f t="shared" si="1"/>
        <v>שכר - כללי</v>
      </c>
      <c r="AC8" s="171" t="str">
        <f t="array" aca="1" ref="AC8" ca="1">IFERROR(INDEX(BlanksRangeExp,SMALL((IF(LEN(BlanksRangeExp),ROW(INDIRECT("1:"&amp;ROWS(BlanksRangeExp))))),ROW(A5)),1),"")</f>
        <v>עישון</v>
      </c>
      <c r="AD8" s="172" t="str">
        <f t="array" aca="1" ref="AD8" ca="1">IFERROR(INDEX(BlanksRangeInc,SMALL((IF(LEN(BlanksRangeInc),ROW(INDIRECT("1:"&amp;ROWS(BlanksRangeInc))))),ROW(A5)),1),"")</f>
        <v>שכר - כללי</v>
      </c>
      <c r="AG8" s="142" t="str">
        <f>טבלה10[[#Headers],[אחזקת בית]]</f>
        <v>אחזקת בית</v>
      </c>
      <c r="AH8" s="142" t="s">
        <v>377</v>
      </c>
    </row>
    <row r="9" spans="1:34">
      <c r="A9" s="165"/>
      <c r="B9" s="156" t="s">
        <v>340</v>
      </c>
      <c r="C9" s="165"/>
      <c r="D9" s="165"/>
      <c r="E9" s="165"/>
      <c r="F9" s="165"/>
      <c r="G9" s="158" t="s">
        <v>307</v>
      </c>
      <c r="H9" s="165"/>
      <c r="I9" s="165"/>
      <c r="J9" s="158" t="s">
        <v>329</v>
      </c>
      <c r="K9" s="165"/>
      <c r="L9" s="165"/>
      <c r="M9" s="165"/>
      <c r="N9" s="165"/>
      <c r="O9" s="165"/>
      <c r="P9" s="165"/>
      <c r="Q9" s="165"/>
      <c r="R9" s="165"/>
      <c r="S9" s="165"/>
      <c r="AA9" s="139" t="str">
        <f t="shared" si="0"/>
        <v>מזון ופארמה - כללי</v>
      </c>
      <c r="AB9" s="139" t="str">
        <f t="shared" si="1"/>
        <v/>
      </c>
      <c r="AC9" s="171" t="str">
        <f t="array" aca="1" ref="AC9" ca="1">IFERROR(INDEX(BlanksRangeExp,SMALL((IF(LEN(BlanksRangeExp),ROW(INDIRECT("1:"&amp;ROWS(BlanksRangeExp))))),ROW(A6)),1),"")</f>
        <v>מזון ופארמה - כללי</v>
      </c>
      <c r="AD9" s="172" t="str">
        <f t="array" aca="1" ref="AD9" ca="1">IFERROR(INDEX(BlanksRangeInc,SMALL((IF(LEN(BlanksRangeInc),ROW(INDIRECT("1:"&amp;ROWS(BlanksRangeInc))))),ROW(A6)),1),"")</f>
        <v>קצבת ילדים</v>
      </c>
      <c r="AG9" s="142" t="str">
        <f>טבלה11[[#Headers],[טיפוח]]</f>
        <v>טיפוח</v>
      </c>
      <c r="AH9" s="142" t="s">
        <v>373</v>
      </c>
    </row>
    <row r="10" spans="1:34">
      <c r="A10" s="166"/>
      <c r="B10" s="156" t="s">
        <v>324</v>
      </c>
      <c r="C10" s="165"/>
      <c r="D10" s="165"/>
      <c r="E10" s="165"/>
      <c r="F10" s="165"/>
      <c r="G10" s="158" t="s">
        <v>289</v>
      </c>
      <c r="H10" s="165"/>
      <c r="I10" s="165"/>
      <c r="J10" s="158" t="s">
        <v>328</v>
      </c>
      <c r="K10" s="165"/>
      <c r="L10" s="165"/>
      <c r="M10" s="165"/>
      <c r="N10" s="165"/>
      <c r="O10" s="165"/>
      <c r="P10" s="165"/>
      <c r="Q10" s="165"/>
      <c r="R10" s="165"/>
      <c r="S10" s="165"/>
      <c r="AA10" s="139" t="str">
        <f t="shared" si="0"/>
        <v/>
      </c>
      <c r="AB10" s="139" t="str">
        <f t="shared" si="1"/>
        <v/>
      </c>
      <c r="AC10" s="171" t="str">
        <f t="array" aca="1" ref="AC10" ca="1">IFERROR(INDEX(BlanksRangeExp,SMALL((IF(LEN(BlanksRangeExp),ROW(INDIRECT("1:"&amp;ROWS(BlanksRangeExp))))),ROW(A7)),1),"")</f>
        <v>מסעדה ואוכל בחוץ</v>
      </c>
      <c r="AD10" s="172" t="str">
        <f t="array" aca="1" ref="AD10" ca="1">IFERROR(INDEX(BlanksRangeInc,SMALL((IF(LEN(BlanksRangeInc),ROW(INDIRECT("1:"&amp;ROWS(BlanksRangeInc))))),ROW(A7)),1),"")</f>
        <v>קצבת נכות</v>
      </c>
      <c r="AG10" s="142" t="str">
        <f>טבלה12[[#Headers],[חינוך]]</f>
        <v>חינוך</v>
      </c>
      <c r="AH10" s="142" t="s">
        <v>365</v>
      </c>
    </row>
    <row r="11" spans="1:34">
      <c r="A11" s="166"/>
      <c r="B11" s="165"/>
      <c r="C11" s="165"/>
      <c r="D11" s="165"/>
      <c r="E11" s="165"/>
      <c r="F11" s="165"/>
      <c r="G11" s="158" t="s">
        <v>306</v>
      </c>
      <c r="H11" s="165"/>
      <c r="I11" s="165"/>
      <c r="J11" s="158" t="s">
        <v>279</v>
      </c>
      <c r="K11" s="165"/>
      <c r="L11" s="165"/>
      <c r="M11" s="165"/>
      <c r="N11" s="165"/>
      <c r="O11" s="165"/>
      <c r="P11" s="165"/>
      <c r="Q11" s="165"/>
      <c r="R11" s="165"/>
      <c r="S11" s="165"/>
      <c r="AA11" s="139" t="str">
        <f t="shared" si="0"/>
        <v/>
      </c>
      <c r="AB11" s="139" t="str">
        <f t="shared" si="1"/>
        <v/>
      </c>
      <c r="AC11" s="171" t="str">
        <f t="array" aca="1" ref="AC11" ca="1">IFERROR(INDEX(BlanksRangeExp,SMALL((IF(LEN(BlanksRangeExp),ROW(INDIRECT("1:"&amp;ROWS(BlanksRangeExp))))),ROW(A8)),1),"")</f>
        <v>ספורט</v>
      </c>
      <c r="AD11" s="172" t="str">
        <f t="array" aca="1" ref="AD11" ca="1">IFERROR(INDEX(BlanksRangeInc,SMALL((IF(LEN(BlanksRangeInc),ROW(INDIRECT("1:"&amp;ROWS(BlanksRangeInc))))),ROW(A8)),1),"")</f>
        <v>סיוע בשכר דירה</v>
      </c>
      <c r="AG11" s="142" t="str">
        <f>טבלה13[[#Headers],[אירועים, תרומות, צרכי דת]]</f>
        <v>אירועים, תרומות, צרכי דת</v>
      </c>
      <c r="AH11" s="142" t="s">
        <v>378</v>
      </c>
    </row>
    <row r="12" spans="1:34">
      <c r="A12" s="166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AA12" s="139" t="str">
        <f t="shared" si="0"/>
        <v/>
      </c>
      <c r="AB12" s="139" t="str">
        <f t="shared" si="1"/>
        <v/>
      </c>
      <c r="AC12" s="171" t="str">
        <f t="array" aca="1" ref="AC12" ca="1">IFERROR(INDEX(BlanksRangeExp,SMALL((IF(LEN(BlanksRangeExp),ROW(INDIRECT("1:"&amp;ROWS(BlanksRangeExp))))),ROW(A9)),1),"")</f>
        <v>חופשות</v>
      </c>
      <c r="AD12" s="172" t="str">
        <f t="array" aca="1" ref="AD12" ca="1">IFERROR(INDEX(BlanksRangeInc,SMALL((IF(LEN(BlanksRangeInc),ROW(INDIRECT("1:"&amp;ROWS(BlanksRangeInc))))),ROW(A9)),1),"")</f>
        <v>קצבת זיקנה</v>
      </c>
      <c r="AG12" s="142" t="str">
        <f>טבלה14[[#Headers],[בריאות]]</f>
        <v>בריאות</v>
      </c>
      <c r="AH12" s="142" t="s">
        <v>368</v>
      </c>
    </row>
    <row r="13" spans="1:34">
      <c r="A13" s="166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AA13" s="139" t="str">
        <f t="shared" si="0"/>
        <v/>
      </c>
      <c r="AB13" s="139" t="str">
        <f t="shared" si="1"/>
        <v/>
      </c>
      <c r="AC13" s="171" t="str">
        <f t="array" aca="1" ref="AC13" ca="1">IFERROR(INDEX(BlanksRangeExp,SMALL((IF(LEN(BlanksRangeExp),ROW(INDIRECT("1:"&amp;ROWS(BlanksRangeExp))))),ROW(A10)),1),"")</f>
        <v>בילויים ומופעים</v>
      </c>
      <c r="AD13" s="172" t="str">
        <f t="array" aca="1" ref="AD13" ca="1">IFERROR(INDEX(BlanksRangeInc,SMALL((IF(LEN(BlanksRangeInc),ROW(INDIRECT("1:"&amp;ROWS(BlanksRangeInc))))),ROW(A10)),1),"")</f>
        <v>קצבאות - כללי</v>
      </c>
      <c r="AG13" s="142" t="str">
        <f>טבלה15[[#Headers],[תחבורה]]</f>
        <v>תחבורה</v>
      </c>
      <c r="AH13" s="142" t="s">
        <v>366</v>
      </c>
    </row>
    <row r="14" spans="1:34">
      <c r="A14" s="166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AA14" s="139" t="str">
        <f t="shared" si="0"/>
        <v/>
      </c>
      <c r="AB14" s="139" t="str">
        <f t="shared" si="1"/>
        <v/>
      </c>
      <c r="AC14" s="171" t="str">
        <f t="array" aca="1" ref="AC14" ca="1">IFERROR(INDEX(BlanksRangeExp,SMALL((IF(LEN(BlanksRangeExp),ROW(INDIRECT("1:"&amp;ROWS(BlanksRangeExp))))),ROW(A11)),1),"")</f>
        <v>חיות מחמד</v>
      </c>
      <c r="AD14" s="172" t="str">
        <f t="array" aca="1" ref="AD14" ca="1">IFERROR(INDEX(BlanksRangeInc,SMALL((IF(LEN(BlanksRangeInc),ROW(INDIRECT("1:"&amp;ROWS(BlanksRangeInc))))),ROW(A11)),1),"")</f>
        <v>קבלת מזונות</v>
      </c>
      <c r="AG14" s="142" t="str">
        <f>טבלה16[[#Headers],[משפחה]]</f>
        <v>משפחה</v>
      </c>
      <c r="AH14" s="142" t="s">
        <v>367</v>
      </c>
    </row>
    <row r="15" spans="1:34">
      <c r="A15" s="166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AA15" s="139" t="str">
        <f t="shared" si="0"/>
        <v/>
      </c>
      <c r="AB15" s="139" t="str">
        <f t="shared" si="1"/>
        <v/>
      </c>
      <c r="AC15" s="171" t="str">
        <f t="array" aca="1" ref="AC15" ca="1">IFERROR(INDEX(BlanksRangeExp,SMALL((IF(LEN(BlanksRangeExp),ROW(INDIRECT("1:"&amp;ROWS(BlanksRangeExp))))),ROW(A12)),1),"")</f>
        <v>חוגי מבוגרים</v>
      </c>
      <c r="AD15" s="172" t="str">
        <f t="array" aca="1" ref="AD15" ca="1">IFERROR(INDEX(BlanksRangeInc,SMALL((IF(LEN(BlanksRangeInc),ROW(INDIRECT("1:"&amp;ROWS(BlanksRangeInc))))),ROW(A12)),1),"")</f>
        <v>הכנסה מנכס</v>
      </c>
      <c r="AG15" s="142" t="str">
        <f>טבלה17[[#Headers],[תקשורת]]</f>
        <v>תקשורת</v>
      </c>
      <c r="AH15" s="142" t="s">
        <v>369</v>
      </c>
    </row>
    <row r="16" spans="1:34">
      <c r="A16" s="166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AA16" s="139" t="str">
        <f t="shared" si="0"/>
        <v/>
      </c>
      <c r="AB16" s="139" t="str">
        <f t="shared" si="1"/>
        <v/>
      </c>
      <c r="AC16" s="171" t="str">
        <f t="array" aca="1" ref="AC16" ca="1">IFERROR(INDEX(BlanksRangeExp,SMALL((IF(LEN(BlanksRangeExp),ROW(INDIRECT("1:"&amp;ROWS(BlanksRangeExp))))),ROW(A13)),1),"")</f>
        <v>בייביסיטר</v>
      </c>
      <c r="AD16" s="172" t="str">
        <f t="array" aca="1" ref="AD16" ca="1">IFERROR(INDEX(BlanksRangeInc,SMALL((IF(LEN(BlanksRangeInc),ROW(INDIRECT("1:"&amp;ROWS(BlanksRangeInc))))),ROW(A13)),1),"")</f>
        <v>עזרה מההורים</v>
      </c>
      <c r="AG16" s="142" t="str">
        <f>טבלה18[[#Headers],[דיור]]</f>
        <v>דיור</v>
      </c>
      <c r="AH16" s="142" t="s">
        <v>371</v>
      </c>
    </row>
    <row r="17" spans="1:34">
      <c r="A17" s="166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AA17" s="139" t="str">
        <f t="shared" si="0"/>
        <v/>
      </c>
      <c r="AB17" s="139" t="str">
        <f t="shared" si="1"/>
        <v/>
      </c>
      <c r="AC17" s="171" t="str">
        <f t="array" aca="1" ref="AC17" ca="1">IFERROR(INDEX(BlanksRangeExp,SMALL((IF(LEN(BlanksRangeExp),ROW(INDIRECT("1:"&amp;ROWS(BlanksRangeExp))))),ROW(A14)),1),"")</f>
        <v>הגרלות</v>
      </c>
      <c r="AD17" s="172" t="str">
        <f t="array" aca="1" ref="AD17" ca="1">IFERROR(INDEX(BlanksRangeInc,SMALL((IF(LEN(BlanksRangeInc),ROW(INDIRECT("1:"&amp;ROWS(BlanksRangeInc))))),ROW(A14)),1),"")</f>
        <v>הכנסות שונות - כללי</v>
      </c>
      <c r="AG17" s="142" t="str">
        <f>טבלה19[[#Headers],[התחייבויות]]</f>
        <v>התחייבויות</v>
      </c>
      <c r="AH17" s="142" t="s">
        <v>372</v>
      </c>
    </row>
    <row r="18" spans="1:34">
      <c r="A18" s="166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AA18" s="139" t="str">
        <f t="shared" si="0"/>
        <v/>
      </c>
      <c r="AB18" s="139" t="str">
        <f t="shared" si="1"/>
        <v/>
      </c>
      <c r="AC18" s="171" t="str">
        <f t="array" aca="1" ref="AC18" ca="1">IFERROR(INDEX(BlanksRangeExp,SMALL((IF(LEN(BlanksRangeExp),ROW(INDIRECT("1:"&amp;ROWS(BlanksRangeExp))))),ROW(A15)),1),"")</f>
        <v>פנאי - כללי</v>
      </c>
      <c r="AD18" s="172" t="str">
        <f t="array" aca="1" ref="AD18" ca="1">IFERROR(INDEX(BlanksRangeInc,SMALL((IF(LEN(BlanksRangeInc),ROW(INDIRECT("1:"&amp;ROWS(BlanksRangeInc))))),ROW(A15)),1),"")</f>
        <v/>
      </c>
      <c r="AG18" s="142" t="str">
        <f>טבלה20[[#Headers],[נכסים]]</f>
        <v>נכסים</v>
      </c>
      <c r="AH18" s="142" t="s">
        <v>374</v>
      </c>
    </row>
    <row r="19" spans="1:34">
      <c r="A19" s="166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AA19" s="139" t="str">
        <f t="shared" si="0"/>
        <v/>
      </c>
      <c r="AB19" s="139" t="str">
        <f t="shared" si="1"/>
        <v/>
      </c>
      <c r="AC19" s="171" t="str">
        <f t="array" aca="1" ref="AC19" ca="1">IFERROR(INDEX(BlanksRangeExp,SMALL((IF(LEN(BlanksRangeExp),ROW(INDIRECT("1:"&amp;ROWS(BlanksRangeExp))))),ROW(A16)),1),"")</f>
        <v>ביגוד הורים</v>
      </c>
      <c r="AD19" s="172" t="str">
        <f t="array" aca="1" ref="AD19" ca="1">IFERROR(INDEX(BlanksRangeInc,SMALL((IF(LEN(BlanksRangeInc),ROW(INDIRECT("1:"&amp;ROWS(BlanksRangeInc))))),ROW(A16)),1),"")</f>
        <v/>
      </c>
      <c r="AG19" s="142" t="str">
        <f>טבלה21[[#Headers],[פיננסים]]</f>
        <v>פיננסים</v>
      </c>
      <c r="AH19" s="142" t="s">
        <v>375</v>
      </c>
    </row>
    <row r="20" spans="1:34">
      <c r="A20" s="166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AA20" s="139" t="str">
        <f t="shared" si="0"/>
        <v/>
      </c>
      <c r="AB20" s="139" t="str">
        <f t="shared" si="1"/>
        <v/>
      </c>
      <c r="AC20" s="171" t="str">
        <f t="array" aca="1" ref="AC20" ca="1">IFERROR(INDEX(BlanksRangeExp,SMALL((IF(LEN(BlanksRangeExp),ROW(INDIRECT("1:"&amp;ROWS(BlanksRangeExp))))),ROW(A17)),1),"")</f>
        <v>ביגוד ילדים</v>
      </c>
      <c r="AD20" s="172" t="str">
        <f t="array" aca="1" ref="AD20" ca="1">IFERROR(INDEX(BlanksRangeInc,SMALL((IF(LEN(BlanksRangeInc),ROW(INDIRECT("1:"&amp;ROWS(BlanksRangeInc))))),ROW(A17)),1),"")</f>
        <v/>
      </c>
      <c r="AG20" s="195" t="s">
        <v>414</v>
      </c>
      <c r="AH20" s="142"/>
    </row>
    <row r="21" spans="1:34" ht="15.75" thickBot="1">
      <c r="A21" s="167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AA21" s="139" t="str">
        <f t="shared" si="0"/>
        <v/>
      </c>
      <c r="AB21" s="139" t="str">
        <f t="shared" si="1"/>
        <v/>
      </c>
      <c r="AC21" s="171" t="str">
        <f t="array" aca="1" ref="AC21" ca="1">IFERROR(INDEX(BlanksRangeExp,SMALL((IF(LEN(BlanksRangeExp),ROW(INDIRECT("1:"&amp;ROWS(BlanksRangeExp))))),ROW(A18)),1),"")</f>
        <v>נעליים</v>
      </c>
      <c r="AD21" s="172" t="str">
        <f t="array" aca="1" ref="AD21" ca="1">IFERROR(INDEX(BlanksRangeInc,SMALL((IF(LEN(BlanksRangeInc),ROW(INDIRECT("1:"&amp;ROWS(BlanksRangeInc))))),ROW(A18)),1),"")</f>
        <v/>
      </c>
      <c r="AG21" s="142" t="str">
        <f>טבלה22[[#Headers],[שכר]]</f>
        <v>שכר</v>
      </c>
      <c r="AH21" s="144" t="s">
        <v>380</v>
      </c>
    </row>
    <row r="22" spans="1:34">
      <c r="AA22" s="139" t="str">
        <f t="shared" si="0"/>
        <v/>
      </c>
      <c r="AB22" s="139" t="str">
        <f t="shared" si="1"/>
        <v/>
      </c>
      <c r="AC22" s="171" t="str">
        <f t="array" aca="1" ref="AC22" ca="1">IFERROR(INDEX(BlanksRangeExp,SMALL((IF(LEN(BlanksRangeExp),ROW(INDIRECT("1:"&amp;ROWS(BlanksRangeExp))))),ROW(A19)),1),"")</f>
        <v>ביגוד והנעלה - כללי</v>
      </c>
      <c r="AD22" s="172" t="str">
        <f t="array" aca="1" ref="AD22" ca="1">IFERROR(INDEX(BlanksRangeInc,SMALL((IF(LEN(BlanksRangeInc),ROW(INDIRECT("1:"&amp;ROWS(BlanksRangeInc))))),ROW(A19)),1),"")</f>
        <v/>
      </c>
      <c r="AG22" s="142" t="str">
        <f>טבלה23[[#Headers],[קצבאות]]</f>
        <v>קצבאות</v>
      </c>
      <c r="AH22" s="144" t="s">
        <v>381</v>
      </c>
    </row>
    <row r="23" spans="1:34">
      <c r="AA23" s="173" t="str">
        <f t="shared" si="0"/>
        <v/>
      </c>
      <c r="AB23" s="139" t="str">
        <f t="shared" si="1"/>
        <v/>
      </c>
      <c r="AC23" s="171" t="str">
        <f t="array" aca="1" ref="AC23" ca="1">IFERROR(INDEX(BlanksRangeExp,SMALL((IF(LEN(BlanksRangeExp),ROW(INDIRECT("1:"&amp;ROWS(BlanksRangeExp))))),ROW(A20)),1),"")</f>
        <v>ריהוט</v>
      </c>
      <c r="AD23" s="172" t="str">
        <f t="array" aca="1" ref="AD23" ca="1">IFERROR(INDEX(BlanksRangeInc,SMALL((IF(LEN(BlanksRangeInc),ROW(INDIRECT("1:"&amp;ROWS(BlanksRangeInc))))),ROW(A20)),1),"")</f>
        <v/>
      </c>
      <c r="AG23" s="142" t="str">
        <f>טבלה24[[#Headers],[הכנסות שונות]]</f>
        <v>הכנסות שונות</v>
      </c>
      <c r="AH23" s="144" t="s">
        <v>382</v>
      </c>
    </row>
    <row r="24" spans="1:34">
      <c r="AA24" s="139" t="str">
        <f>IF(B2="","",B2)</f>
        <v>מסעדה ואוכל בחוץ</v>
      </c>
      <c r="AB24" s="139" t="str">
        <f>IF(R2="","",R2)</f>
        <v>קצבת ילדים</v>
      </c>
      <c r="AC24" s="171" t="str">
        <f t="array" aca="1" ref="AC24" ca="1">IFERROR(INDEX(BlanksRangeExp,SMALL((IF(LEN(BlanksRangeExp),ROW(INDIRECT("1:"&amp;ROWS(BlanksRangeExp))))),ROW(A21)),1),"")</f>
        <v>מוצרי חשמל ואלקטרוניקה</v>
      </c>
      <c r="AD24" s="172" t="str">
        <f t="array" aca="1" ref="AD24" ca="1">IFERROR(INDEX(BlanksRangeInc,SMALL((IF(LEN(BlanksRangeInc),ROW(INDIRECT("1:"&amp;ROWS(BlanksRangeInc))))),ROW(A21)),1),"")</f>
        <v/>
      </c>
      <c r="AG24" s="195" t="s">
        <v>414</v>
      </c>
    </row>
    <row r="25" spans="1:34">
      <c r="A25" s="139"/>
      <c r="AA25" s="139" t="str">
        <f t="shared" ref="AA25:AA43" si="2">IF(B3="","",B3)</f>
        <v>ספורט</v>
      </c>
      <c r="AB25" s="139" t="str">
        <f t="shared" ref="AB25:AB43" si="3">IF(R3="","",R3)</f>
        <v>קצבת נכות</v>
      </c>
      <c r="AC25" s="171" t="str">
        <f t="array" aca="1" ref="AC25" ca="1">IFERROR(INDEX(BlanksRangeExp,SMALL((IF(LEN(BlanksRangeExp),ROW(INDIRECT("1:"&amp;ROWS(BlanksRangeExp))))),ROW(A22)),1),"")</f>
        <v>משחקים, צעצועים וספרים</v>
      </c>
      <c r="AD25" s="172" t="str">
        <f t="array" aca="1" ref="AD25" ca="1">IFERROR(INDEX(BlanksRangeInc,SMALL((IF(LEN(BlanksRangeInc),ROW(INDIRECT("1:"&amp;ROWS(BlanksRangeInc))))),ROW(A22)),1),"")</f>
        <v/>
      </c>
    </row>
    <row r="26" spans="1:34">
      <c r="A26" s="139"/>
      <c r="AA26" s="139" t="str">
        <f t="shared" si="2"/>
        <v>חופשות</v>
      </c>
      <c r="AB26" s="139" t="str">
        <f t="shared" si="3"/>
        <v>סיוע בשכר דירה</v>
      </c>
      <c r="AC26" s="171" t="str">
        <f t="array" aca="1" ref="AC26" ca="1">IFERROR(INDEX(BlanksRangeExp,SMALL((IF(LEN(BlanksRangeExp),ROW(INDIRECT("1:"&amp;ROWS(BlanksRangeExp))))),ROW(A23)),1),"")</f>
        <v>כלי בית</v>
      </c>
      <c r="AD26" s="172" t="str">
        <f t="array" aca="1" ref="AD26" ca="1">IFERROR(INDEX(BlanksRangeInc,SMALL((IF(LEN(BlanksRangeInc),ROW(INDIRECT("1:"&amp;ROWS(BlanksRangeInc))))),ROW(A23)),1),"")</f>
        <v/>
      </c>
    </row>
    <row r="27" spans="1:34">
      <c r="A27" s="139"/>
      <c r="F27" s="139"/>
      <c r="AA27" s="139" t="str">
        <f t="shared" si="2"/>
        <v>בילויים ומופעים</v>
      </c>
      <c r="AB27" s="139" t="str">
        <f t="shared" si="3"/>
        <v>קצבת זיקנה</v>
      </c>
      <c r="AC27" s="171" t="str">
        <f t="array" aca="1" ref="AC27" ca="1">IFERROR(INDEX(BlanksRangeExp,SMALL((IF(LEN(BlanksRangeExp),ROW(INDIRECT("1:"&amp;ROWS(BlanksRangeExp))))),ROW(A24)),1),"")</f>
        <v>תכולת בית - כללי</v>
      </c>
      <c r="AD27" s="172" t="str">
        <f t="array" aca="1" ref="AD27" ca="1">IFERROR(INDEX(BlanksRangeInc,SMALL((IF(LEN(BlanksRangeInc),ROW(INDIRECT("1:"&amp;ROWS(BlanksRangeInc))))),ROW(A24)),1),"")</f>
        <v/>
      </c>
    </row>
    <row r="28" spans="1:34">
      <c r="A28" s="139"/>
      <c r="F28" s="139"/>
      <c r="AA28" s="139" t="str">
        <f t="shared" si="2"/>
        <v>חיות מחמד</v>
      </c>
      <c r="AB28" s="139" t="str">
        <f t="shared" si="3"/>
        <v>קצבאות - כללי</v>
      </c>
      <c r="AC28" s="171" t="str">
        <f t="array" aca="1" ref="AC28" ca="1">IFERROR(INDEX(BlanksRangeExp,SMALL((IF(LEN(BlanksRangeExp),ROW(INDIRECT("1:"&amp;ROWS(BlanksRangeExp))))),ROW(A25)),1),"")</f>
        <v>חשמל</v>
      </c>
      <c r="AD28" s="172" t="str">
        <f t="array" aca="1" ref="AD28" ca="1">IFERROR(INDEX(BlanksRangeInc,SMALL((IF(LEN(BlanksRangeInc),ROW(INDIRECT("1:"&amp;ROWS(BlanksRangeInc))))),ROW(A25)),1),"")</f>
        <v/>
      </c>
    </row>
    <row r="29" spans="1:34">
      <c r="A29" s="139"/>
      <c r="AA29" s="139" t="str">
        <f t="shared" si="2"/>
        <v>חוגי מבוגרים</v>
      </c>
      <c r="AB29" s="139" t="str">
        <f t="shared" si="3"/>
        <v/>
      </c>
      <c r="AC29" s="171" t="str">
        <f t="array" aca="1" ref="AC29" ca="1">IFERROR(INDEX(BlanksRangeExp,SMALL((IF(LEN(BlanksRangeExp),ROW(INDIRECT("1:"&amp;ROWS(BlanksRangeExp))))),ROW(A26)),1),"")</f>
        <v>מים וביוב</v>
      </c>
      <c r="AD29" s="172" t="str">
        <f t="array" aca="1" ref="AD29" ca="1">IFERROR(INDEX(BlanksRangeInc,SMALL((IF(LEN(BlanksRangeInc),ROW(INDIRECT("1:"&amp;ROWS(BlanksRangeInc))))),ROW(A26)),1),"")</f>
        <v/>
      </c>
    </row>
    <row r="30" spans="1:34">
      <c r="A30" s="148"/>
      <c r="AA30" s="139" t="str">
        <f t="shared" si="2"/>
        <v>בייביסיטר</v>
      </c>
      <c r="AB30" s="139" t="str">
        <f t="shared" si="3"/>
        <v/>
      </c>
      <c r="AC30" s="171" t="str">
        <f t="array" aca="1" ref="AC30" ca="1">IFERROR(INDEX(BlanksRangeExp,SMALL((IF(LEN(BlanksRangeExp),ROW(INDIRECT("1:"&amp;ROWS(BlanksRangeExp))))),ROW(A27)),1),"")</f>
        <v>גז</v>
      </c>
      <c r="AD30" s="172" t="str">
        <f t="array" aca="1" ref="AD30" ca="1">IFERROR(INDEX(BlanksRangeInc,SMALL((IF(LEN(BlanksRangeInc),ROW(INDIRECT("1:"&amp;ROWS(BlanksRangeInc))))),ROW(A27)),1),"")</f>
        <v/>
      </c>
    </row>
    <row r="31" spans="1:34">
      <c r="AA31" s="139" t="str">
        <f t="shared" si="2"/>
        <v>הגרלות</v>
      </c>
      <c r="AB31" s="139" t="str">
        <f t="shared" si="3"/>
        <v/>
      </c>
      <c r="AC31" s="171" t="str">
        <f t="array" aca="1" ref="AC31" ca="1">IFERROR(INDEX(BlanksRangeExp,SMALL((IF(LEN(BlanksRangeExp),ROW(INDIRECT("1:"&amp;ROWS(BlanksRangeExp))))),ROW(A28)),1),"")</f>
        <v>ניקיון</v>
      </c>
      <c r="AD31" s="172" t="str">
        <f t="array" aca="1" ref="AD31" ca="1">IFERROR(INDEX(BlanksRangeInc,SMALL((IF(LEN(BlanksRangeInc),ROW(INDIRECT("1:"&amp;ROWS(BlanksRangeInc))))),ROW(A28)),1),"")</f>
        <v/>
      </c>
    </row>
    <row r="32" spans="1:34">
      <c r="AA32" s="139" t="str">
        <f t="shared" si="2"/>
        <v>פנאי - כללי</v>
      </c>
      <c r="AB32" s="139" t="str">
        <f t="shared" si="3"/>
        <v/>
      </c>
      <c r="AC32" s="171" t="str">
        <f t="array" aca="1" ref="AC32" ca="1">IFERROR(INDEX(BlanksRangeExp,SMALL((IF(LEN(BlanksRangeExp),ROW(INDIRECT("1:"&amp;ROWS(BlanksRangeExp))))),ROW(A29)),1),"")</f>
        <v>תיקונים בבית / במכשירים</v>
      </c>
      <c r="AD32" s="172" t="str">
        <f t="array" aca="1" ref="AD32" ca="1">IFERROR(INDEX(BlanksRangeInc,SMALL((IF(LEN(BlanksRangeInc),ROW(INDIRECT("1:"&amp;ROWS(BlanksRangeInc))))),ROW(A29)),1),"")</f>
        <v/>
      </c>
    </row>
    <row r="33" spans="27:30">
      <c r="AA33" s="139" t="str">
        <f t="shared" si="2"/>
        <v/>
      </c>
      <c r="AB33" s="139" t="str">
        <f t="shared" si="3"/>
        <v/>
      </c>
      <c r="AC33" s="171" t="str">
        <f t="array" aca="1" ref="AC33" ca="1">IFERROR(INDEX(BlanksRangeExp,SMALL((IF(LEN(BlanksRangeExp),ROW(INDIRECT("1:"&amp;ROWS(BlanksRangeExp))))),ROW(A30)),1),"")</f>
        <v>גינה</v>
      </c>
      <c r="AD33" s="172" t="str">
        <f t="array" aca="1" ref="AD33" ca="1">IFERROR(INDEX(BlanksRangeInc,SMALL((IF(LEN(BlanksRangeInc),ROW(INDIRECT("1:"&amp;ROWS(BlanksRangeInc))))),ROW(A30)),1),"")</f>
        <v/>
      </c>
    </row>
    <row r="34" spans="27:30">
      <c r="AA34" s="139" t="str">
        <f t="shared" si="2"/>
        <v/>
      </c>
      <c r="AB34" s="139" t="str">
        <f t="shared" si="3"/>
        <v/>
      </c>
      <c r="AC34" s="171" t="str">
        <f t="array" aca="1" ref="AC34" ca="1">IFERROR(INDEX(BlanksRangeExp,SMALL((IF(LEN(BlanksRangeExp),ROW(INDIRECT("1:"&amp;ROWS(BlanksRangeExp))))),ROW(A31)),1),"")</f>
        <v>אחזקת בית - כללי</v>
      </c>
      <c r="AD34" s="172" t="str">
        <f t="array" aca="1" ref="AD34" ca="1">IFERROR(INDEX(BlanksRangeInc,SMALL((IF(LEN(BlanksRangeInc),ROW(INDIRECT("1:"&amp;ROWS(BlanksRangeInc))))),ROW(A31)),1),"")</f>
        <v/>
      </c>
    </row>
    <row r="35" spans="27:30">
      <c r="AA35" s="139" t="str">
        <f t="shared" si="2"/>
        <v/>
      </c>
      <c r="AB35" s="139" t="str">
        <f t="shared" si="3"/>
        <v/>
      </c>
      <c r="AC35" s="171" t="str">
        <f t="array" aca="1" ref="AC35" ca="1">IFERROR(INDEX(BlanksRangeExp,SMALL((IF(LEN(BlanksRangeExp),ROW(INDIRECT("1:"&amp;ROWS(BlanksRangeExp))))),ROW(A32)),1),"")</f>
        <v>מספרה</v>
      </c>
      <c r="AD35" s="172" t="str">
        <f t="array" aca="1" ref="AD35" ca="1">IFERROR(INDEX(BlanksRangeInc,SMALL((IF(LEN(BlanksRangeInc),ROW(INDIRECT("1:"&amp;ROWS(BlanksRangeInc))))),ROW(A32)),1),"")</f>
        <v/>
      </c>
    </row>
    <row r="36" spans="27:30">
      <c r="AA36" s="139" t="str">
        <f t="shared" si="2"/>
        <v/>
      </c>
      <c r="AB36" s="139" t="str">
        <f t="shared" si="3"/>
        <v/>
      </c>
      <c r="AC36" s="171" t="str">
        <f t="array" aca="1" ref="AC36" ca="1">IFERROR(INDEX(BlanksRangeExp,SMALL((IF(LEN(BlanksRangeExp),ROW(INDIRECT("1:"&amp;ROWS(BlanksRangeExp))))),ROW(A33)),1),"")</f>
        <v>קוסמטיקה</v>
      </c>
      <c r="AD36" s="172" t="str">
        <f t="array" aca="1" ref="AD36" ca="1">IFERROR(INDEX(BlanksRangeInc,SMALL((IF(LEN(BlanksRangeInc),ROW(INDIRECT("1:"&amp;ROWS(BlanksRangeInc))))),ROW(A33)),1),"")</f>
        <v/>
      </c>
    </row>
    <row r="37" spans="27:30">
      <c r="AA37" s="139" t="str">
        <f t="shared" si="2"/>
        <v/>
      </c>
      <c r="AB37" s="139" t="str">
        <f t="shared" si="3"/>
        <v/>
      </c>
      <c r="AC37" s="171" t="str">
        <f t="array" aca="1" ref="AC37" ca="1">IFERROR(INDEX(BlanksRangeExp,SMALL((IF(LEN(BlanksRangeExp),ROW(INDIRECT("1:"&amp;ROWS(BlanksRangeExp))))),ROW(A34)),1),"")</f>
        <v>טיפוח - כללי</v>
      </c>
      <c r="AD37" s="172" t="str">
        <f t="array" aca="1" ref="AD37" ca="1">IFERROR(INDEX(BlanksRangeInc,SMALL((IF(LEN(BlanksRangeInc),ROW(INDIRECT("1:"&amp;ROWS(BlanksRangeInc))))),ROW(A34)),1),"")</f>
        <v/>
      </c>
    </row>
    <row r="38" spans="27:30">
      <c r="AA38" s="139" t="str">
        <f t="shared" si="2"/>
        <v/>
      </c>
      <c r="AB38" s="139" t="str">
        <f t="shared" si="3"/>
        <v/>
      </c>
      <c r="AC38" s="171" t="str">
        <f t="array" aca="1" ref="AC38" ca="1">IFERROR(INDEX(BlanksRangeExp,SMALL((IF(LEN(BlanksRangeExp),ROW(INDIRECT("1:"&amp;ROWS(BlanksRangeExp))))),ROW(A35)),1),"")</f>
        <v>בית ספר</v>
      </c>
      <c r="AD38" s="172" t="str">
        <f t="array" aca="1" ref="AD38" ca="1">IFERROR(INDEX(BlanksRangeInc,SMALL((IF(LEN(BlanksRangeInc),ROW(INDIRECT("1:"&amp;ROWS(BlanksRangeInc))))),ROW(A35)),1),"")</f>
        <v/>
      </c>
    </row>
    <row r="39" spans="27:30">
      <c r="AA39" s="139" t="str">
        <f t="shared" si="2"/>
        <v/>
      </c>
      <c r="AB39" s="139" t="str">
        <f t="shared" si="3"/>
        <v/>
      </c>
      <c r="AC39" s="171" t="str">
        <f t="array" aca="1" ref="AC39" ca="1">IFERROR(INDEX(BlanksRangeExp,SMALL((IF(LEN(BlanksRangeExp),ROW(INDIRECT("1:"&amp;ROWS(BlanksRangeExp))))),ROW(A36)),1),"")</f>
        <v>מסגרות צהריים</v>
      </c>
      <c r="AD39" s="172" t="str">
        <f t="array" aca="1" ref="AD39" ca="1">IFERROR(INDEX(BlanksRangeInc,SMALL((IF(LEN(BlanksRangeInc),ROW(INDIRECT("1:"&amp;ROWS(BlanksRangeInc))))),ROW(A36)),1),"")</f>
        <v/>
      </c>
    </row>
    <row r="40" spans="27:30">
      <c r="AA40" s="139" t="str">
        <f t="shared" si="2"/>
        <v/>
      </c>
      <c r="AB40" s="139" t="str">
        <f t="shared" si="3"/>
        <v/>
      </c>
      <c r="AC40" s="171" t="str">
        <f t="array" aca="1" ref="AC40" ca="1">IFERROR(INDEX(BlanksRangeExp,SMALL((IF(LEN(BlanksRangeExp),ROW(INDIRECT("1:"&amp;ROWS(BlanksRangeExp))))),ROW(A37)),1),"")</f>
        <v>מסגרות יום</v>
      </c>
      <c r="AD40" s="172" t="str">
        <f t="array" aca="1" ref="AD40" ca="1">IFERROR(INDEX(BlanksRangeInc,SMALL((IF(LEN(BlanksRangeInc),ROW(INDIRECT("1:"&amp;ROWS(BlanksRangeInc))))),ROW(A37)),1),"")</f>
        <v/>
      </c>
    </row>
    <row r="41" spans="27:30">
      <c r="AA41" s="139" t="str">
        <f t="shared" si="2"/>
        <v/>
      </c>
      <c r="AB41" s="139" t="str">
        <f t="shared" si="3"/>
        <v/>
      </c>
      <c r="AC41" s="171" t="str">
        <f t="array" aca="1" ref="AC41" ca="1">IFERROR(INDEX(BlanksRangeExp,SMALL((IF(LEN(BlanksRangeExp),ROW(INDIRECT("1:"&amp;ROWS(BlanksRangeExp))))),ROW(A38)),1),"")</f>
        <v>צהרון / מטפלת</v>
      </c>
      <c r="AD41" s="172" t="str">
        <f t="array" aca="1" ref="AD41" ca="1">IFERROR(INDEX(BlanksRangeInc,SMALL((IF(LEN(BlanksRangeInc),ROW(INDIRECT("1:"&amp;ROWS(BlanksRangeInc))))),ROW(A38)),1),"")</f>
        <v/>
      </c>
    </row>
    <row r="42" spans="27:30">
      <c r="AA42" s="139" t="str">
        <f t="shared" si="2"/>
        <v/>
      </c>
      <c r="AB42" s="139" t="str">
        <f t="shared" si="3"/>
        <v/>
      </c>
      <c r="AC42" s="171" t="str">
        <f t="array" aca="1" ref="AC42" ca="1">IFERROR(INDEX(BlanksRangeExp,SMALL((IF(LEN(BlanksRangeExp),ROW(INDIRECT("1:"&amp;ROWS(BlanksRangeExp))))),ROW(A39)),1),"")</f>
        <v>הסעות</v>
      </c>
      <c r="AD42" s="172" t="str">
        <f t="array" aca="1" ref="AD42" ca="1">IFERROR(INDEX(BlanksRangeInc,SMALL((IF(LEN(BlanksRangeInc),ROW(INDIRECT("1:"&amp;ROWS(BlanksRangeInc))))),ROW(A39)),1),"")</f>
        <v/>
      </c>
    </row>
    <row r="43" spans="27:30">
      <c r="AA43" s="173" t="str">
        <f t="shared" si="2"/>
        <v/>
      </c>
      <c r="AB43" s="139" t="str">
        <f t="shared" si="3"/>
        <v/>
      </c>
      <c r="AC43" s="171" t="str">
        <f t="array" aca="1" ref="AC43" ca="1">IFERROR(INDEX(BlanksRangeExp,SMALL((IF(LEN(BlanksRangeExp),ROW(INDIRECT("1:"&amp;ROWS(BlanksRangeExp))))),ROW(A40)),1),"")</f>
        <v>שיעור פרטי</v>
      </c>
      <c r="AD43" s="172" t="str">
        <f t="array" aca="1" ref="AD43" ca="1">IFERROR(INDEX(BlanksRangeInc,SMALL((IF(LEN(BlanksRangeInc),ROW(INDIRECT("1:"&amp;ROWS(BlanksRangeInc))))),ROW(A40)),1),"")</f>
        <v/>
      </c>
    </row>
    <row r="44" spans="27:30">
      <c r="AA44" s="139" t="str">
        <f>IF(C2="","",C2)</f>
        <v>ביגוד הורים</v>
      </c>
      <c r="AB44" s="139" t="str">
        <f>IF(S2="","",S2)</f>
        <v>קבלת מזונות</v>
      </c>
      <c r="AC44" s="171" t="str">
        <f t="array" aca="1" ref="AC44" ca="1">IFERROR(INDEX(BlanksRangeExp,SMALL((IF(LEN(BlanksRangeExp),ROW(INDIRECT("1:"&amp;ROWS(BlanksRangeExp))))),ROW(A41)),1),"")</f>
        <v>מסגרות קיץ</v>
      </c>
      <c r="AD44" s="172" t="str">
        <f t="array" aca="1" ref="AD44" ca="1">IFERROR(INDEX(BlanksRangeInc,SMALL((IF(LEN(BlanksRangeInc),ROW(INDIRECT("1:"&amp;ROWS(BlanksRangeInc))))),ROW(A41)),1),"")</f>
        <v/>
      </c>
    </row>
    <row r="45" spans="27:30">
      <c r="AA45" s="139" t="str">
        <f t="shared" ref="AA45:AA63" si="4">IF(C3="","",C3)</f>
        <v>ביגוד ילדים</v>
      </c>
      <c r="AB45" s="139" t="str">
        <f t="shared" ref="AB45:AB63" si="5">IF(S3="","",S3)</f>
        <v>הכנסה מנכס</v>
      </c>
      <c r="AC45" s="171" t="str">
        <f t="array" aca="1" ref="AC45" ca="1">IFERROR(INDEX(BlanksRangeExp,SMALL((IF(LEN(BlanksRangeExp),ROW(INDIRECT("1:"&amp;ROWS(BlanksRangeExp))))),ROW(A42)),1),"")</f>
        <v>חוגים ותנועת נוער</v>
      </c>
      <c r="AD45" s="172" t="str">
        <f t="array" aca="1" ref="AD45" ca="1">IFERROR(INDEX(BlanksRangeInc,SMALL((IF(LEN(BlanksRangeInc),ROW(INDIRECT("1:"&amp;ROWS(BlanksRangeInc))))),ROW(A42)),1),"")</f>
        <v/>
      </c>
    </row>
    <row r="46" spans="27:30">
      <c r="AA46" s="139" t="str">
        <f t="shared" si="4"/>
        <v>נעליים</v>
      </c>
      <c r="AB46" s="139" t="str">
        <f t="shared" si="5"/>
        <v>עזרה מההורים</v>
      </c>
      <c r="AC46" s="171" t="str">
        <f t="array" aca="1" ref="AC46" ca="1">IFERROR(INDEX(BlanksRangeExp,SMALL((IF(LEN(BlanksRangeExp),ROW(INDIRECT("1:"&amp;ROWS(BlanksRangeExp))))),ROW(A43)),1),"")</f>
        <v>לימודים והשתלמות לבוגרים</v>
      </c>
      <c r="AD46" s="172" t="str">
        <f t="array" aca="1" ref="AD46" ca="1">IFERROR(INDEX(BlanksRangeInc,SMALL((IF(LEN(BlanksRangeInc),ROW(INDIRECT("1:"&amp;ROWS(BlanksRangeInc))))),ROW(A43)),1),"")</f>
        <v/>
      </c>
    </row>
    <row r="47" spans="27:30">
      <c r="AA47" s="139" t="str">
        <f t="shared" si="4"/>
        <v>ביגוד והנעלה - כללי</v>
      </c>
      <c r="AB47" s="139" t="str">
        <f t="shared" si="5"/>
        <v>הכנסות שונות - כללי</v>
      </c>
      <c r="AC47" s="171" t="str">
        <f t="array" aca="1" ref="AC47" ca="1">IFERROR(INDEX(BlanksRangeExp,SMALL((IF(LEN(BlanksRangeExp),ROW(INDIRECT("1:"&amp;ROWS(BlanksRangeExp))))),ROW(A44)),1),"")</f>
        <v>חינוך - כללי</v>
      </c>
      <c r="AD47" s="172" t="str">
        <f t="array" aca="1" ref="AD47" ca="1">IFERROR(INDEX(BlanksRangeInc,SMALL((IF(LEN(BlanksRangeInc),ROW(INDIRECT("1:"&amp;ROWS(BlanksRangeInc))))),ROW(A44)),1),"")</f>
        <v/>
      </c>
    </row>
    <row r="48" spans="27:30">
      <c r="AA48" s="139" t="str">
        <f t="shared" si="4"/>
        <v/>
      </c>
      <c r="AB48" s="139" t="str">
        <f t="shared" si="5"/>
        <v/>
      </c>
      <c r="AC48" s="171" t="str">
        <f t="array" aca="1" ref="AC48" ca="1">IFERROR(INDEX(BlanksRangeExp,SMALL((IF(LEN(BlanksRangeExp),ROW(INDIRECT("1:"&amp;ROWS(BlanksRangeExp))))),ROW(A45)),1),"")</f>
        <v>חגים וצרכי דת</v>
      </c>
      <c r="AD48" s="172" t="str">
        <f t="array" aca="1" ref="AD48" ca="1">IFERROR(INDEX(BlanksRangeInc,SMALL((IF(LEN(BlanksRangeInc),ROW(INDIRECT("1:"&amp;ROWS(BlanksRangeInc))))),ROW(A45)),1),"")</f>
        <v/>
      </c>
    </row>
    <row r="49" spans="27:30">
      <c r="AA49" s="139" t="str">
        <f t="shared" si="4"/>
        <v/>
      </c>
      <c r="AB49" s="139" t="str">
        <f t="shared" si="5"/>
        <v/>
      </c>
      <c r="AC49" s="171" t="str">
        <f t="array" aca="1" ref="AC49" ca="1">IFERROR(INDEX(BlanksRangeExp,SMALL((IF(LEN(BlanksRangeExp),ROW(INDIRECT("1:"&amp;ROWS(BlanksRangeExp))))),ROW(A46)),1),"")</f>
        <v>אירוע בעבודה / לחברים</v>
      </c>
      <c r="AD49" s="172" t="str">
        <f t="array" aca="1" ref="AD49" ca="1">IFERROR(INDEX(BlanksRangeInc,SMALL((IF(LEN(BlanksRangeInc),ROW(INDIRECT("1:"&amp;ROWS(BlanksRangeInc))))),ROW(A46)),1),"")</f>
        <v/>
      </c>
    </row>
    <row r="50" spans="27:30">
      <c r="AA50" s="139" t="str">
        <f t="shared" si="4"/>
        <v/>
      </c>
      <c r="AB50" s="139" t="str">
        <f t="shared" si="5"/>
        <v/>
      </c>
      <c r="AC50" s="171" t="str">
        <f t="array" aca="1" ref="AC50" ca="1">IFERROR(INDEX(BlanksRangeExp,SMALL((IF(LEN(BlanksRangeExp),ROW(INDIRECT("1:"&amp;ROWS(BlanksRangeExp))))),ROW(A47)),1),"")</f>
        <v>תרומות</v>
      </c>
      <c r="AD50" s="172" t="str">
        <f t="array" aca="1" ref="AD50" ca="1">IFERROR(INDEX(BlanksRangeInc,SMALL((IF(LEN(BlanksRangeInc),ROW(INDIRECT("1:"&amp;ROWS(BlanksRangeInc))))),ROW(A47)),1),"")</f>
        <v/>
      </c>
    </row>
    <row r="51" spans="27:30">
      <c r="AA51" s="139" t="str">
        <f t="shared" si="4"/>
        <v/>
      </c>
      <c r="AB51" s="139" t="str">
        <f t="shared" si="5"/>
        <v/>
      </c>
      <c r="AC51" s="171" t="str">
        <f t="array" aca="1" ref="AC51" ca="1">IFERROR(INDEX(BlanksRangeExp,SMALL((IF(LEN(BlanksRangeExp),ROW(INDIRECT("1:"&amp;ROWS(BlanksRangeExp))))),ROW(A48)),1),"")</f>
        <v>קופ"ח תשלום קבוע</v>
      </c>
      <c r="AD51" s="172" t="str">
        <f t="array" aca="1" ref="AD51" ca="1">IFERROR(INDEX(BlanksRangeInc,SMALL((IF(LEN(BlanksRangeInc),ROW(INDIRECT("1:"&amp;ROWS(BlanksRangeInc))))),ROW(A48)),1),"")</f>
        <v/>
      </c>
    </row>
    <row r="52" spans="27:30">
      <c r="AA52" s="139" t="str">
        <f t="shared" si="4"/>
        <v/>
      </c>
      <c r="AB52" s="139" t="str">
        <f t="shared" si="5"/>
        <v/>
      </c>
      <c r="AC52" s="171" t="str">
        <f t="array" aca="1" ref="AC52" ca="1">IFERROR(INDEX(BlanksRangeExp,SMALL((IF(LEN(BlanksRangeExp),ROW(INDIRECT("1:"&amp;ROWS(BlanksRangeExp))))),ROW(A49)),1),"")</f>
        <v>ביטוח רפואי נוסף</v>
      </c>
      <c r="AD52" s="172" t="str">
        <f t="array" aca="1" ref="AD52" ca="1">IFERROR(INDEX(BlanksRangeInc,SMALL((IF(LEN(BlanksRangeInc),ROW(INDIRECT("1:"&amp;ROWS(BlanksRangeInc))))),ROW(A49)),1),"")</f>
        <v/>
      </c>
    </row>
    <row r="53" spans="27:30">
      <c r="AA53" s="139" t="str">
        <f t="shared" si="4"/>
        <v/>
      </c>
      <c r="AB53" s="139" t="str">
        <f t="shared" si="5"/>
        <v/>
      </c>
      <c r="AC53" s="171" t="str">
        <f t="array" aca="1" ref="AC53" ca="1">IFERROR(INDEX(BlanksRangeExp,SMALL((IF(LEN(BlanksRangeExp),ROW(INDIRECT("1:"&amp;ROWS(BlanksRangeExp))))),ROW(A50)),1),"")</f>
        <v>טיפולים פרטיים</v>
      </c>
      <c r="AD53" s="172" t="str">
        <f t="array" aca="1" ref="AD53" ca="1">IFERROR(INDEX(BlanksRangeInc,SMALL((IF(LEN(BlanksRangeInc),ROW(INDIRECT("1:"&amp;ROWS(BlanksRangeInc))))),ROW(A50)),1),"")</f>
        <v/>
      </c>
    </row>
    <row r="54" spans="27:30">
      <c r="AA54" s="139" t="str">
        <f t="shared" si="4"/>
        <v/>
      </c>
      <c r="AB54" s="139" t="str">
        <f t="shared" si="5"/>
        <v/>
      </c>
      <c r="AC54" s="171" t="str">
        <f t="array" aca="1" ref="AC54" ca="1">IFERROR(INDEX(BlanksRangeExp,SMALL((IF(LEN(BlanksRangeExp),ROW(INDIRECT("1:"&amp;ROWS(BlanksRangeExp))))),ROW(A51)),1),"")</f>
        <v>תרופות</v>
      </c>
      <c r="AD54" s="172" t="str">
        <f t="array" aca="1" ref="AD54" ca="1">IFERROR(INDEX(BlanksRangeInc,SMALL((IF(LEN(BlanksRangeInc),ROW(INDIRECT("1:"&amp;ROWS(BlanksRangeInc))))),ROW(A51)),1),"")</f>
        <v/>
      </c>
    </row>
    <row r="55" spans="27:30">
      <c r="AA55" s="139" t="str">
        <f t="shared" si="4"/>
        <v/>
      </c>
      <c r="AB55" s="139" t="str">
        <f t="shared" si="5"/>
        <v/>
      </c>
      <c r="AC55" s="171" t="str">
        <f t="array" aca="1" ref="AC55" ca="1">IFERROR(INDEX(BlanksRangeExp,SMALL((IF(LEN(BlanksRangeExp),ROW(INDIRECT("1:"&amp;ROWS(BlanksRangeExp))))),ROW(A52)),1),"")</f>
        <v>טיפולי שיניים / אורטודנט</v>
      </c>
      <c r="AD55" s="172" t="str">
        <f t="array" aca="1" ref="AD55" ca="1">IFERROR(INDEX(BlanksRangeInc,SMALL((IF(LEN(BlanksRangeInc),ROW(INDIRECT("1:"&amp;ROWS(BlanksRangeInc))))),ROW(A52)),1),"")</f>
        <v/>
      </c>
    </row>
    <row r="56" spans="27:30">
      <c r="AA56" s="139" t="str">
        <f t="shared" si="4"/>
        <v/>
      </c>
      <c r="AB56" s="139" t="str">
        <f t="shared" si="5"/>
        <v/>
      </c>
      <c r="AC56" s="171" t="str">
        <f t="array" aca="1" ref="AC56" ca="1">IFERROR(INDEX(BlanksRangeExp,SMALL((IF(LEN(BlanksRangeExp),ROW(INDIRECT("1:"&amp;ROWS(BlanksRangeExp))))),ROW(A53)),1),"")</f>
        <v>אופטיקה</v>
      </c>
      <c r="AD56" s="172" t="str">
        <f t="array" aca="1" ref="AD56" ca="1">IFERROR(INDEX(BlanksRangeInc,SMALL((IF(LEN(BlanksRangeInc),ROW(INDIRECT("1:"&amp;ROWS(BlanksRangeInc))))),ROW(A53)),1),"")</f>
        <v/>
      </c>
    </row>
    <row r="57" spans="27:30">
      <c r="AA57" s="139" t="str">
        <f t="shared" si="4"/>
        <v/>
      </c>
      <c r="AB57" s="139" t="str">
        <f t="shared" si="5"/>
        <v/>
      </c>
      <c r="AC57" s="171" t="str">
        <f t="array" aca="1" ref="AC57" ca="1">IFERROR(INDEX(BlanksRangeExp,SMALL((IF(LEN(BlanksRangeExp),ROW(INDIRECT("1:"&amp;ROWS(BlanksRangeExp))))),ROW(A54)),1),"")</f>
        <v>בריאות - כללי</v>
      </c>
      <c r="AD57" s="172" t="str">
        <f t="array" aca="1" ref="AD57" ca="1">IFERROR(INDEX(BlanksRangeInc,SMALL((IF(LEN(BlanksRangeInc),ROW(INDIRECT("1:"&amp;ROWS(BlanksRangeInc))))),ROW(A54)),1),"")</f>
        <v/>
      </c>
    </row>
    <row r="58" spans="27:30">
      <c r="AA58" s="139" t="str">
        <f t="shared" si="4"/>
        <v/>
      </c>
      <c r="AB58" s="139" t="str">
        <f t="shared" si="5"/>
        <v/>
      </c>
      <c r="AC58" s="171" t="str">
        <f t="array" aca="1" ref="AC58" ca="1">IFERROR(INDEX(BlanksRangeExp,SMALL((IF(LEN(BlanksRangeExp),ROW(INDIRECT("1:"&amp;ROWS(BlanksRangeExp))))),ROW(A55)),1),"")</f>
        <v>דלק</v>
      </c>
      <c r="AD58" s="172" t="str">
        <f t="array" aca="1" ref="AD58" ca="1">IFERROR(INDEX(BlanksRangeInc,SMALL((IF(LEN(BlanksRangeInc),ROW(INDIRECT("1:"&amp;ROWS(BlanksRangeInc))))),ROW(A55)),1),"")</f>
        <v/>
      </c>
    </row>
    <row r="59" spans="27:30">
      <c r="AA59" s="139" t="str">
        <f t="shared" si="4"/>
        <v/>
      </c>
      <c r="AB59" s="139" t="str">
        <f t="shared" si="5"/>
        <v/>
      </c>
      <c r="AC59" s="171" t="str">
        <f t="array" aca="1" ref="AC59" ca="1">IFERROR(INDEX(BlanksRangeExp,SMALL((IF(LEN(BlanksRangeExp),ROW(INDIRECT("1:"&amp;ROWS(BlanksRangeExp))))),ROW(A56)),1),"")</f>
        <v>חניה</v>
      </c>
      <c r="AD59" s="172" t="str">
        <f t="array" aca="1" ref="AD59" ca="1">IFERROR(INDEX(BlanksRangeInc,SMALL((IF(LEN(BlanksRangeInc),ROW(INDIRECT("1:"&amp;ROWS(BlanksRangeInc))))),ROW(A56)),1),"")</f>
        <v/>
      </c>
    </row>
    <row r="60" spans="27:30">
      <c r="AA60" s="139" t="str">
        <f t="shared" si="4"/>
        <v/>
      </c>
      <c r="AB60" s="139" t="str">
        <f t="shared" si="5"/>
        <v/>
      </c>
      <c r="AC60" s="171" t="str">
        <f t="array" aca="1" ref="AC60" ca="1">IFERROR(INDEX(BlanksRangeExp,SMALL((IF(LEN(BlanksRangeExp),ROW(INDIRECT("1:"&amp;ROWS(BlanksRangeExp))))),ROW(A57)),1),"")</f>
        <v>כבישי אגרה</v>
      </c>
      <c r="AD60" s="172" t="str">
        <f t="array" aca="1" ref="AD60" ca="1">IFERROR(INDEX(BlanksRangeInc,SMALL((IF(LEN(BlanksRangeInc),ROW(INDIRECT("1:"&amp;ROWS(BlanksRangeInc))))),ROW(A57)),1),"")</f>
        <v/>
      </c>
    </row>
    <row r="61" spans="27:30">
      <c r="AA61" s="139" t="str">
        <f t="shared" si="4"/>
        <v/>
      </c>
      <c r="AB61" s="139" t="str">
        <f t="shared" si="5"/>
        <v/>
      </c>
      <c r="AC61" s="171" t="str">
        <f t="array" aca="1" ref="AC61" ca="1">IFERROR(INDEX(BlanksRangeExp,SMALL((IF(LEN(BlanksRangeExp),ROW(INDIRECT("1:"&amp;ROWS(BlanksRangeExp))))),ROW(A58)),1),"")</f>
        <v>ביטוח רכב</v>
      </c>
      <c r="AD61" s="172" t="str">
        <f t="array" aca="1" ref="AD61" ca="1">IFERROR(INDEX(BlanksRangeInc,SMALL((IF(LEN(BlanksRangeInc),ROW(INDIRECT("1:"&amp;ROWS(BlanksRangeInc))))),ROW(A58)),1),"")</f>
        <v/>
      </c>
    </row>
    <row r="62" spans="27:30">
      <c r="AA62" s="139" t="str">
        <f t="shared" si="4"/>
        <v/>
      </c>
      <c r="AB62" s="139" t="str">
        <f t="shared" si="5"/>
        <v/>
      </c>
      <c r="AC62" s="171" t="str">
        <f t="array" aca="1" ref="AC62" ca="1">IFERROR(INDEX(BlanksRangeExp,SMALL((IF(LEN(BlanksRangeExp),ROW(INDIRECT("1:"&amp;ROWS(BlanksRangeExp))))),ROW(A59)),1),"")</f>
        <v>תחזוקת רכב</v>
      </c>
      <c r="AD62" s="174" t="str">
        <f t="array" aca="1" ref="AD62" ca="1">IFERROR(INDEX(BlanksRangeInc,SMALL((IF(LEN(BlanksRangeInc),ROW(INDIRECT("1:"&amp;ROWS(BlanksRangeInc))))),ROW(A59)),1),"")</f>
        <v/>
      </c>
    </row>
    <row r="63" spans="27:30">
      <c r="AA63" s="173" t="str">
        <f t="shared" si="4"/>
        <v/>
      </c>
      <c r="AB63" s="173" t="str">
        <f t="shared" si="5"/>
        <v/>
      </c>
      <c r="AC63" s="171" t="str">
        <f t="array" aca="1" ref="AC63" ca="1">IFERROR(INDEX(BlanksRangeExp,SMALL((IF(LEN(BlanksRangeExp),ROW(INDIRECT("1:"&amp;ROWS(BlanksRangeExp))))),ROW(A60)),1),"")</f>
        <v>תחבורה ציבורית</v>
      </c>
      <c r="AD63" s="172" t="str">
        <f t="array" aca="1" ref="AD63" ca="1">IFERROR(INDEX(BlanksRangeInc,SMALL((IF(LEN(BlanksRangeInc),ROW(INDIRECT("1:"&amp;ROWS(BlanksRangeInc))))),ROW(A60)),1),"")</f>
        <v/>
      </c>
    </row>
    <row r="64" spans="27:30">
      <c r="AA64" s="139" t="str">
        <f>IF(D2="","",D2)</f>
        <v>ריהוט</v>
      </c>
      <c r="AC64" s="171" t="str">
        <f t="array" aca="1" ref="AC64" ca="1">IFERROR(INDEX(BlanksRangeExp,SMALL((IF(LEN(BlanksRangeExp),ROW(INDIRECT("1:"&amp;ROWS(BlanksRangeExp))))),ROW(A61)),1),"")</f>
        <v>רישוי רכב</v>
      </c>
    </row>
    <row r="65" spans="27:29">
      <c r="AA65" s="139" t="str">
        <f t="shared" ref="AA65:AA83" si="6">IF(D3="","",D3)</f>
        <v>מוצרי חשמל ואלקטרוניקה</v>
      </c>
      <c r="AC65" s="171" t="str">
        <f t="array" aca="1" ref="AC65" ca="1">IFERROR(INDEX(BlanksRangeExp,SMALL((IF(LEN(BlanksRangeExp),ROW(INDIRECT("1:"&amp;ROWS(BlanksRangeExp))))),ROW(A62)),1),"")</f>
        <v>תחבורה שיתופית</v>
      </c>
    </row>
    <row r="66" spans="27:29">
      <c r="AA66" s="139" t="str">
        <f t="shared" si="6"/>
        <v>משחקים, צעצועים וספרים</v>
      </c>
      <c r="AC66" s="171" t="str">
        <f t="array" aca="1" ref="AC66" ca="1">IFERROR(INDEX(BlanksRangeExp,SMALL((IF(LEN(BlanksRangeExp),ROW(INDIRECT("1:"&amp;ROWS(BlanksRangeExp))))),ROW(A63)),1),"")</f>
        <v>ליסינג</v>
      </c>
    </row>
    <row r="67" spans="27:29">
      <c r="AA67" s="139" t="str">
        <f t="shared" si="6"/>
        <v>כלי בית</v>
      </c>
      <c r="AC67" s="171" t="str">
        <f t="array" aca="1" ref="AC67" ca="1">IFERROR(INDEX(BlanksRangeExp,SMALL((IF(LEN(BlanksRangeExp),ROW(INDIRECT("1:"&amp;ROWS(BlanksRangeExp))))),ROW(A64)),1),"")</f>
        <v>תחבורה - כללי</v>
      </c>
    </row>
    <row r="68" spans="27:29">
      <c r="AA68" s="139" t="str">
        <f t="shared" si="6"/>
        <v>תכולת בית - כללי</v>
      </c>
      <c r="AC68" s="171" t="str">
        <f t="array" aca="1" ref="AC68" ca="1">IFERROR(INDEX(BlanksRangeExp,SMALL((IF(LEN(BlanksRangeExp),ROW(INDIRECT("1:"&amp;ROWS(BlanksRangeExp))))),ROW(A65)),1),"")</f>
        <v>ארועי שמחות במשפחה</v>
      </c>
    </row>
    <row r="69" spans="27:29">
      <c r="AA69" s="139" t="str">
        <f t="shared" si="6"/>
        <v/>
      </c>
      <c r="AC69" s="171" t="str">
        <f t="array" aca="1" ref="AC69" ca="1">IFERROR(INDEX(BlanksRangeExp,SMALL((IF(LEN(BlanksRangeExp),ROW(INDIRECT("1:"&amp;ROWS(BlanksRangeExp))))),ROW(A66)),1),"")</f>
        <v>דמי כיס</v>
      </c>
    </row>
    <row r="70" spans="27:29">
      <c r="AA70" s="139" t="str">
        <f t="shared" si="6"/>
        <v/>
      </c>
      <c r="AC70" s="171" t="str">
        <f t="array" aca="1" ref="AC70" ca="1">IFERROR(INDEX(BlanksRangeExp,SMALL((IF(LEN(BlanksRangeExp),ROW(INDIRECT("1:"&amp;ROWS(BlanksRangeExp))))),ROW(A67)),1),"")</f>
        <v>עזרה למשפחה</v>
      </c>
    </row>
    <row r="71" spans="27:29">
      <c r="AA71" s="139" t="str">
        <f t="shared" si="6"/>
        <v/>
      </c>
      <c r="AC71" s="171" t="str">
        <f t="array" aca="1" ref="AC71" ca="1">IFERROR(INDEX(BlanksRangeExp,SMALL((IF(LEN(BlanksRangeExp),ROW(INDIRECT("1:"&amp;ROWS(BlanksRangeExp))))),ROW(A68)),1),"")</f>
        <v>תשלום מזונות</v>
      </c>
    </row>
    <row r="72" spans="27:29">
      <c r="AA72" s="139" t="str">
        <f t="shared" si="6"/>
        <v/>
      </c>
      <c r="AC72" s="171" t="str">
        <f t="array" aca="1" ref="AC72" ca="1">IFERROR(INDEX(BlanksRangeExp,SMALL((IF(LEN(BlanksRangeExp),ROW(INDIRECT("1:"&amp;ROWS(BlanksRangeExp))))),ROW(A69)),1),"")</f>
        <v>משפחה - כללי</v>
      </c>
    </row>
    <row r="73" spans="27:29">
      <c r="AA73" s="139" t="str">
        <f t="shared" si="6"/>
        <v/>
      </c>
      <c r="AC73" s="171" t="str">
        <f t="array" aca="1" ref="AC73" ca="1">IFERROR(INDEX(BlanksRangeExp,SMALL((IF(LEN(BlanksRangeExp),ROW(INDIRECT("1:"&amp;ROWS(BlanksRangeExp))))),ROW(A70)),1),"")</f>
        <v>טלפון נייד ונייח</v>
      </c>
    </row>
    <row r="74" spans="27:29">
      <c r="AA74" s="139" t="str">
        <f t="shared" si="6"/>
        <v/>
      </c>
      <c r="AC74" s="171" t="str">
        <f t="array" aca="1" ref="AC74" ca="1">IFERROR(INDEX(BlanksRangeExp,SMALL((IF(LEN(BlanksRangeExp),ROW(INDIRECT("1:"&amp;ROWS(BlanksRangeExp))))),ROW(A71)),1),"")</f>
        <v>טלויזיה ואינטרנט (ספק ותשתית)</v>
      </c>
    </row>
    <row r="75" spans="27:29">
      <c r="AA75" s="139" t="str">
        <f t="shared" si="6"/>
        <v/>
      </c>
      <c r="AC75" s="171" t="str">
        <f t="array" aca="1" ref="AC75" ca="1">IFERROR(INDEX(BlanksRangeExp,SMALL((IF(LEN(BlanksRangeExp),ROW(INDIRECT("1:"&amp;ROWS(BlanksRangeExp))))),ROW(A72)),1),"")</f>
        <v>שירותי תוכן</v>
      </c>
    </row>
    <row r="76" spans="27:29">
      <c r="AA76" s="139" t="str">
        <f t="shared" si="6"/>
        <v/>
      </c>
      <c r="AC76" s="171" t="str">
        <f t="array" aca="1" ref="AC76" ca="1">IFERROR(INDEX(BlanksRangeExp,SMALL((IF(LEN(BlanksRangeExp),ROW(INDIRECT("1:"&amp;ROWS(BlanksRangeExp))))),ROW(A73)),1),"")</f>
        <v>תקשורת - כללי</v>
      </c>
    </row>
    <row r="77" spans="27:29">
      <c r="AA77" s="139" t="str">
        <f t="shared" si="6"/>
        <v/>
      </c>
      <c r="AC77" s="171" t="str">
        <f t="array" aca="1" ref="AC77" ca="1">IFERROR(INDEX(BlanksRangeExp,SMALL((IF(LEN(BlanksRangeExp),ROW(INDIRECT("1:"&amp;ROWS(BlanksRangeExp))))),ROW(A74)),1),"")</f>
        <v>משכנתה</v>
      </c>
    </row>
    <row r="78" spans="27:29">
      <c r="AA78" s="139" t="str">
        <f t="shared" si="6"/>
        <v/>
      </c>
      <c r="AC78" s="171" t="str">
        <f t="array" aca="1" ref="AC78" ca="1">IFERROR(INDEX(BlanksRangeExp,SMALL((IF(LEN(BlanksRangeExp),ROW(INDIRECT("1:"&amp;ROWS(BlanksRangeExp))))),ROW(A75)),1),"")</f>
        <v>שכר דירה</v>
      </c>
    </row>
    <row r="79" spans="27:29">
      <c r="AA79" s="139" t="str">
        <f t="shared" si="6"/>
        <v/>
      </c>
      <c r="AC79" s="171" t="str">
        <f t="array" aca="1" ref="AC79" ca="1">IFERROR(INDEX(BlanksRangeExp,SMALL((IF(LEN(BlanksRangeExp),ROW(INDIRECT("1:"&amp;ROWS(BlanksRangeExp))))),ROW(A76)),1),"")</f>
        <v>מיסי ישוב / ועד בית</v>
      </c>
    </row>
    <row r="80" spans="27:29">
      <c r="AA80" s="139" t="str">
        <f t="shared" si="6"/>
        <v/>
      </c>
      <c r="AC80" s="171" t="str">
        <f t="array" aca="1" ref="AC80" ca="1">IFERROR(INDEX(BlanksRangeExp,SMALL((IF(LEN(BlanksRangeExp),ROW(INDIRECT("1:"&amp;ROWS(BlanksRangeExp))))),ROW(A77)),1),"")</f>
        <v>ארנונה</v>
      </c>
    </row>
    <row r="81" spans="27:29">
      <c r="AA81" s="139" t="str">
        <f t="shared" si="6"/>
        <v/>
      </c>
      <c r="AC81" s="171" t="str">
        <f t="array" aca="1" ref="AC81" ca="1">IFERROR(INDEX(BlanksRangeExp,SMALL((IF(LEN(BlanksRangeExp),ROW(INDIRECT("1:"&amp;ROWS(BlanksRangeExp))))),ROW(A78)),1),"")</f>
        <v>ביטוח נכס ותכולה</v>
      </c>
    </row>
    <row r="82" spans="27:29">
      <c r="AA82" s="139" t="str">
        <f t="shared" si="6"/>
        <v/>
      </c>
      <c r="AC82" s="171" t="str">
        <f t="array" aca="1" ref="AC82" ca="1">IFERROR(INDEX(BlanksRangeExp,SMALL((IF(LEN(BlanksRangeExp),ROW(INDIRECT("1:"&amp;ROWS(BlanksRangeExp))))),ROW(A79)),1),"")</f>
        <v>דיור - כללי</v>
      </c>
    </row>
    <row r="83" spans="27:29">
      <c r="AA83" s="173" t="str">
        <f t="shared" si="6"/>
        <v/>
      </c>
      <c r="AC83" s="171" t="str">
        <f t="array" aca="1" ref="AC83" ca="1">IFERROR(INDEX(BlanksRangeExp,SMALL((IF(LEN(BlanksRangeExp),ROW(INDIRECT("1:"&amp;ROWS(BlanksRangeExp))))),ROW(A80)),1),"")</f>
        <v>החזר חובות חודשי (למעט משכנתה) - כללי</v>
      </c>
    </row>
    <row r="84" spans="27:29">
      <c r="AA84" s="139" t="str">
        <f>IF(E2="","",E2)</f>
        <v>חשמל</v>
      </c>
      <c r="AC84" s="171" t="str">
        <f t="array" aca="1" ref="AC84" ca="1">IFERROR(INDEX(BlanksRangeExp,SMALL((IF(LEN(BlanksRangeExp),ROW(INDIRECT("1:"&amp;ROWS(BlanksRangeExp))))),ROW(A81)),1),"")</f>
        <v>ריביות משיכת יתר</v>
      </c>
    </row>
    <row r="85" spans="27:29">
      <c r="AA85" s="139" t="str">
        <f t="shared" ref="AA85:AA88" si="7">IF(E3="","",E3)</f>
        <v>מים וביוב</v>
      </c>
      <c r="AC85" s="171" t="str">
        <f t="array" aca="1" ref="AC85" ca="1">IFERROR(INDEX(BlanksRangeExp,SMALL((IF(LEN(BlanksRangeExp),ROW(INDIRECT("1:"&amp;ROWS(BlanksRangeExp))))),ROW(A82)),1),"")</f>
        <v>הפקדות לחסכונות - כללי</v>
      </c>
    </row>
    <row r="86" spans="27:29">
      <c r="AA86" s="139" t="str">
        <f t="shared" si="7"/>
        <v>גז</v>
      </c>
      <c r="AC86" s="171" t="str">
        <f t="array" aca="1" ref="AC86" ca="1">IFERROR(INDEX(BlanksRangeExp,SMALL((IF(LEN(BlanksRangeExp),ROW(INDIRECT("1:"&amp;ROWS(BlanksRangeExp))))),ROW(A83)),1),"")</f>
        <v>עמלות</v>
      </c>
    </row>
    <row r="87" spans="27:29">
      <c r="AA87" s="139" t="str">
        <f t="shared" si="7"/>
        <v>ניקיון</v>
      </c>
      <c r="AC87" s="171" t="str">
        <f t="array" aca="1" ref="AC87" ca="1">IFERROR(INDEX(BlanksRangeExp,SMALL((IF(LEN(BlanksRangeExp),ROW(INDIRECT("1:"&amp;ROWS(BlanksRangeExp))))),ROW(A84)),1),"")</f>
        <v>ביטוח חיים</v>
      </c>
    </row>
    <row r="88" spans="27:29">
      <c r="AA88" s="139" t="str">
        <f t="shared" si="7"/>
        <v>תיקונים בבית / במכשירים</v>
      </c>
      <c r="AC88" s="171" t="str">
        <f t="array" aca="1" ref="AC88" ca="1">IFERROR(INDEX(BlanksRangeExp,SMALL((IF(LEN(BlanksRangeExp),ROW(INDIRECT("1:"&amp;ROWS(BlanksRangeExp))))),ROW(A85)),1),"")</f>
        <v>ביטוח לאומי (למי שלא עובד)</v>
      </c>
    </row>
    <row r="89" spans="27:29">
      <c r="AA89" s="139" t="str">
        <f t="shared" ref="AA89:AA103" si="8">IF(E7="","",E7)</f>
        <v>גינה</v>
      </c>
      <c r="AC89" s="171" t="str">
        <f t="array" aca="1" ref="AC89" ca="1">IFERROR(INDEX(BlanksRangeExp,SMALL((IF(LEN(BlanksRangeExp),ROW(INDIRECT("1:"&amp;ROWS(BlanksRangeExp))))),ROW(A86)),1),"")</f>
        <v>פיננסים - כללי</v>
      </c>
    </row>
    <row r="90" spans="27:29">
      <c r="AA90" s="139" t="str">
        <f t="shared" si="8"/>
        <v>אחזקת בית - כללי</v>
      </c>
      <c r="AC90" s="171" t="str">
        <f t="array" aca="1" ref="AC90" ca="1">IFERROR(INDEX(BlanksRangeExp,SMALL((IF(LEN(BlanksRangeExp),ROW(INDIRECT("1:"&amp;ROWS(BlanksRangeExp))))),ROW(A87)),1),"")</f>
        <v/>
      </c>
    </row>
    <row r="91" spans="27:29">
      <c r="AA91" s="139" t="str">
        <f t="shared" si="8"/>
        <v/>
      </c>
      <c r="AC91" s="171" t="str">
        <f t="array" aca="1" ref="AC91" ca="1">IFERROR(INDEX(BlanksRangeExp,SMALL((IF(LEN(BlanksRangeExp),ROW(INDIRECT("1:"&amp;ROWS(BlanksRangeExp))))),ROW(A88)),1),"")</f>
        <v/>
      </c>
    </row>
    <row r="92" spans="27:29">
      <c r="AA92" s="139" t="str">
        <f t="shared" si="8"/>
        <v/>
      </c>
      <c r="AC92" s="171" t="str">
        <f t="array" aca="1" ref="AC92" ca="1">IFERROR(INDEX(BlanksRangeExp,SMALL((IF(LEN(BlanksRangeExp),ROW(INDIRECT("1:"&amp;ROWS(BlanksRangeExp))))),ROW(A89)),1),"")</f>
        <v/>
      </c>
    </row>
    <row r="93" spans="27:29">
      <c r="AA93" s="139" t="str">
        <f t="shared" si="8"/>
        <v/>
      </c>
      <c r="AC93" s="171" t="str">
        <f t="array" aca="1" ref="AC93" ca="1">IFERROR(INDEX(BlanksRangeExp,SMALL((IF(LEN(BlanksRangeExp),ROW(INDIRECT("1:"&amp;ROWS(BlanksRangeExp))))),ROW(A90)),1),"")</f>
        <v/>
      </c>
    </row>
    <row r="94" spans="27:29">
      <c r="AA94" s="139" t="str">
        <f t="shared" si="8"/>
        <v/>
      </c>
      <c r="AC94" s="171" t="str">
        <f t="array" aca="1" ref="AC94" ca="1">IFERROR(INDEX(BlanksRangeExp,SMALL((IF(LEN(BlanksRangeExp),ROW(INDIRECT("1:"&amp;ROWS(BlanksRangeExp))))),ROW(A91)),1),"")</f>
        <v/>
      </c>
    </row>
    <row r="95" spans="27:29">
      <c r="AA95" s="139" t="str">
        <f t="shared" si="8"/>
        <v/>
      </c>
      <c r="AC95" s="171" t="str">
        <f t="array" aca="1" ref="AC95" ca="1">IFERROR(INDEX(BlanksRangeExp,SMALL((IF(LEN(BlanksRangeExp),ROW(INDIRECT("1:"&amp;ROWS(BlanksRangeExp))))),ROW(A92)),1),"")</f>
        <v/>
      </c>
    </row>
    <row r="96" spans="27:29">
      <c r="AA96" s="139" t="str">
        <f t="shared" si="8"/>
        <v/>
      </c>
      <c r="AC96" s="171" t="str">
        <f t="array" aca="1" ref="AC96" ca="1">IFERROR(INDEX(BlanksRangeExp,SMALL((IF(LEN(BlanksRangeExp),ROW(INDIRECT("1:"&amp;ROWS(BlanksRangeExp))))),ROW(A93)),1),"")</f>
        <v/>
      </c>
    </row>
    <row r="97" spans="27:29">
      <c r="AA97" s="139" t="str">
        <f t="shared" si="8"/>
        <v/>
      </c>
      <c r="AC97" s="171" t="str">
        <f t="array" aca="1" ref="AC97" ca="1">IFERROR(INDEX(BlanksRangeExp,SMALL((IF(LEN(BlanksRangeExp),ROW(INDIRECT("1:"&amp;ROWS(BlanksRangeExp))))),ROW(A94)),1),"")</f>
        <v/>
      </c>
    </row>
    <row r="98" spans="27:29">
      <c r="AA98" s="139" t="str">
        <f t="shared" si="8"/>
        <v/>
      </c>
      <c r="AC98" s="171" t="str">
        <f t="array" aca="1" ref="AC98" ca="1">IFERROR(INDEX(BlanksRangeExp,SMALL((IF(LEN(BlanksRangeExp),ROW(INDIRECT("1:"&amp;ROWS(BlanksRangeExp))))),ROW(A95)),1),"")</f>
        <v/>
      </c>
    </row>
    <row r="99" spans="27:29">
      <c r="AA99" s="139" t="str">
        <f t="shared" si="8"/>
        <v/>
      </c>
      <c r="AC99" s="171" t="str">
        <f t="array" aca="1" ref="AC99" ca="1">IFERROR(INDEX(BlanksRangeExp,SMALL((IF(LEN(BlanksRangeExp),ROW(INDIRECT("1:"&amp;ROWS(BlanksRangeExp))))),ROW(A96)),1),"")</f>
        <v/>
      </c>
    </row>
    <row r="100" spans="27:29">
      <c r="AA100" s="139" t="str">
        <f t="shared" si="8"/>
        <v/>
      </c>
      <c r="AC100" s="171" t="str">
        <f t="array" aca="1" ref="AC100" ca="1">IFERROR(INDEX(BlanksRangeExp,SMALL((IF(LEN(BlanksRangeExp),ROW(INDIRECT("1:"&amp;ROWS(BlanksRangeExp))))),ROW(A97)),1),"")</f>
        <v/>
      </c>
    </row>
    <row r="101" spans="27:29">
      <c r="AA101" s="139" t="str">
        <f t="shared" si="8"/>
        <v/>
      </c>
      <c r="AC101" s="171" t="str">
        <f t="array" aca="1" ref="AC101" ca="1">IFERROR(INDEX(BlanksRangeExp,SMALL((IF(LEN(BlanksRangeExp),ROW(INDIRECT("1:"&amp;ROWS(BlanksRangeExp))))),ROW(A98)),1),"")</f>
        <v/>
      </c>
    </row>
    <row r="102" spans="27:29">
      <c r="AA102" s="139" t="str">
        <f t="shared" si="8"/>
        <v/>
      </c>
      <c r="AC102" s="171" t="str">
        <f t="array" aca="1" ref="AC102" ca="1">IFERROR(INDEX(BlanksRangeExp,SMALL((IF(LEN(BlanksRangeExp),ROW(INDIRECT("1:"&amp;ROWS(BlanksRangeExp))))),ROW(A99)),1),"")</f>
        <v/>
      </c>
    </row>
    <row r="103" spans="27:29">
      <c r="AA103" s="173" t="str">
        <f t="shared" si="8"/>
        <v/>
      </c>
      <c r="AC103" s="171" t="str">
        <f t="array" aca="1" ref="AC103" ca="1">IFERROR(INDEX(BlanksRangeExp,SMALL((IF(LEN(BlanksRangeExp),ROW(INDIRECT("1:"&amp;ROWS(BlanksRangeExp))))),ROW(A100)),1),"")</f>
        <v/>
      </c>
    </row>
    <row r="104" spans="27:29">
      <c r="AA104" s="139" t="str">
        <f>IF(F2="","",F2)</f>
        <v>מספרה</v>
      </c>
      <c r="AC104" s="171" t="str">
        <f t="array" aca="1" ref="AC104" ca="1">IFERROR(INDEX(BlanksRangeExp,SMALL((IF(LEN(BlanksRangeExp),ROW(INDIRECT("1:"&amp;ROWS(BlanksRangeExp))))),ROW(A101)),1),"")</f>
        <v/>
      </c>
    </row>
    <row r="105" spans="27:29">
      <c r="AA105" s="139" t="str">
        <f t="shared" ref="AA105:AA123" si="9">IF(F3="","",F3)</f>
        <v>קוסמטיקה</v>
      </c>
      <c r="AC105" s="171" t="str">
        <f t="array" aca="1" ref="AC105" ca="1">IFERROR(INDEX(BlanksRangeExp,SMALL((IF(LEN(BlanksRangeExp),ROW(INDIRECT("1:"&amp;ROWS(BlanksRangeExp))))),ROW(A102)),1),"")</f>
        <v/>
      </c>
    </row>
    <row r="106" spans="27:29">
      <c r="AA106" s="139" t="str">
        <f t="shared" si="9"/>
        <v>טיפוח - כללי</v>
      </c>
      <c r="AC106" s="171" t="str">
        <f t="array" aca="1" ref="AC106" ca="1">IFERROR(INDEX(BlanksRangeExp,SMALL((IF(LEN(BlanksRangeExp),ROW(INDIRECT("1:"&amp;ROWS(BlanksRangeExp))))),ROW(A103)),1),"")</f>
        <v/>
      </c>
    </row>
    <row r="107" spans="27:29">
      <c r="AA107" s="139" t="str">
        <f t="shared" si="9"/>
        <v/>
      </c>
      <c r="AC107" s="171" t="str">
        <f t="array" aca="1" ref="AC107" ca="1">IFERROR(INDEX(BlanksRangeExp,SMALL((IF(LEN(BlanksRangeExp),ROW(INDIRECT("1:"&amp;ROWS(BlanksRangeExp))))),ROW(A104)),1),"")</f>
        <v/>
      </c>
    </row>
    <row r="108" spans="27:29">
      <c r="AA108" s="139" t="str">
        <f t="shared" si="9"/>
        <v/>
      </c>
      <c r="AC108" s="171" t="str">
        <f t="array" aca="1" ref="AC108" ca="1">IFERROR(INDEX(BlanksRangeExp,SMALL((IF(LEN(BlanksRangeExp),ROW(INDIRECT("1:"&amp;ROWS(BlanksRangeExp))))),ROW(A105)),1),"")</f>
        <v/>
      </c>
    </row>
    <row r="109" spans="27:29">
      <c r="AA109" s="139" t="str">
        <f t="shared" si="9"/>
        <v/>
      </c>
      <c r="AC109" s="171" t="str">
        <f t="array" aca="1" ref="AC109" ca="1">IFERROR(INDEX(BlanksRangeExp,SMALL((IF(LEN(BlanksRangeExp),ROW(INDIRECT("1:"&amp;ROWS(BlanksRangeExp))))),ROW(A106)),1),"")</f>
        <v/>
      </c>
    </row>
    <row r="110" spans="27:29">
      <c r="AA110" s="139" t="str">
        <f t="shared" si="9"/>
        <v/>
      </c>
      <c r="AC110" s="171" t="str">
        <f t="array" aca="1" ref="AC110" ca="1">IFERROR(INDEX(BlanksRangeExp,SMALL((IF(LEN(BlanksRangeExp),ROW(INDIRECT("1:"&amp;ROWS(BlanksRangeExp))))),ROW(A107)),1),"")</f>
        <v/>
      </c>
    </row>
    <row r="111" spans="27:29">
      <c r="AA111" s="139" t="str">
        <f t="shared" si="9"/>
        <v/>
      </c>
      <c r="AC111" s="171" t="str">
        <f t="array" aca="1" ref="AC111" ca="1">IFERROR(INDEX(BlanksRangeExp,SMALL((IF(LEN(BlanksRangeExp),ROW(INDIRECT("1:"&amp;ROWS(BlanksRangeExp))))),ROW(A108)),1),"")</f>
        <v/>
      </c>
    </row>
    <row r="112" spans="27:29">
      <c r="AA112" s="139" t="str">
        <f t="shared" si="9"/>
        <v/>
      </c>
      <c r="AC112" s="171" t="str">
        <f t="array" aca="1" ref="AC112" ca="1">IFERROR(INDEX(BlanksRangeExp,SMALL((IF(LEN(BlanksRangeExp),ROW(INDIRECT("1:"&amp;ROWS(BlanksRangeExp))))),ROW(A109)),1),"")</f>
        <v/>
      </c>
    </row>
    <row r="113" spans="27:29">
      <c r="AA113" s="139" t="str">
        <f t="shared" si="9"/>
        <v/>
      </c>
      <c r="AC113" s="171" t="str">
        <f t="array" aca="1" ref="AC113" ca="1">IFERROR(INDEX(BlanksRangeExp,SMALL((IF(LEN(BlanksRangeExp),ROW(INDIRECT("1:"&amp;ROWS(BlanksRangeExp))))),ROW(A110)),1),"")</f>
        <v/>
      </c>
    </row>
    <row r="114" spans="27:29">
      <c r="AA114" s="139" t="str">
        <f t="shared" si="9"/>
        <v/>
      </c>
      <c r="AC114" s="171" t="str">
        <f t="array" aca="1" ref="AC114" ca="1">IFERROR(INDEX(BlanksRangeExp,SMALL((IF(LEN(BlanksRangeExp),ROW(INDIRECT("1:"&amp;ROWS(BlanksRangeExp))))),ROW(A111)),1),"")</f>
        <v/>
      </c>
    </row>
    <row r="115" spans="27:29">
      <c r="AA115" s="139" t="str">
        <f t="shared" si="9"/>
        <v/>
      </c>
      <c r="AC115" s="171" t="str">
        <f t="array" aca="1" ref="AC115" ca="1">IFERROR(INDEX(BlanksRangeExp,SMALL((IF(LEN(BlanksRangeExp),ROW(INDIRECT("1:"&amp;ROWS(BlanksRangeExp))))),ROW(A112)),1),"")</f>
        <v/>
      </c>
    </row>
    <row r="116" spans="27:29">
      <c r="AA116" s="139" t="str">
        <f t="shared" si="9"/>
        <v/>
      </c>
      <c r="AC116" s="171" t="str">
        <f t="array" aca="1" ref="AC116" ca="1">IFERROR(INDEX(BlanksRangeExp,SMALL((IF(LEN(BlanksRangeExp),ROW(INDIRECT("1:"&amp;ROWS(BlanksRangeExp))))),ROW(A113)),1),"")</f>
        <v/>
      </c>
    </row>
    <row r="117" spans="27:29">
      <c r="AA117" s="139" t="str">
        <f t="shared" si="9"/>
        <v/>
      </c>
      <c r="AC117" s="171" t="str">
        <f t="array" aca="1" ref="AC117" ca="1">IFERROR(INDEX(BlanksRangeExp,SMALL((IF(LEN(BlanksRangeExp),ROW(INDIRECT("1:"&amp;ROWS(BlanksRangeExp))))),ROW(A114)),1),"")</f>
        <v/>
      </c>
    </row>
    <row r="118" spans="27:29">
      <c r="AA118" s="139" t="str">
        <f t="shared" si="9"/>
        <v/>
      </c>
      <c r="AC118" s="171" t="str">
        <f t="array" aca="1" ref="AC118" ca="1">IFERROR(INDEX(BlanksRangeExp,SMALL((IF(LEN(BlanksRangeExp),ROW(INDIRECT("1:"&amp;ROWS(BlanksRangeExp))))),ROW(A115)),1),"")</f>
        <v/>
      </c>
    </row>
    <row r="119" spans="27:29">
      <c r="AA119" s="139" t="str">
        <f t="shared" si="9"/>
        <v/>
      </c>
      <c r="AC119" s="171" t="str">
        <f t="array" aca="1" ref="AC119" ca="1">IFERROR(INDEX(BlanksRangeExp,SMALL((IF(LEN(BlanksRangeExp),ROW(INDIRECT("1:"&amp;ROWS(BlanksRangeExp))))),ROW(A116)),1),"")</f>
        <v/>
      </c>
    </row>
    <row r="120" spans="27:29">
      <c r="AA120" s="139" t="str">
        <f t="shared" si="9"/>
        <v/>
      </c>
      <c r="AC120" s="171" t="str">
        <f t="array" aca="1" ref="AC120" ca="1">IFERROR(INDEX(BlanksRangeExp,SMALL((IF(LEN(BlanksRangeExp),ROW(INDIRECT("1:"&amp;ROWS(BlanksRangeExp))))),ROW(A117)),1),"")</f>
        <v/>
      </c>
    </row>
    <row r="121" spans="27:29">
      <c r="AA121" s="139" t="str">
        <f t="shared" si="9"/>
        <v/>
      </c>
      <c r="AC121" s="171" t="str">
        <f t="array" aca="1" ref="AC121" ca="1">IFERROR(INDEX(BlanksRangeExp,SMALL((IF(LEN(BlanksRangeExp),ROW(INDIRECT("1:"&amp;ROWS(BlanksRangeExp))))),ROW(A118)),1),"")</f>
        <v/>
      </c>
    </row>
    <row r="122" spans="27:29">
      <c r="AA122" s="139" t="str">
        <f t="shared" si="9"/>
        <v/>
      </c>
      <c r="AC122" s="171" t="str">
        <f t="array" aca="1" ref="AC122" ca="1">IFERROR(INDEX(BlanksRangeExp,SMALL((IF(LEN(BlanksRangeExp),ROW(INDIRECT("1:"&amp;ROWS(BlanksRangeExp))))),ROW(A119)),1),"")</f>
        <v/>
      </c>
    </row>
    <row r="123" spans="27:29">
      <c r="AA123" s="173" t="str">
        <f t="shared" si="9"/>
        <v/>
      </c>
      <c r="AC123" s="171" t="str">
        <f t="array" aca="1" ref="AC123" ca="1">IFERROR(INDEX(BlanksRangeExp,SMALL((IF(LEN(BlanksRangeExp),ROW(INDIRECT("1:"&amp;ROWS(BlanksRangeExp))))),ROW(A120)),1),"")</f>
        <v/>
      </c>
    </row>
    <row r="124" spans="27:29">
      <c r="AA124" s="139" t="str">
        <f>IF(G2="","",G2)</f>
        <v>בית ספר</v>
      </c>
      <c r="AC124" s="171" t="str">
        <f t="array" aca="1" ref="AC124" ca="1">IFERROR(INDEX(BlanksRangeExp,SMALL((IF(LEN(BlanksRangeExp),ROW(INDIRECT("1:"&amp;ROWS(BlanksRangeExp))))),ROW(A121)),1),"")</f>
        <v/>
      </c>
    </row>
    <row r="125" spans="27:29">
      <c r="AA125" s="139" t="str">
        <f t="shared" ref="AA125:AA143" si="10">IF(G3="","",G3)</f>
        <v>מסגרות צהריים</v>
      </c>
      <c r="AC125" s="171" t="str">
        <f t="array" aca="1" ref="AC125" ca="1">IFERROR(INDEX(BlanksRangeExp,SMALL((IF(LEN(BlanksRangeExp),ROW(INDIRECT("1:"&amp;ROWS(BlanksRangeExp))))),ROW(A122)),1),"")</f>
        <v/>
      </c>
    </row>
    <row r="126" spans="27:29">
      <c r="AA126" s="139" t="str">
        <f t="shared" si="10"/>
        <v>מסגרות יום</v>
      </c>
      <c r="AC126" s="171" t="str">
        <f t="array" aca="1" ref="AC126" ca="1">IFERROR(INDEX(BlanksRangeExp,SMALL((IF(LEN(BlanksRangeExp),ROW(INDIRECT("1:"&amp;ROWS(BlanksRangeExp))))),ROW(A123)),1),"")</f>
        <v/>
      </c>
    </row>
    <row r="127" spans="27:29">
      <c r="AA127" s="139" t="str">
        <f t="shared" si="10"/>
        <v>צהרון / מטפלת</v>
      </c>
      <c r="AC127" s="171" t="str">
        <f t="array" aca="1" ref="AC127" ca="1">IFERROR(INDEX(BlanksRangeExp,SMALL((IF(LEN(BlanksRangeExp),ROW(INDIRECT("1:"&amp;ROWS(BlanksRangeExp))))),ROW(A124)),1),"")</f>
        <v/>
      </c>
    </row>
    <row r="128" spans="27:29">
      <c r="AA128" s="139" t="str">
        <f t="shared" si="10"/>
        <v>הסעות</v>
      </c>
      <c r="AC128" s="171" t="str">
        <f t="array" aca="1" ref="AC128" ca="1">IFERROR(INDEX(BlanksRangeExp,SMALL((IF(LEN(BlanksRangeExp),ROW(INDIRECT("1:"&amp;ROWS(BlanksRangeExp))))),ROW(A125)),1),"")</f>
        <v/>
      </c>
    </row>
    <row r="129" spans="27:29">
      <c r="AA129" s="139" t="str">
        <f t="shared" si="10"/>
        <v>שיעור פרטי</v>
      </c>
      <c r="AC129" s="171" t="str">
        <f t="array" aca="1" ref="AC129" ca="1">IFERROR(INDEX(BlanksRangeExp,SMALL((IF(LEN(BlanksRangeExp),ROW(INDIRECT("1:"&amp;ROWS(BlanksRangeExp))))),ROW(A126)),1),"")</f>
        <v/>
      </c>
    </row>
    <row r="130" spans="27:29">
      <c r="AA130" s="139" t="str">
        <f t="shared" si="10"/>
        <v>מסגרות קיץ</v>
      </c>
      <c r="AC130" s="171" t="str">
        <f t="array" aca="1" ref="AC130" ca="1">IFERROR(INDEX(BlanksRangeExp,SMALL((IF(LEN(BlanksRangeExp),ROW(INDIRECT("1:"&amp;ROWS(BlanksRangeExp))))),ROW(A127)),1),"")</f>
        <v/>
      </c>
    </row>
    <row r="131" spans="27:29">
      <c r="AA131" s="139" t="str">
        <f t="shared" si="10"/>
        <v>חוגים ותנועת נוער</v>
      </c>
      <c r="AC131" s="171" t="str">
        <f t="array" aca="1" ref="AC131" ca="1">IFERROR(INDEX(BlanksRangeExp,SMALL((IF(LEN(BlanksRangeExp),ROW(INDIRECT("1:"&amp;ROWS(BlanksRangeExp))))),ROW(A128)),1),"")</f>
        <v/>
      </c>
    </row>
    <row r="132" spans="27:29">
      <c r="AA132" s="139" t="str">
        <f t="shared" si="10"/>
        <v>לימודים והשתלמות לבוגרים</v>
      </c>
      <c r="AC132" s="171" t="str">
        <f t="array" aca="1" ref="AC132" ca="1">IFERROR(INDEX(BlanksRangeExp,SMALL((IF(LEN(BlanksRangeExp),ROW(INDIRECT("1:"&amp;ROWS(BlanksRangeExp))))),ROW(A129)),1),"")</f>
        <v/>
      </c>
    </row>
    <row r="133" spans="27:29">
      <c r="AA133" s="139" t="str">
        <f t="shared" si="10"/>
        <v>חינוך - כללי</v>
      </c>
      <c r="AC133" s="171" t="str">
        <f t="array" aca="1" ref="AC133" ca="1">IFERROR(INDEX(BlanksRangeExp,SMALL((IF(LEN(BlanksRangeExp),ROW(INDIRECT("1:"&amp;ROWS(BlanksRangeExp))))),ROW(A130)),1),"")</f>
        <v/>
      </c>
    </row>
    <row r="134" spans="27:29">
      <c r="AA134" s="139" t="str">
        <f t="shared" si="10"/>
        <v/>
      </c>
      <c r="AC134" s="171" t="str">
        <f t="array" aca="1" ref="AC134" ca="1">IFERROR(INDEX(BlanksRangeExp,SMALL((IF(LEN(BlanksRangeExp),ROW(INDIRECT("1:"&amp;ROWS(BlanksRangeExp))))),ROW(A131)),1),"")</f>
        <v/>
      </c>
    </row>
    <row r="135" spans="27:29">
      <c r="AA135" s="139" t="str">
        <f t="shared" si="10"/>
        <v/>
      </c>
      <c r="AC135" s="171" t="str">
        <f t="array" aca="1" ref="AC135" ca="1">IFERROR(INDEX(BlanksRangeExp,SMALL((IF(LEN(BlanksRangeExp),ROW(INDIRECT("1:"&amp;ROWS(BlanksRangeExp))))),ROW(A132)),1),"")</f>
        <v/>
      </c>
    </row>
    <row r="136" spans="27:29">
      <c r="AA136" s="139" t="str">
        <f t="shared" si="10"/>
        <v/>
      </c>
      <c r="AC136" s="171" t="str">
        <f t="array" aca="1" ref="AC136" ca="1">IFERROR(INDEX(BlanksRangeExp,SMALL((IF(LEN(BlanksRangeExp),ROW(INDIRECT("1:"&amp;ROWS(BlanksRangeExp))))),ROW(A133)),1),"")</f>
        <v/>
      </c>
    </row>
    <row r="137" spans="27:29">
      <c r="AA137" s="139" t="str">
        <f t="shared" si="10"/>
        <v/>
      </c>
      <c r="AC137" s="171" t="str">
        <f t="array" aca="1" ref="AC137" ca="1">IFERROR(INDEX(BlanksRangeExp,SMALL((IF(LEN(BlanksRangeExp),ROW(INDIRECT("1:"&amp;ROWS(BlanksRangeExp))))),ROW(A134)),1),"")</f>
        <v/>
      </c>
    </row>
    <row r="138" spans="27:29">
      <c r="AA138" s="139" t="str">
        <f t="shared" si="10"/>
        <v/>
      </c>
      <c r="AC138" s="171" t="str">
        <f t="array" aca="1" ref="AC138" ca="1">IFERROR(INDEX(BlanksRangeExp,SMALL((IF(LEN(BlanksRangeExp),ROW(INDIRECT("1:"&amp;ROWS(BlanksRangeExp))))),ROW(A135)),1),"")</f>
        <v/>
      </c>
    </row>
    <row r="139" spans="27:29">
      <c r="AA139" s="139" t="str">
        <f t="shared" si="10"/>
        <v/>
      </c>
      <c r="AC139" s="171" t="str">
        <f t="array" aca="1" ref="AC139" ca="1">IFERROR(INDEX(BlanksRangeExp,SMALL((IF(LEN(BlanksRangeExp),ROW(INDIRECT("1:"&amp;ROWS(BlanksRangeExp))))),ROW(A136)),1),"")</f>
        <v/>
      </c>
    </row>
    <row r="140" spans="27:29">
      <c r="AA140" s="139" t="str">
        <f t="shared" si="10"/>
        <v/>
      </c>
      <c r="AC140" s="171" t="str">
        <f t="array" aca="1" ref="AC140" ca="1">IFERROR(INDEX(BlanksRangeExp,SMALL((IF(LEN(BlanksRangeExp),ROW(INDIRECT("1:"&amp;ROWS(BlanksRangeExp))))),ROW(A137)),1),"")</f>
        <v/>
      </c>
    </row>
    <row r="141" spans="27:29">
      <c r="AA141" s="139" t="str">
        <f t="shared" si="10"/>
        <v/>
      </c>
      <c r="AC141" s="171" t="str">
        <f t="array" aca="1" ref="AC141" ca="1">IFERROR(INDEX(BlanksRangeExp,SMALL((IF(LEN(BlanksRangeExp),ROW(INDIRECT("1:"&amp;ROWS(BlanksRangeExp))))),ROW(A138)),1),"")</f>
        <v/>
      </c>
    </row>
    <row r="142" spans="27:29">
      <c r="AA142" s="139" t="str">
        <f t="shared" si="10"/>
        <v/>
      </c>
      <c r="AC142" s="171" t="str">
        <f t="array" aca="1" ref="AC142" ca="1">IFERROR(INDEX(BlanksRangeExp,SMALL((IF(LEN(BlanksRangeExp),ROW(INDIRECT("1:"&amp;ROWS(BlanksRangeExp))))),ROW(A139)),1),"")</f>
        <v/>
      </c>
    </row>
    <row r="143" spans="27:29">
      <c r="AA143" s="173" t="str">
        <f t="shared" si="10"/>
        <v/>
      </c>
      <c r="AC143" s="171" t="str">
        <f t="array" aca="1" ref="AC143" ca="1">IFERROR(INDEX(BlanksRangeExp,SMALL((IF(LEN(BlanksRangeExp),ROW(INDIRECT("1:"&amp;ROWS(BlanksRangeExp))))),ROW(A140)),1),"")</f>
        <v/>
      </c>
    </row>
    <row r="144" spans="27:29">
      <c r="AA144" s="139" t="str">
        <f>IF(H2="","",H2)</f>
        <v>חגים וצרכי דת</v>
      </c>
      <c r="AC144" s="171" t="str">
        <f t="array" aca="1" ref="AC144" ca="1">IFERROR(INDEX(BlanksRangeExp,SMALL((IF(LEN(BlanksRangeExp),ROW(INDIRECT("1:"&amp;ROWS(BlanksRangeExp))))),ROW(A141)),1),"")</f>
        <v/>
      </c>
    </row>
    <row r="145" spans="27:29">
      <c r="AA145" s="139" t="str">
        <f t="shared" ref="AA145:AA163" si="11">IF(H3="","",H3)</f>
        <v>אירוע בעבודה / לחברים</v>
      </c>
      <c r="AC145" s="171" t="str">
        <f t="array" aca="1" ref="AC145" ca="1">IFERROR(INDEX(BlanksRangeExp,SMALL((IF(LEN(BlanksRangeExp),ROW(INDIRECT("1:"&amp;ROWS(BlanksRangeExp))))),ROW(A142)),1),"")</f>
        <v/>
      </c>
    </row>
    <row r="146" spans="27:29">
      <c r="AA146" s="139" t="str">
        <f t="shared" si="11"/>
        <v>תרומות</v>
      </c>
      <c r="AC146" s="171" t="str">
        <f t="array" aca="1" ref="AC146" ca="1">IFERROR(INDEX(BlanksRangeExp,SMALL((IF(LEN(BlanksRangeExp),ROW(INDIRECT("1:"&amp;ROWS(BlanksRangeExp))))),ROW(A143)),1),"")</f>
        <v/>
      </c>
    </row>
    <row r="147" spans="27:29">
      <c r="AA147" s="139" t="str">
        <f t="shared" si="11"/>
        <v/>
      </c>
      <c r="AC147" s="171" t="str">
        <f t="array" aca="1" ref="AC147" ca="1">IFERROR(INDEX(BlanksRangeExp,SMALL((IF(LEN(BlanksRangeExp),ROW(INDIRECT("1:"&amp;ROWS(BlanksRangeExp))))),ROW(A144)),1),"")</f>
        <v/>
      </c>
    </row>
    <row r="148" spans="27:29">
      <c r="AA148" s="139" t="str">
        <f t="shared" si="11"/>
        <v/>
      </c>
      <c r="AC148" s="171" t="str">
        <f t="array" aca="1" ref="AC148" ca="1">IFERROR(INDEX(BlanksRangeExp,SMALL((IF(LEN(BlanksRangeExp),ROW(INDIRECT("1:"&amp;ROWS(BlanksRangeExp))))),ROW(A145)),1),"")</f>
        <v/>
      </c>
    </row>
    <row r="149" spans="27:29">
      <c r="AA149" s="139" t="str">
        <f t="shared" si="11"/>
        <v/>
      </c>
      <c r="AC149" s="171" t="str">
        <f t="array" aca="1" ref="AC149" ca="1">IFERROR(INDEX(BlanksRangeExp,SMALL((IF(LEN(BlanksRangeExp),ROW(INDIRECT("1:"&amp;ROWS(BlanksRangeExp))))),ROW(A146)),1),"")</f>
        <v/>
      </c>
    </row>
    <row r="150" spans="27:29">
      <c r="AA150" s="139" t="str">
        <f t="shared" si="11"/>
        <v/>
      </c>
      <c r="AC150" s="171" t="str">
        <f t="array" aca="1" ref="AC150" ca="1">IFERROR(INDEX(BlanksRangeExp,SMALL((IF(LEN(BlanksRangeExp),ROW(INDIRECT("1:"&amp;ROWS(BlanksRangeExp))))),ROW(A147)),1),"")</f>
        <v/>
      </c>
    </row>
    <row r="151" spans="27:29">
      <c r="AA151" s="139" t="str">
        <f t="shared" si="11"/>
        <v/>
      </c>
      <c r="AC151" s="171" t="str">
        <f t="array" aca="1" ref="AC151" ca="1">IFERROR(INDEX(BlanksRangeExp,SMALL((IF(LEN(BlanksRangeExp),ROW(INDIRECT("1:"&amp;ROWS(BlanksRangeExp))))),ROW(A148)),1),"")</f>
        <v/>
      </c>
    </row>
    <row r="152" spans="27:29">
      <c r="AA152" s="139" t="str">
        <f t="shared" si="11"/>
        <v/>
      </c>
      <c r="AC152" s="171" t="str">
        <f t="array" aca="1" ref="AC152" ca="1">IFERROR(INDEX(BlanksRangeExp,SMALL((IF(LEN(BlanksRangeExp),ROW(INDIRECT("1:"&amp;ROWS(BlanksRangeExp))))),ROW(A149)),1),"")</f>
        <v/>
      </c>
    </row>
    <row r="153" spans="27:29">
      <c r="AA153" s="139" t="str">
        <f t="shared" si="11"/>
        <v/>
      </c>
      <c r="AC153" s="171" t="str">
        <f t="array" aca="1" ref="AC153" ca="1">IFERROR(INDEX(BlanksRangeExp,SMALL((IF(LEN(BlanksRangeExp),ROW(INDIRECT("1:"&amp;ROWS(BlanksRangeExp))))),ROW(A150)),1),"")</f>
        <v/>
      </c>
    </row>
    <row r="154" spans="27:29">
      <c r="AA154" s="139" t="str">
        <f t="shared" si="11"/>
        <v/>
      </c>
      <c r="AC154" s="171" t="str">
        <f t="array" aca="1" ref="AC154" ca="1">IFERROR(INDEX(BlanksRangeExp,SMALL((IF(LEN(BlanksRangeExp),ROW(INDIRECT("1:"&amp;ROWS(BlanksRangeExp))))),ROW(A151)),1),"")</f>
        <v/>
      </c>
    </row>
    <row r="155" spans="27:29">
      <c r="AA155" s="139" t="str">
        <f t="shared" si="11"/>
        <v/>
      </c>
      <c r="AC155" s="171" t="str">
        <f t="array" aca="1" ref="AC155" ca="1">IFERROR(INDEX(BlanksRangeExp,SMALL((IF(LEN(BlanksRangeExp),ROW(INDIRECT("1:"&amp;ROWS(BlanksRangeExp))))),ROW(A152)),1),"")</f>
        <v/>
      </c>
    </row>
    <row r="156" spans="27:29">
      <c r="AA156" s="139" t="str">
        <f t="shared" si="11"/>
        <v/>
      </c>
      <c r="AC156" s="171" t="str">
        <f t="array" aca="1" ref="AC156" ca="1">IFERROR(INDEX(BlanksRangeExp,SMALL((IF(LEN(BlanksRangeExp),ROW(INDIRECT("1:"&amp;ROWS(BlanksRangeExp))))),ROW(A153)),1),"")</f>
        <v/>
      </c>
    </row>
    <row r="157" spans="27:29">
      <c r="AA157" s="139" t="str">
        <f t="shared" si="11"/>
        <v/>
      </c>
      <c r="AC157" s="171" t="str">
        <f t="array" aca="1" ref="AC157" ca="1">IFERROR(INDEX(BlanksRangeExp,SMALL((IF(LEN(BlanksRangeExp),ROW(INDIRECT("1:"&amp;ROWS(BlanksRangeExp))))),ROW(A154)),1),"")</f>
        <v/>
      </c>
    </row>
    <row r="158" spans="27:29">
      <c r="AA158" s="139" t="str">
        <f t="shared" si="11"/>
        <v/>
      </c>
      <c r="AC158" s="171" t="str">
        <f t="array" aca="1" ref="AC158" ca="1">IFERROR(INDEX(BlanksRangeExp,SMALL((IF(LEN(BlanksRangeExp),ROW(INDIRECT("1:"&amp;ROWS(BlanksRangeExp))))),ROW(A155)),1),"")</f>
        <v/>
      </c>
    </row>
    <row r="159" spans="27:29">
      <c r="AA159" s="139" t="str">
        <f t="shared" si="11"/>
        <v/>
      </c>
      <c r="AC159" s="171" t="str">
        <f t="array" aca="1" ref="AC159" ca="1">IFERROR(INDEX(BlanksRangeExp,SMALL((IF(LEN(BlanksRangeExp),ROW(INDIRECT("1:"&amp;ROWS(BlanksRangeExp))))),ROW(A156)),1),"")</f>
        <v/>
      </c>
    </row>
    <row r="160" spans="27:29">
      <c r="AA160" s="139" t="str">
        <f t="shared" si="11"/>
        <v/>
      </c>
      <c r="AC160" s="171" t="str">
        <f t="array" aca="1" ref="AC160" ca="1">IFERROR(INDEX(BlanksRangeExp,SMALL((IF(LEN(BlanksRangeExp),ROW(INDIRECT("1:"&amp;ROWS(BlanksRangeExp))))),ROW(A157)),1),"")</f>
        <v/>
      </c>
    </row>
    <row r="161" spans="27:29">
      <c r="AA161" s="139" t="str">
        <f t="shared" si="11"/>
        <v/>
      </c>
      <c r="AC161" s="171" t="str">
        <f t="array" aca="1" ref="AC161" ca="1">IFERROR(INDEX(BlanksRangeExp,SMALL((IF(LEN(BlanksRangeExp),ROW(INDIRECT("1:"&amp;ROWS(BlanksRangeExp))))),ROW(A158)),1),"")</f>
        <v/>
      </c>
    </row>
    <row r="162" spans="27:29">
      <c r="AA162" s="139" t="str">
        <f t="shared" si="11"/>
        <v/>
      </c>
      <c r="AC162" s="171" t="str">
        <f t="array" aca="1" ref="AC162" ca="1">IFERROR(INDEX(BlanksRangeExp,SMALL((IF(LEN(BlanksRangeExp),ROW(INDIRECT("1:"&amp;ROWS(BlanksRangeExp))))),ROW(A159)),1),"")</f>
        <v/>
      </c>
    </row>
    <row r="163" spans="27:29">
      <c r="AA163" s="173" t="str">
        <f t="shared" si="11"/>
        <v/>
      </c>
      <c r="AC163" s="171" t="str">
        <f t="array" aca="1" ref="AC163" ca="1">IFERROR(INDEX(BlanksRangeExp,SMALL((IF(LEN(BlanksRangeExp),ROW(INDIRECT("1:"&amp;ROWS(BlanksRangeExp))))),ROW(A160)),1),"")</f>
        <v/>
      </c>
    </row>
    <row r="164" spans="27:29">
      <c r="AA164" s="139" t="str">
        <f>IF(I2="","",I2)</f>
        <v>קופ"ח תשלום קבוע</v>
      </c>
      <c r="AC164" s="171" t="str">
        <f t="array" aca="1" ref="AC164" ca="1">IFERROR(INDEX(BlanksRangeExp,SMALL((IF(LEN(BlanksRangeExp),ROW(INDIRECT("1:"&amp;ROWS(BlanksRangeExp))))),ROW(A161)),1),"")</f>
        <v/>
      </c>
    </row>
    <row r="165" spans="27:29">
      <c r="AA165" s="139" t="str">
        <f t="shared" ref="AA165:AA183" si="12">IF(I3="","",I3)</f>
        <v>ביטוח רפואי נוסף</v>
      </c>
      <c r="AC165" s="171" t="str">
        <f t="array" aca="1" ref="AC165" ca="1">IFERROR(INDEX(BlanksRangeExp,SMALL((IF(LEN(BlanksRangeExp),ROW(INDIRECT("1:"&amp;ROWS(BlanksRangeExp))))),ROW(A162)),1),"")</f>
        <v/>
      </c>
    </row>
    <row r="166" spans="27:29">
      <c r="AA166" s="139" t="str">
        <f t="shared" si="12"/>
        <v>טיפולים פרטיים</v>
      </c>
      <c r="AC166" s="171" t="str">
        <f t="array" aca="1" ref="AC166" ca="1">IFERROR(INDEX(BlanksRangeExp,SMALL((IF(LEN(BlanksRangeExp),ROW(INDIRECT("1:"&amp;ROWS(BlanksRangeExp))))),ROW(A163)),1),"")</f>
        <v/>
      </c>
    </row>
    <row r="167" spans="27:29">
      <c r="AA167" s="139" t="str">
        <f t="shared" si="12"/>
        <v>תרופות</v>
      </c>
      <c r="AC167" s="171" t="str">
        <f t="array" aca="1" ref="AC167" ca="1">IFERROR(INDEX(BlanksRangeExp,SMALL((IF(LEN(BlanksRangeExp),ROW(INDIRECT("1:"&amp;ROWS(BlanksRangeExp))))),ROW(A164)),1),"")</f>
        <v/>
      </c>
    </row>
    <row r="168" spans="27:29">
      <c r="AA168" s="139" t="str">
        <f t="shared" si="12"/>
        <v>טיפולי שיניים / אורטודנט</v>
      </c>
      <c r="AC168" s="171" t="str">
        <f t="array" aca="1" ref="AC168" ca="1">IFERROR(INDEX(BlanksRangeExp,SMALL((IF(LEN(BlanksRangeExp),ROW(INDIRECT("1:"&amp;ROWS(BlanksRangeExp))))),ROW(A165)),1),"")</f>
        <v/>
      </c>
    </row>
    <row r="169" spans="27:29">
      <c r="AA169" s="139" t="str">
        <f t="shared" si="12"/>
        <v>אופטיקה</v>
      </c>
      <c r="AC169" s="171" t="str">
        <f t="array" aca="1" ref="AC169" ca="1">IFERROR(INDEX(BlanksRangeExp,SMALL((IF(LEN(BlanksRangeExp),ROW(INDIRECT("1:"&amp;ROWS(BlanksRangeExp))))),ROW(A166)),1),"")</f>
        <v/>
      </c>
    </row>
    <row r="170" spans="27:29">
      <c r="AA170" s="139" t="str">
        <f t="shared" si="12"/>
        <v>בריאות - כללי</v>
      </c>
      <c r="AC170" s="171" t="str">
        <f t="array" aca="1" ref="AC170" ca="1">IFERROR(INDEX(BlanksRangeExp,SMALL((IF(LEN(BlanksRangeExp),ROW(INDIRECT("1:"&amp;ROWS(BlanksRangeExp))))),ROW(A167)),1),"")</f>
        <v/>
      </c>
    </row>
    <row r="171" spans="27:29">
      <c r="AA171" s="139" t="str">
        <f t="shared" si="12"/>
        <v/>
      </c>
      <c r="AC171" s="171" t="str">
        <f t="array" aca="1" ref="AC171" ca="1">IFERROR(INDEX(BlanksRangeExp,SMALL((IF(LEN(BlanksRangeExp),ROW(INDIRECT("1:"&amp;ROWS(BlanksRangeExp))))),ROW(A168)),1),"")</f>
        <v/>
      </c>
    </row>
    <row r="172" spans="27:29">
      <c r="AA172" s="139" t="str">
        <f t="shared" si="12"/>
        <v/>
      </c>
      <c r="AC172" s="171" t="str">
        <f t="array" aca="1" ref="AC172" ca="1">IFERROR(INDEX(BlanksRangeExp,SMALL((IF(LEN(BlanksRangeExp),ROW(INDIRECT("1:"&amp;ROWS(BlanksRangeExp))))),ROW(A169)),1),"")</f>
        <v/>
      </c>
    </row>
    <row r="173" spans="27:29">
      <c r="AA173" s="139" t="str">
        <f t="shared" si="12"/>
        <v/>
      </c>
      <c r="AC173" s="171" t="str">
        <f t="array" aca="1" ref="AC173" ca="1">IFERROR(INDEX(BlanksRangeExp,SMALL((IF(LEN(BlanksRangeExp),ROW(INDIRECT("1:"&amp;ROWS(BlanksRangeExp))))),ROW(A170)),1),"")</f>
        <v/>
      </c>
    </row>
    <row r="174" spans="27:29">
      <c r="AA174" s="139" t="str">
        <f t="shared" si="12"/>
        <v/>
      </c>
      <c r="AC174" s="171" t="str">
        <f t="array" aca="1" ref="AC174" ca="1">IFERROR(INDEX(BlanksRangeExp,SMALL((IF(LEN(BlanksRangeExp),ROW(INDIRECT("1:"&amp;ROWS(BlanksRangeExp))))),ROW(A171)),1),"")</f>
        <v/>
      </c>
    </row>
    <row r="175" spans="27:29">
      <c r="AA175" s="139" t="str">
        <f t="shared" si="12"/>
        <v/>
      </c>
      <c r="AC175" s="171" t="str">
        <f t="array" aca="1" ref="AC175" ca="1">IFERROR(INDEX(BlanksRangeExp,SMALL((IF(LEN(BlanksRangeExp),ROW(INDIRECT("1:"&amp;ROWS(BlanksRangeExp))))),ROW(A172)),1),"")</f>
        <v/>
      </c>
    </row>
    <row r="176" spans="27:29">
      <c r="AA176" s="139" t="str">
        <f t="shared" si="12"/>
        <v/>
      </c>
      <c r="AC176" s="171" t="str">
        <f t="array" aca="1" ref="AC176" ca="1">IFERROR(INDEX(BlanksRangeExp,SMALL((IF(LEN(BlanksRangeExp),ROW(INDIRECT("1:"&amp;ROWS(BlanksRangeExp))))),ROW(A173)),1),"")</f>
        <v/>
      </c>
    </row>
    <row r="177" spans="27:29">
      <c r="AA177" s="139" t="str">
        <f t="shared" si="12"/>
        <v/>
      </c>
      <c r="AC177" s="171" t="str">
        <f t="array" aca="1" ref="AC177" ca="1">IFERROR(INDEX(BlanksRangeExp,SMALL((IF(LEN(BlanksRangeExp),ROW(INDIRECT("1:"&amp;ROWS(BlanksRangeExp))))),ROW(A174)),1),"")</f>
        <v/>
      </c>
    </row>
    <row r="178" spans="27:29">
      <c r="AA178" s="139" t="str">
        <f t="shared" si="12"/>
        <v/>
      </c>
      <c r="AC178" s="171" t="str">
        <f t="array" aca="1" ref="AC178" ca="1">IFERROR(INDEX(BlanksRangeExp,SMALL((IF(LEN(BlanksRangeExp),ROW(INDIRECT("1:"&amp;ROWS(BlanksRangeExp))))),ROW(A175)),1),"")</f>
        <v/>
      </c>
    </row>
    <row r="179" spans="27:29">
      <c r="AA179" s="139" t="str">
        <f t="shared" si="12"/>
        <v/>
      </c>
      <c r="AC179" s="171" t="str">
        <f t="array" aca="1" ref="AC179" ca="1">IFERROR(INDEX(BlanksRangeExp,SMALL((IF(LEN(BlanksRangeExp),ROW(INDIRECT("1:"&amp;ROWS(BlanksRangeExp))))),ROW(A176)),1),"")</f>
        <v/>
      </c>
    </row>
    <row r="180" spans="27:29">
      <c r="AA180" s="139" t="str">
        <f t="shared" si="12"/>
        <v/>
      </c>
      <c r="AC180" s="171" t="str">
        <f t="array" aca="1" ref="AC180" ca="1">IFERROR(INDEX(BlanksRangeExp,SMALL((IF(LEN(BlanksRangeExp),ROW(INDIRECT("1:"&amp;ROWS(BlanksRangeExp))))),ROW(A177)),1),"")</f>
        <v/>
      </c>
    </row>
    <row r="181" spans="27:29">
      <c r="AA181" s="139" t="str">
        <f t="shared" si="12"/>
        <v/>
      </c>
      <c r="AC181" s="171" t="str">
        <f t="array" aca="1" ref="AC181" ca="1">IFERROR(INDEX(BlanksRangeExp,SMALL((IF(LEN(BlanksRangeExp),ROW(INDIRECT("1:"&amp;ROWS(BlanksRangeExp))))),ROW(A178)),1),"")</f>
        <v/>
      </c>
    </row>
    <row r="182" spans="27:29">
      <c r="AA182" s="139" t="str">
        <f t="shared" si="12"/>
        <v/>
      </c>
      <c r="AC182" s="171" t="str">
        <f t="array" aca="1" ref="AC182" ca="1">IFERROR(INDEX(BlanksRangeExp,SMALL((IF(LEN(BlanksRangeExp),ROW(INDIRECT("1:"&amp;ROWS(BlanksRangeExp))))),ROW(A179)),1),"")</f>
        <v/>
      </c>
    </row>
    <row r="183" spans="27:29">
      <c r="AA183" s="173" t="str">
        <f t="shared" si="12"/>
        <v/>
      </c>
      <c r="AC183" s="171" t="str">
        <f t="array" aca="1" ref="AC183" ca="1">IFERROR(INDEX(BlanksRangeExp,SMALL((IF(LEN(BlanksRangeExp),ROW(INDIRECT("1:"&amp;ROWS(BlanksRangeExp))))),ROW(A180)),1),"")</f>
        <v/>
      </c>
    </row>
    <row r="184" spans="27:29">
      <c r="AA184" s="139" t="str">
        <f>IF(J2="","",J2)</f>
        <v>דלק</v>
      </c>
      <c r="AC184" s="171" t="str">
        <f t="array" aca="1" ref="AC184" ca="1">IFERROR(INDEX(BlanksRangeExp,SMALL((IF(LEN(BlanksRangeExp),ROW(INDIRECT("1:"&amp;ROWS(BlanksRangeExp))))),ROW(A181)),1),"")</f>
        <v/>
      </c>
    </row>
    <row r="185" spans="27:29">
      <c r="AA185" s="139" t="str">
        <f t="shared" ref="AA185:AA192" si="13">IF(J3="","",J3)</f>
        <v>חניה</v>
      </c>
      <c r="AC185" s="171" t="str">
        <f t="array" aca="1" ref="AC185" ca="1">IFERROR(INDEX(BlanksRangeExp,SMALL((IF(LEN(BlanksRangeExp),ROW(INDIRECT("1:"&amp;ROWS(BlanksRangeExp))))),ROW(A182)),1),"")</f>
        <v/>
      </c>
    </row>
    <row r="186" spans="27:29">
      <c r="AA186" s="139" t="str">
        <f t="shared" si="13"/>
        <v>כבישי אגרה</v>
      </c>
      <c r="AC186" s="171" t="str">
        <f t="array" aca="1" ref="AC186" ca="1">IFERROR(INDEX(BlanksRangeExp,SMALL((IF(LEN(BlanksRangeExp),ROW(INDIRECT("1:"&amp;ROWS(BlanksRangeExp))))),ROW(A183)),1),"")</f>
        <v/>
      </c>
    </row>
    <row r="187" spans="27:29">
      <c r="AA187" s="139" t="str">
        <f t="shared" si="13"/>
        <v>ביטוח רכב</v>
      </c>
      <c r="AC187" s="171" t="str">
        <f t="array" aca="1" ref="AC187" ca="1">IFERROR(INDEX(BlanksRangeExp,SMALL((IF(LEN(BlanksRangeExp),ROW(INDIRECT("1:"&amp;ROWS(BlanksRangeExp))))),ROW(A184)),1),"")</f>
        <v/>
      </c>
    </row>
    <row r="188" spans="27:29">
      <c r="AA188" s="139" t="str">
        <f t="shared" si="13"/>
        <v>תחזוקת רכב</v>
      </c>
      <c r="AC188" s="171" t="str">
        <f t="array" aca="1" ref="AC188" ca="1">IFERROR(INDEX(BlanksRangeExp,SMALL((IF(LEN(BlanksRangeExp),ROW(INDIRECT("1:"&amp;ROWS(BlanksRangeExp))))),ROW(A185)),1),"")</f>
        <v/>
      </c>
    </row>
    <row r="189" spans="27:29">
      <c r="AA189" s="139" t="str">
        <f t="shared" si="13"/>
        <v>תחבורה ציבורית</v>
      </c>
      <c r="AC189" s="171" t="str">
        <f t="array" aca="1" ref="AC189" ca="1">IFERROR(INDEX(BlanksRangeExp,SMALL((IF(LEN(BlanksRangeExp),ROW(INDIRECT("1:"&amp;ROWS(BlanksRangeExp))))),ROW(A186)),1),"")</f>
        <v/>
      </c>
    </row>
    <row r="190" spans="27:29">
      <c r="AA190" s="139" t="str">
        <f t="shared" si="13"/>
        <v>רישוי רכב</v>
      </c>
      <c r="AC190" s="171" t="str">
        <f t="array" aca="1" ref="AC190" ca="1">IFERROR(INDEX(BlanksRangeExp,SMALL((IF(LEN(BlanksRangeExp),ROW(INDIRECT("1:"&amp;ROWS(BlanksRangeExp))))),ROW(A187)),1),"")</f>
        <v/>
      </c>
    </row>
    <row r="191" spans="27:29">
      <c r="AA191" s="139" t="str">
        <f t="shared" si="13"/>
        <v>תחבורה שיתופית</v>
      </c>
      <c r="AC191" s="171" t="str">
        <f t="array" aca="1" ref="AC191" ca="1">IFERROR(INDEX(BlanksRangeExp,SMALL((IF(LEN(BlanksRangeExp),ROW(INDIRECT("1:"&amp;ROWS(BlanksRangeExp))))),ROW(A188)),1),"")</f>
        <v/>
      </c>
    </row>
    <row r="192" spans="27:29">
      <c r="AA192" s="139" t="str">
        <f t="shared" si="13"/>
        <v>ליסינג</v>
      </c>
      <c r="AC192" s="171" t="str">
        <f t="array" aca="1" ref="AC192" ca="1">IFERROR(INDEX(BlanksRangeExp,SMALL((IF(LEN(BlanksRangeExp),ROW(INDIRECT("1:"&amp;ROWS(BlanksRangeExp))))),ROW(A189)),1),"")</f>
        <v/>
      </c>
    </row>
    <row r="193" spans="27:29">
      <c r="AA193" s="139" t="str">
        <f t="shared" ref="AA193:AA203" si="14">IF(J11="","",J11)</f>
        <v>תחבורה - כללי</v>
      </c>
      <c r="AC193" s="171" t="str">
        <f t="array" aca="1" ref="AC193" ca="1">IFERROR(INDEX(BlanksRangeExp,SMALL((IF(LEN(BlanksRangeExp),ROW(INDIRECT("1:"&amp;ROWS(BlanksRangeExp))))),ROW(A190)),1),"")</f>
        <v/>
      </c>
    </row>
    <row r="194" spans="27:29">
      <c r="AA194" s="139" t="str">
        <f t="shared" si="14"/>
        <v/>
      </c>
      <c r="AC194" s="171" t="str">
        <f t="array" aca="1" ref="AC194" ca="1">IFERROR(INDEX(BlanksRangeExp,SMALL((IF(LEN(BlanksRangeExp),ROW(INDIRECT("1:"&amp;ROWS(BlanksRangeExp))))),ROW(A191)),1),"")</f>
        <v/>
      </c>
    </row>
    <row r="195" spans="27:29">
      <c r="AA195" s="139" t="str">
        <f t="shared" si="14"/>
        <v/>
      </c>
      <c r="AC195" s="171" t="str">
        <f t="array" aca="1" ref="AC195" ca="1">IFERROR(INDEX(BlanksRangeExp,SMALL((IF(LEN(BlanksRangeExp),ROW(INDIRECT("1:"&amp;ROWS(BlanksRangeExp))))),ROW(A192)),1),"")</f>
        <v/>
      </c>
    </row>
    <row r="196" spans="27:29">
      <c r="AA196" s="139" t="str">
        <f t="shared" si="14"/>
        <v/>
      </c>
      <c r="AC196" s="171" t="str">
        <f t="array" aca="1" ref="AC196" ca="1">IFERROR(INDEX(BlanksRangeExp,SMALL((IF(LEN(BlanksRangeExp),ROW(INDIRECT("1:"&amp;ROWS(BlanksRangeExp))))),ROW(A193)),1),"")</f>
        <v/>
      </c>
    </row>
    <row r="197" spans="27:29">
      <c r="AA197" s="139" t="str">
        <f t="shared" si="14"/>
        <v/>
      </c>
      <c r="AC197" s="171" t="str">
        <f t="array" aca="1" ref="AC197" ca="1">IFERROR(INDEX(BlanksRangeExp,SMALL((IF(LEN(BlanksRangeExp),ROW(INDIRECT("1:"&amp;ROWS(BlanksRangeExp))))),ROW(A194)),1),"")</f>
        <v/>
      </c>
    </row>
    <row r="198" spans="27:29">
      <c r="AA198" s="139" t="str">
        <f t="shared" si="14"/>
        <v/>
      </c>
      <c r="AC198" s="171" t="str">
        <f t="array" aca="1" ref="AC198" ca="1">IFERROR(INDEX(BlanksRangeExp,SMALL((IF(LEN(BlanksRangeExp),ROW(INDIRECT("1:"&amp;ROWS(BlanksRangeExp))))),ROW(A195)),1),"")</f>
        <v/>
      </c>
    </row>
    <row r="199" spans="27:29">
      <c r="AA199" s="139" t="str">
        <f t="shared" si="14"/>
        <v/>
      </c>
      <c r="AC199" s="171" t="str">
        <f t="array" aca="1" ref="AC199" ca="1">IFERROR(INDEX(BlanksRangeExp,SMALL((IF(LEN(BlanksRangeExp),ROW(INDIRECT("1:"&amp;ROWS(BlanksRangeExp))))),ROW(A196)),1),"")</f>
        <v/>
      </c>
    </row>
    <row r="200" spans="27:29">
      <c r="AA200" s="139" t="str">
        <f t="shared" si="14"/>
        <v/>
      </c>
      <c r="AC200" s="171" t="str">
        <f t="array" aca="1" ref="AC200" ca="1">IFERROR(INDEX(BlanksRangeExp,SMALL((IF(LEN(BlanksRangeExp),ROW(INDIRECT("1:"&amp;ROWS(BlanksRangeExp))))),ROW(A197)),1),"")</f>
        <v/>
      </c>
    </row>
    <row r="201" spans="27:29">
      <c r="AA201" s="139" t="str">
        <f t="shared" si="14"/>
        <v/>
      </c>
      <c r="AC201" s="171" t="str">
        <f t="array" aca="1" ref="AC201" ca="1">IFERROR(INDEX(BlanksRangeExp,SMALL((IF(LEN(BlanksRangeExp),ROW(INDIRECT("1:"&amp;ROWS(BlanksRangeExp))))),ROW(A198)),1),"")</f>
        <v/>
      </c>
    </row>
    <row r="202" spans="27:29">
      <c r="AA202" s="139" t="str">
        <f t="shared" si="14"/>
        <v/>
      </c>
      <c r="AC202" s="171" t="str">
        <f t="array" aca="1" ref="AC202" ca="1">IFERROR(INDEX(BlanksRangeExp,SMALL((IF(LEN(BlanksRangeExp),ROW(INDIRECT("1:"&amp;ROWS(BlanksRangeExp))))),ROW(A199)),1),"")</f>
        <v/>
      </c>
    </row>
    <row r="203" spans="27:29">
      <c r="AA203" s="173" t="str">
        <f t="shared" si="14"/>
        <v/>
      </c>
      <c r="AC203" s="171" t="str">
        <f t="array" aca="1" ref="AC203" ca="1">IFERROR(INDEX(BlanksRangeExp,SMALL((IF(LEN(BlanksRangeExp),ROW(INDIRECT("1:"&amp;ROWS(BlanksRangeExp))))),ROW(A200)),1),"")</f>
        <v/>
      </c>
    </row>
    <row r="204" spans="27:29">
      <c r="AA204" s="139" t="str">
        <f>IF(K2="","",K2)</f>
        <v>ארועי שמחות במשפחה</v>
      </c>
      <c r="AC204" s="171" t="str">
        <f t="array" aca="1" ref="AC204" ca="1">IFERROR(INDEX(BlanksRangeExp,SMALL((IF(LEN(BlanksRangeExp),ROW(INDIRECT("1:"&amp;ROWS(BlanksRangeExp))))),ROW(A201)),1),"")</f>
        <v/>
      </c>
    </row>
    <row r="205" spans="27:29">
      <c r="AA205" s="139" t="str">
        <f t="shared" ref="AA205:AA223" si="15">IF(K3="","",K3)</f>
        <v>דמי כיס</v>
      </c>
      <c r="AC205" s="171" t="str">
        <f t="array" aca="1" ref="AC205" ca="1">IFERROR(INDEX(BlanksRangeExp,SMALL((IF(LEN(BlanksRangeExp),ROW(INDIRECT("1:"&amp;ROWS(BlanksRangeExp))))),ROW(A202)),1),"")</f>
        <v/>
      </c>
    </row>
    <row r="206" spans="27:29">
      <c r="AA206" s="139" t="str">
        <f t="shared" si="15"/>
        <v>עזרה למשפחה</v>
      </c>
      <c r="AC206" s="171" t="str">
        <f t="array" aca="1" ref="AC206" ca="1">IFERROR(INDEX(BlanksRangeExp,SMALL((IF(LEN(BlanksRangeExp),ROW(INDIRECT("1:"&amp;ROWS(BlanksRangeExp))))),ROW(A203)),1),"")</f>
        <v/>
      </c>
    </row>
    <row r="207" spans="27:29">
      <c r="AA207" s="139" t="str">
        <f t="shared" si="15"/>
        <v>תשלום מזונות</v>
      </c>
      <c r="AC207" s="171" t="str">
        <f t="array" aca="1" ref="AC207" ca="1">IFERROR(INDEX(BlanksRangeExp,SMALL((IF(LEN(BlanksRangeExp),ROW(INDIRECT("1:"&amp;ROWS(BlanksRangeExp))))),ROW(A204)),1),"")</f>
        <v/>
      </c>
    </row>
    <row r="208" spans="27:29">
      <c r="AA208" s="139" t="str">
        <f t="shared" si="15"/>
        <v>משפחה - כללי</v>
      </c>
      <c r="AC208" s="171" t="str">
        <f t="array" aca="1" ref="AC208" ca="1">IFERROR(INDEX(BlanksRangeExp,SMALL((IF(LEN(BlanksRangeExp),ROW(INDIRECT("1:"&amp;ROWS(BlanksRangeExp))))),ROW(A205)),1),"")</f>
        <v/>
      </c>
    </row>
    <row r="209" spans="27:29">
      <c r="AA209" s="139" t="str">
        <f t="shared" si="15"/>
        <v/>
      </c>
      <c r="AC209" s="171" t="str">
        <f t="array" aca="1" ref="AC209" ca="1">IFERROR(INDEX(BlanksRangeExp,SMALL((IF(LEN(BlanksRangeExp),ROW(INDIRECT("1:"&amp;ROWS(BlanksRangeExp))))),ROW(A206)),1),"")</f>
        <v/>
      </c>
    </row>
    <row r="210" spans="27:29">
      <c r="AA210" s="139" t="str">
        <f t="shared" si="15"/>
        <v/>
      </c>
      <c r="AC210" s="171" t="str">
        <f t="array" aca="1" ref="AC210" ca="1">IFERROR(INDEX(BlanksRangeExp,SMALL((IF(LEN(BlanksRangeExp),ROW(INDIRECT("1:"&amp;ROWS(BlanksRangeExp))))),ROW(A207)),1),"")</f>
        <v/>
      </c>
    </row>
    <row r="211" spans="27:29">
      <c r="AA211" s="139" t="str">
        <f t="shared" si="15"/>
        <v/>
      </c>
      <c r="AC211" s="171" t="str">
        <f t="array" aca="1" ref="AC211" ca="1">IFERROR(INDEX(BlanksRangeExp,SMALL((IF(LEN(BlanksRangeExp),ROW(INDIRECT("1:"&amp;ROWS(BlanksRangeExp))))),ROW(A208)),1),"")</f>
        <v/>
      </c>
    </row>
    <row r="212" spans="27:29">
      <c r="AA212" s="139" t="str">
        <f t="shared" si="15"/>
        <v/>
      </c>
      <c r="AC212" s="171" t="str">
        <f t="array" aca="1" ref="AC212" ca="1">IFERROR(INDEX(BlanksRangeExp,SMALL((IF(LEN(BlanksRangeExp),ROW(INDIRECT("1:"&amp;ROWS(BlanksRangeExp))))),ROW(A209)),1),"")</f>
        <v/>
      </c>
    </row>
    <row r="213" spans="27:29">
      <c r="AA213" s="139" t="str">
        <f t="shared" si="15"/>
        <v/>
      </c>
      <c r="AC213" s="171" t="str">
        <f t="array" aca="1" ref="AC213" ca="1">IFERROR(INDEX(BlanksRangeExp,SMALL((IF(LEN(BlanksRangeExp),ROW(INDIRECT("1:"&amp;ROWS(BlanksRangeExp))))),ROW(A210)),1),"")</f>
        <v/>
      </c>
    </row>
    <row r="214" spans="27:29">
      <c r="AA214" s="139" t="str">
        <f t="shared" si="15"/>
        <v/>
      </c>
      <c r="AC214" s="171" t="str">
        <f t="array" aca="1" ref="AC214" ca="1">IFERROR(INDEX(BlanksRangeExp,SMALL((IF(LEN(BlanksRangeExp),ROW(INDIRECT("1:"&amp;ROWS(BlanksRangeExp))))),ROW(A211)),1),"")</f>
        <v/>
      </c>
    </row>
    <row r="215" spans="27:29">
      <c r="AA215" s="139" t="str">
        <f t="shared" si="15"/>
        <v/>
      </c>
      <c r="AC215" s="171" t="str">
        <f t="array" aca="1" ref="AC215" ca="1">IFERROR(INDEX(BlanksRangeExp,SMALL((IF(LEN(BlanksRangeExp),ROW(INDIRECT("1:"&amp;ROWS(BlanksRangeExp))))),ROW(A212)),1),"")</f>
        <v/>
      </c>
    </row>
    <row r="216" spans="27:29">
      <c r="AA216" s="139" t="str">
        <f t="shared" si="15"/>
        <v/>
      </c>
      <c r="AC216" s="171" t="str">
        <f t="array" aca="1" ref="AC216" ca="1">IFERROR(INDEX(BlanksRangeExp,SMALL((IF(LEN(BlanksRangeExp),ROW(INDIRECT("1:"&amp;ROWS(BlanksRangeExp))))),ROW(A213)),1),"")</f>
        <v/>
      </c>
    </row>
    <row r="217" spans="27:29">
      <c r="AA217" s="139" t="str">
        <f t="shared" si="15"/>
        <v/>
      </c>
      <c r="AC217" s="171" t="str">
        <f t="array" aca="1" ref="AC217" ca="1">IFERROR(INDEX(BlanksRangeExp,SMALL((IF(LEN(BlanksRangeExp),ROW(INDIRECT("1:"&amp;ROWS(BlanksRangeExp))))),ROW(A214)),1),"")</f>
        <v/>
      </c>
    </row>
    <row r="218" spans="27:29">
      <c r="AA218" s="139" t="str">
        <f t="shared" si="15"/>
        <v/>
      </c>
      <c r="AC218" s="171" t="str">
        <f t="array" aca="1" ref="AC218" ca="1">IFERROR(INDEX(BlanksRangeExp,SMALL((IF(LEN(BlanksRangeExp),ROW(INDIRECT("1:"&amp;ROWS(BlanksRangeExp))))),ROW(A215)),1),"")</f>
        <v/>
      </c>
    </row>
    <row r="219" spans="27:29">
      <c r="AA219" s="139" t="str">
        <f t="shared" si="15"/>
        <v/>
      </c>
      <c r="AC219" s="171" t="str">
        <f t="array" aca="1" ref="AC219" ca="1">IFERROR(INDEX(BlanksRangeExp,SMALL((IF(LEN(BlanksRangeExp),ROW(INDIRECT("1:"&amp;ROWS(BlanksRangeExp))))),ROW(A216)),1),"")</f>
        <v/>
      </c>
    </row>
    <row r="220" spans="27:29">
      <c r="AA220" s="139" t="str">
        <f t="shared" si="15"/>
        <v/>
      </c>
      <c r="AC220" s="171" t="str">
        <f t="array" aca="1" ref="AC220" ca="1">IFERROR(INDEX(BlanksRangeExp,SMALL((IF(LEN(BlanksRangeExp),ROW(INDIRECT("1:"&amp;ROWS(BlanksRangeExp))))),ROW(A217)),1),"")</f>
        <v/>
      </c>
    </row>
    <row r="221" spans="27:29">
      <c r="AA221" s="139" t="str">
        <f t="shared" si="15"/>
        <v/>
      </c>
      <c r="AC221" s="171" t="str">
        <f t="array" aca="1" ref="AC221" ca="1">IFERROR(INDEX(BlanksRangeExp,SMALL((IF(LEN(BlanksRangeExp),ROW(INDIRECT("1:"&amp;ROWS(BlanksRangeExp))))),ROW(A218)),1),"")</f>
        <v/>
      </c>
    </row>
    <row r="222" spans="27:29">
      <c r="AA222" s="139" t="str">
        <f t="shared" si="15"/>
        <v/>
      </c>
      <c r="AC222" s="171" t="str">
        <f t="array" aca="1" ref="AC222" ca="1">IFERROR(INDEX(BlanksRangeExp,SMALL((IF(LEN(BlanksRangeExp),ROW(INDIRECT("1:"&amp;ROWS(BlanksRangeExp))))),ROW(A219)),1),"")</f>
        <v/>
      </c>
    </row>
    <row r="223" spans="27:29">
      <c r="AA223" s="173" t="str">
        <f t="shared" si="15"/>
        <v/>
      </c>
      <c r="AC223" s="171" t="str">
        <f t="array" aca="1" ref="AC223" ca="1">IFERROR(INDEX(BlanksRangeExp,SMALL((IF(LEN(BlanksRangeExp),ROW(INDIRECT("1:"&amp;ROWS(BlanksRangeExp))))),ROW(A220)),1),"")</f>
        <v/>
      </c>
    </row>
    <row r="224" spans="27:29">
      <c r="AA224" s="139" t="str">
        <f>IF(L2="","",L2)</f>
        <v>טלפון נייד ונייח</v>
      </c>
      <c r="AC224" s="171" t="str">
        <f t="array" aca="1" ref="AC224" ca="1">IFERROR(INDEX(BlanksRangeExp,SMALL((IF(LEN(BlanksRangeExp),ROW(INDIRECT("1:"&amp;ROWS(BlanksRangeExp))))),ROW(A221)),1),"")</f>
        <v/>
      </c>
    </row>
    <row r="225" spans="27:29">
      <c r="AA225" s="139" t="str">
        <f t="shared" ref="AA225:AA243" si="16">IF(L3="","",L3)</f>
        <v>טלויזיה ואינטרנט (ספק ותשתית)</v>
      </c>
      <c r="AC225" s="171" t="str">
        <f t="array" aca="1" ref="AC225" ca="1">IFERROR(INDEX(BlanksRangeExp,SMALL((IF(LEN(BlanksRangeExp),ROW(INDIRECT("1:"&amp;ROWS(BlanksRangeExp))))),ROW(A222)),1),"")</f>
        <v/>
      </c>
    </row>
    <row r="226" spans="27:29">
      <c r="AA226" s="139" t="str">
        <f t="shared" si="16"/>
        <v>שירותי תוכן</v>
      </c>
      <c r="AC226" s="171" t="str">
        <f t="array" aca="1" ref="AC226" ca="1">IFERROR(INDEX(BlanksRangeExp,SMALL((IF(LEN(BlanksRangeExp),ROW(INDIRECT("1:"&amp;ROWS(BlanksRangeExp))))),ROW(A223)),1),"")</f>
        <v/>
      </c>
    </row>
    <row r="227" spans="27:29">
      <c r="AA227" s="139" t="str">
        <f t="shared" si="16"/>
        <v>תקשורת - כללי</v>
      </c>
      <c r="AC227" s="171" t="str">
        <f t="array" aca="1" ref="AC227" ca="1">IFERROR(INDEX(BlanksRangeExp,SMALL((IF(LEN(BlanksRangeExp),ROW(INDIRECT("1:"&amp;ROWS(BlanksRangeExp))))),ROW(A224)),1),"")</f>
        <v/>
      </c>
    </row>
    <row r="228" spans="27:29">
      <c r="AA228" s="139" t="str">
        <f t="shared" si="16"/>
        <v/>
      </c>
      <c r="AC228" s="171" t="str">
        <f t="array" aca="1" ref="AC228" ca="1">IFERROR(INDEX(BlanksRangeExp,SMALL((IF(LEN(BlanksRangeExp),ROW(INDIRECT("1:"&amp;ROWS(BlanksRangeExp))))),ROW(A225)),1),"")</f>
        <v/>
      </c>
    </row>
    <row r="229" spans="27:29">
      <c r="AA229" s="139" t="str">
        <f t="shared" si="16"/>
        <v/>
      </c>
      <c r="AC229" s="171" t="str">
        <f t="array" aca="1" ref="AC229" ca="1">IFERROR(INDEX(BlanksRangeExp,SMALL((IF(LEN(BlanksRangeExp),ROW(INDIRECT("1:"&amp;ROWS(BlanksRangeExp))))),ROW(A226)),1),"")</f>
        <v/>
      </c>
    </row>
    <row r="230" spans="27:29">
      <c r="AA230" s="139" t="str">
        <f t="shared" si="16"/>
        <v/>
      </c>
      <c r="AC230" s="171" t="str">
        <f t="array" aca="1" ref="AC230" ca="1">IFERROR(INDEX(BlanksRangeExp,SMALL((IF(LEN(BlanksRangeExp),ROW(INDIRECT("1:"&amp;ROWS(BlanksRangeExp))))),ROW(A227)),1),"")</f>
        <v/>
      </c>
    </row>
    <row r="231" spans="27:29">
      <c r="AA231" s="139" t="str">
        <f t="shared" si="16"/>
        <v/>
      </c>
      <c r="AC231" s="171" t="str">
        <f t="array" aca="1" ref="AC231" ca="1">IFERROR(INDEX(BlanksRangeExp,SMALL((IF(LEN(BlanksRangeExp),ROW(INDIRECT("1:"&amp;ROWS(BlanksRangeExp))))),ROW(A228)),1),"")</f>
        <v/>
      </c>
    </row>
    <row r="232" spans="27:29">
      <c r="AA232" s="139" t="str">
        <f t="shared" si="16"/>
        <v/>
      </c>
      <c r="AC232" s="171" t="str">
        <f t="array" aca="1" ref="AC232" ca="1">IFERROR(INDEX(BlanksRangeExp,SMALL((IF(LEN(BlanksRangeExp),ROW(INDIRECT("1:"&amp;ROWS(BlanksRangeExp))))),ROW(A229)),1),"")</f>
        <v/>
      </c>
    </row>
    <row r="233" spans="27:29">
      <c r="AA233" s="139" t="str">
        <f t="shared" si="16"/>
        <v/>
      </c>
      <c r="AC233" s="171" t="str">
        <f t="array" aca="1" ref="AC233" ca="1">IFERROR(INDEX(BlanksRangeExp,SMALL((IF(LEN(BlanksRangeExp),ROW(INDIRECT("1:"&amp;ROWS(BlanksRangeExp))))),ROW(A230)),1),"")</f>
        <v/>
      </c>
    </row>
    <row r="234" spans="27:29">
      <c r="AA234" s="139" t="str">
        <f t="shared" si="16"/>
        <v/>
      </c>
      <c r="AC234" s="171" t="str">
        <f t="array" aca="1" ref="AC234" ca="1">IFERROR(INDEX(BlanksRangeExp,SMALL((IF(LEN(BlanksRangeExp),ROW(INDIRECT("1:"&amp;ROWS(BlanksRangeExp))))),ROW(A231)),1),"")</f>
        <v/>
      </c>
    </row>
    <row r="235" spans="27:29">
      <c r="AA235" s="139" t="str">
        <f t="shared" si="16"/>
        <v/>
      </c>
      <c r="AC235" s="171" t="str">
        <f t="array" aca="1" ref="AC235" ca="1">IFERROR(INDEX(BlanksRangeExp,SMALL((IF(LEN(BlanksRangeExp),ROW(INDIRECT("1:"&amp;ROWS(BlanksRangeExp))))),ROW(A232)),1),"")</f>
        <v/>
      </c>
    </row>
    <row r="236" spans="27:29">
      <c r="AA236" s="139" t="str">
        <f t="shared" si="16"/>
        <v/>
      </c>
      <c r="AC236" s="171" t="str">
        <f t="array" aca="1" ref="AC236" ca="1">IFERROR(INDEX(BlanksRangeExp,SMALL((IF(LEN(BlanksRangeExp),ROW(INDIRECT("1:"&amp;ROWS(BlanksRangeExp))))),ROW(A233)),1),"")</f>
        <v/>
      </c>
    </row>
    <row r="237" spans="27:29">
      <c r="AA237" s="139" t="str">
        <f t="shared" si="16"/>
        <v/>
      </c>
      <c r="AC237" s="171" t="str">
        <f t="array" aca="1" ref="AC237" ca="1">IFERROR(INDEX(BlanksRangeExp,SMALL((IF(LEN(BlanksRangeExp),ROW(INDIRECT("1:"&amp;ROWS(BlanksRangeExp))))),ROW(A234)),1),"")</f>
        <v/>
      </c>
    </row>
    <row r="238" spans="27:29">
      <c r="AA238" s="139" t="str">
        <f t="shared" si="16"/>
        <v/>
      </c>
      <c r="AC238" s="171" t="str">
        <f t="array" aca="1" ref="AC238" ca="1">IFERROR(INDEX(BlanksRangeExp,SMALL((IF(LEN(BlanksRangeExp),ROW(INDIRECT("1:"&amp;ROWS(BlanksRangeExp))))),ROW(A235)),1),"")</f>
        <v/>
      </c>
    </row>
    <row r="239" spans="27:29">
      <c r="AA239" s="139" t="str">
        <f t="shared" si="16"/>
        <v/>
      </c>
      <c r="AC239" s="171" t="str">
        <f t="array" aca="1" ref="AC239" ca="1">IFERROR(INDEX(BlanksRangeExp,SMALL((IF(LEN(BlanksRangeExp),ROW(INDIRECT("1:"&amp;ROWS(BlanksRangeExp))))),ROW(A236)),1),"")</f>
        <v/>
      </c>
    </row>
    <row r="240" spans="27:29">
      <c r="AA240" s="139" t="str">
        <f t="shared" si="16"/>
        <v/>
      </c>
      <c r="AC240" s="171" t="str">
        <f t="array" aca="1" ref="AC240" ca="1">IFERROR(INDEX(BlanksRangeExp,SMALL((IF(LEN(BlanksRangeExp),ROW(INDIRECT("1:"&amp;ROWS(BlanksRangeExp))))),ROW(A237)),1),"")</f>
        <v/>
      </c>
    </row>
    <row r="241" spans="27:29">
      <c r="AA241" s="139" t="str">
        <f t="shared" si="16"/>
        <v/>
      </c>
      <c r="AC241" s="171" t="str">
        <f t="array" aca="1" ref="AC241" ca="1">IFERROR(INDEX(BlanksRangeExp,SMALL((IF(LEN(BlanksRangeExp),ROW(INDIRECT("1:"&amp;ROWS(BlanksRangeExp))))),ROW(A238)),1),"")</f>
        <v/>
      </c>
    </row>
    <row r="242" spans="27:29">
      <c r="AA242" s="139" t="str">
        <f t="shared" si="16"/>
        <v/>
      </c>
      <c r="AC242" s="171" t="str">
        <f t="array" aca="1" ref="AC242" ca="1">IFERROR(INDEX(BlanksRangeExp,SMALL((IF(LEN(BlanksRangeExp),ROW(INDIRECT("1:"&amp;ROWS(BlanksRangeExp))))),ROW(A239)),1),"")</f>
        <v/>
      </c>
    </row>
    <row r="243" spans="27:29">
      <c r="AA243" s="173" t="str">
        <f t="shared" si="16"/>
        <v/>
      </c>
      <c r="AC243" s="171" t="str">
        <f t="array" aca="1" ref="AC243" ca="1">IFERROR(INDEX(BlanksRangeExp,SMALL((IF(LEN(BlanksRangeExp),ROW(INDIRECT("1:"&amp;ROWS(BlanksRangeExp))))),ROW(A240)),1),"")</f>
        <v/>
      </c>
    </row>
    <row r="244" spans="27:29">
      <c r="AA244" s="139" t="str">
        <f>IF(M2="","",M2)</f>
        <v>משכנתה</v>
      </c>
      <c r="AC244" s="171" t="str">
        <f t="array" aca="1" ref="AC244" ca="1">IFERROR(INDEX(BlanksRangeExp,SMALL((IF(LEN(BlanksRangeExp),ROW(INDIRECT("1:"&amp;ROWS(BlanksRangeExp))))),ROW(A241)),1),"")</f>
        <v/>
      </c>
    </row>
    <row r="245" spans="27:29">
      <c r="AA245" s="139" t="str">
        <f t="shared" ref="AA245:AA263" si="17">IF(M3="","",M3)</f>
        <v>שכר דירה</v>
      </c>
      <c r="AC245" s="171" t="str">
        <f t="array" aca="1" ref="AC245" ca="1">IFERROR(INDEX(BlanksRangeExp,SMALL((IF(LEN(BlanksRangeExp),ROW(INDIRECT("1:"&amp;ROWS(BlanksRangeExp))))),ROW(A242)),1),"")</f>
        <v/>
      </c>
    </row>
    <row r="246" spans="27:29">
      <c r="AA246" s="139" t="str">
        <f t="shared" si="17"/>
        <v>מיסי ישוב / ועד בית</v>
      </c>
      <c r="AC246" s="171" t="str">
        <f t="array" aca="1" ref="AC246" ca="1">IFERROR(INDEX(BlanksRangeExp,SMALL((IF(LEN(BlanksRangeExp),ROW(INDIRECT("1:"&amp;ROWS(BlanksRangeExp))))),ROW(A243)),1),"")</f>
        <v/>
      </c>
    </row>
    <row r="247" spans="27:29">
      <c r="AA247" s="139" t="str">
        <f t="shared" si="17"/>
        <v>ארנונה</v>
      </c>
      <c r="AC247" s="171" t="str">
        <f t="array" aca="1" ref="AC247" ca="1">IFERROR(INDEX(BlanksRangeExp,SMALL((IF(LEN(BlanksRangeExp),ROW(INDIRECT("1:"&amp;ROWS(BlanksRangeExp))))),ROW(A244)),1),"")</f>
        <v/>
      </c>
    </row>
    <row r="248" spans="27:29">
      <c r="AA248" s="139" t="str">
        <f t="shared" si="17"/>
        <v>ביטוח נכס ותכולה</v>
      </c>
      <c r="AC248" s="171" t="str">
        <f t="array" aca="1" ref="AC248" ca="1">IFERROR(INDEX(BlanksRangeExp,SMALL((IF(LEN(BlanksRangeExp),ROW(INDIRECT("1:"&amp;ROWS(BlanksRangeExp))))),ROW(A245)),1),"")</f>
        <v/>
      </c>
    </row>
    <row r="249" spans="27:29">
      <c r="AA249" s="139" t="str">
        <f t="shared" si="17"/>
        <v>דיור - כללי</v>
      </c>
      <c r="AC249" s="171" t="str">
        <f t="array" aca="1" ref="AC249" ca="1">IFERROR(INDEX(BlanksRangeExp,SMALL((IF(LEN(BlanksRangeExp),ROW(INDIRECT("1:"&amp;ROWS(BlanksRangeExp))))),ROW(A246)),1),"")</f>
        <v/>
      </c>
    </row>
    <row r="250" spans="27:29">
      <c r="AA250" s="139" t="str">
        <f t="shared" si="17"/>
        <v/>
      </c>
      <c r="AC250" s="171" t="str">
        <f t="array" aca="1" ref="AC250" ca="1">IFERROR(INDEX(BlanksRangeExp,SMALL((IF(LEN(BlanksRangeExp),ROW(INDIRECT("1:"&amp;ROWS(BlanksRangeExp))))),ROW(A247)),1),"")</f>
        <v/>
      </c>
    </row>
    <row r="251" spans="27:29">
      <c r="AA251" s="139" t="str">
        <f t="shared" si="17"/>
        <v/>
      </c>
      <c r="AC251" s="171" t="str">
        <f t="array" aca="1" ref="AC251" ca="1">IFERROR(INDEX(BlanksRangeExp,SMALL((IF(LEN(BlanksRangeExp),ROW(INDIRECT("1:"&amp;ROWS(BlanksRangeExp))))),ROW(A248)),1),"")</f>
        <v/>
      </c>
    </row>
    <row r="252" spans="27:29">
      <c r="AA252" s="139" t="str">
        <f t="shared" si="17"/>
        <v/>
      </c>
      <c r="AC252" s="171" t="str">
        <f t="array" aca="1" ref="AC252" ca="1">IFERROR(INDEX(BlanksRangeExp,SMALL((IF(LEN(BlanksRangeExp),ROW(INDIRECT("1:"&amp;ROWS(BlanksRangeExp))))),ROW(A249)),1),"")</f>
        <v/>
      </c>
    </row>
    <row r="253" spans="27:29">
      <c r="AA253" s="139" t="str">
        <f t="shared" si="17"/>
        <v/>
      </c>
      <c r="AC253" s="171" t="str">
        <f t="array" aca="1" ref="AC253" ca="1">IFERROR(INDEX(BlanksRangeExp,SMALL((IF(LEN(BlanksRangeExp),ROW(INDIRECT("1:"&amp;ROWS(BlanksRangeExp))))),ROW(A250)),1),"")</f>
        <v/>
      </c>
    </row>
    <row r="254" spans="27:29">
      <c r="AA254" s="139" t="str">
        <f t="shared" si="17"/>
        <v/>
      </c>
      <c r="AC254" s="171" t="str">
        <f t="array" aca="1" ref="AC254" ca="1">IFERROR(INDEX(BlanksRangeExp,SMALL((IF(LEN(BlanksRangeExp),ROW(INDIRECT("1:"&amp;ROWS(BlanksRangeExp))))),ROW(A251)),1),"")</f>
        <v/>
      </c>
    </row>
    <row r="255" spans="27:29">
      <c r="AA255" s="139" t="str">
        <f t="shared" si="17"/>
        <v/>
      </c>
      <c r="AC255" s="171" t="str">
        <f t="array" aca="1" ref="AC255" ca="1">IFERROR(INDEX(BlanksRangeExp,SMALL((IF(LEN(BlanksRangeExp),ROW(INDIRECT("1:"&amp;ROWS(BlanksRangeExp))))),ROW(A252)),1),"")</f>
        <v/>
      </c>
    </row>
    <row r="256" spans="27:29">
      <c r="AA256" s="139" t="str">
        <f t="shared" si="17"/>
        <v/>
      </c>
      <c r="AC256" s="171" t="str">
        <f t="array" aca="1" ref="AC256" ca="1">IFERROR(INDEX(BlanksRangeExp,SMALL((IF(LEN(BlanksRangeExp),ROW(INDIRECT("1:"&amp;ROWS(BlanksRangeExp))))),ROW(A253)),1),"")</f>
        <v/>
      </c>
    </row>
    <row r="257" spans="27:29">
      <c r="AA257" s="139" t="str">
        <f t="shared" si="17"/>
        <v/>
      </c>
      <c r="AC257" s="171" t="str">
        <f t="array" aca="1" ref="AC257" ca="1">IFERROR(INDEX(BlanksRangeExp,SMALL((IF(LEN(BlanksRangeExp),ROW(INDIRECT("1:"&amp;ROWS(BlanksRangeExp))))),ROW(A254)),1),"")</f>
        <v/>
      </c>
    </row>
    <row r="258" spans="27:29">
      <c r="AA258" s="139" t="str">
        <f t="shared" si="17"/>
        <v/>
      </c>
      <c r="AC258" s="171" t="str">
        <f t="array" aca="1" ref="AC258" ca="1">IFERROR(INDEX(BlanksRangeExp,SMALL((IF(LEN(BlanksRangeExp),ROW(INDIRECT("1:"&amp;ROWS(BlanksRangeExp))))),ROW(A255)),1),"")</f>
        <v/>
      </c>
    </row>
    <row r="259" spans="27:29">
      <c r="AA259" s="139" t="str">
        <f t="shared" si="17"/>
        <v/>
      </c>
      <c r="AC259" s="171" t="str">
        <f t="array" aca="1" ref="AC259" ca="1">IFERROR(INDEX(BlanksRangeExp,SMALL((IF(LEN(BlanksRangeExp),ROW(INDIRECT("1:"&amp;ROWS(BlanksRangeExp))))),ROW(A256)),1),"")</f>
        <v/>
      </c>
    </row>
    <row r="260" spans="27:29">
      <c r="AA260" s="139" t="str">
        <f t="shared" si="17"/>
        <v/>
      </c>
      <c r="AC260" s="171" t="str">
        <f t="array" aca="1" ref="AC260" ca="1">IFERROR(INDEX(BlanksRangeExp,SMALL((IF(LEN(BlanksRangeExp),ROW(INDIRECT("1:"&amp;ROWS(BlanksRangeExp))))),ROW(A257)),1),"")</f>
        <v/>
      </c>
    </row>
    <row r="261" spans="27:29">
      <c r="AA261" s="139" t="str">
        <f t="shared" si="17"/>
        <v/>
      </c>
      <c r="AC261" s="171" t="str">
        <f t="array" aca="1" ref="AC261" ca="1">IFERROR(INDEX(BlanksRangeExp,SMALL((IF(LEN(BlanksRangeExp),ROW(INDIRECT("1:"&amp;ROWS(BlanksRangeExp))))),ROW(A258)),1),"")</f>
        <v/>
      </c>
    </row>
    <row r="262" spans="27:29">
      <c r="AA262" s="139" t="str">
        <f t="shared" si="17"/>
        <v/>
      </c>
      <c r="AC262" s="171" t="str">
        <f t="array" aca="1" ref="AC262" ca="1">IFERROR(INDEX(BlanksRangeExp,SMALL((IF(LEN(BlanksRangeExp),ROW(INDIRECT("1:"&amp;ROWS(BlanksRangeExp))))),ROW(A259)),1),"")</f>
        <v/>
      </c>
    </row>
    <row r="263" spans="27:29">
      <c r="AA263" s="173" t="str">
        <f t="shared" si="17"/>
        <v/>
      </c>
      <c r="AC263" s="171" t="str">
        <f t="array" aca="1" ref="AC263" ca="1">IFERROR(INDEX(BlanksRangeExp,SMALL((IF(LEN(BlanksRangeExp),ROW(INDIRECT("1:"&amp;ROWS(BlanksRangeExp))))),ROW(A260)),1),"")</f>
        <v/>
      </c>
    </row>
    <row r="264" spans="27:29">
      <c r="AA264" s="139" t="str">
        <f>IF(N2="","",N2)</f>
        <v>החזר חובות חודשי (למעט משכנתה) - כללי</v>
      </c>
      <c r="AC264" s="171" t="str">
        <f t="array" aca="1" ref="AC264" ca="1">IFERROR(INDEX(BlanksRangeExp,SMALL((IF(LEN(BlanksRangeExp),ROW(INDIRECT("1:"&amp;ROWS(BlanksRangeExp))))),ROW(A261)),1),"")</f>
        <v/>
      </c>
    </row>
    <row r="265" spans="27:29">
      <c r="AA265" s="139" t="str">
        <f t="shared" ref="AA265:AA283" si="18">IF(N3="","",N3)</f>
        <v>ריביות משיכת יתר</v>
      </c>
      <c r="AC265" s="171" t="str">
        <f t="array" aca="1" ref="AC265" ca="1">IFERROR(INDEX(BlanksRangeExp,SMALL((IF(LEN(BlanksRangeExp),ROW(INDIRECT("1:"&amp;ROWS(BlanksRangeExp))))),ROW(A262)),1),"")</f>
        <v/>
      </c>
    </row>
    <row r="266" spans="27:29">
      <c r="AA266" s="139" t="str">
        <f t="shared" si="18"/>
        <v/>
      </c>
      <c r="AC266" s="171" t="str">
        <f t="array" aca="1" ref="AC266" ca="1">IFERROR(INDEX(BlanksRangeExp,SMALL((IF(LEN(BlanksRangeExp),ROW(INDIRECT("1:"&amp;ROWS(BlanksRangeExp))))),ROW(A263)),1),"")</f>
        <v/>
      </c>
    </row>
    <row r="267" spans="27:29">
      <c r="AA267" s="139" t="str">
        <f t="shared" si="18"/>
        <v/>
      </c>
      <c r="AC267" s="171" t="str">
        <f t="array" aca="1" ref="AC267" ca="1">IFERROR(INDEX(BlanksRangeExp,SMALL((IF(LEN(BlanksRangeExp),ROW(INDIRECT("1:"&amp;ROWS(BlanksRangeExp))))),ROW(A264)),1),"")</f>
        <v/>
      </c>
    </row>
    <row r="268" spans="27:29">
      <c r="AA268" s="139" t="str">
        <f t="shared" si="18"/>
        <v/>
      </c>
      <c r="AC268" s="171" t="str">
        <f t="array" aca="1" ref="AC268" ca="1">IFERROR(INDEX(BlanksRangeExp,SMALL((IF(LEN(BlanksRangeExp),ROW(INDIRECT("1:"&amp;ROWS(BlanksRangeExp))))),ROW(A265)),1),"")</f>
        <v/>
      </c>
    </row>
    <row r="269" spans="27:29">
      <c r="AA269" s="139" t="str">
        <f t="shared" si="18"/>
        <v/>
      </c>
      <c r="AC269" s="171" t="str">
        <f t="array" aca="1" ref="AC269" ca="1">IFERROR(INDEX(BlanksRangeExp,SMALL((IF(LEN(BlanksRangeExp),ROW(INDIRECT("1:"&amp;ROWS(BlanksRangeExp))))),ROW(A266)),1),"")</f>
        <v/>
      </c>
    </row>
    <row r="270" spans="27:29">
      <c r="AA270" s="139" t="str">
        <f t="shared" si="18"/>
        <v/>
      </c>
      <c r="AC270" s="171" t="str">
        <f t="array" aca="1" ref="AC270" ca="1">IFERROR(INDEX(BlanksRangeExp,SMALL((IF(LEN(BlanksRangeExp),ROW(INDIRECT("1:"&amp;ROWS(BlanksRangeExp))))),ROW(A267)),1),"")</f>
        <v/>
      </c>
    </row>
    <row r="271" spans="27:29">
      <c r="AA271" s="139" t="str">
        <f t="shared" si="18"/>
        <v/>
      </c>
      <c r="AC271" s="171" t="str">
        <f t="array" aca="1" ref="AC271" ca="1">IFERROR(INDEX(BlanksRangeExp,SMALL((IF(LEN(BlanksRangeExp),ROW(INDIRECT("1:"&amp;ROWS(BlanksRangeExp))))),ROW(A268)),1),"")</f>
        <v/>
      </c>
    </row>
    <row r="272" spans="27:29">
      <c r="AA272" s="139" t="str">
        <f t="shared" si="18"/>
        <v/>
      </c>
      <c r="AC272" s="171" t="str">
        <f t="array" aca="1" ref="AC272" ca="1">IFERROR(INDEX(BlanksRangeExp,SMALL((IF(LEN(BlanksRangeExp),ROW(INDIRECT("1:"&amp;ROWS(BlanksRangeExp))))),ROW(A269)),1),"")</f>
        <v/>
      </c>
    </row>
    <row r="273" spans="27:29">
      <c r="AA273" s="139" t="str">
        <f t="shared" si="18"/>
        <v/>
      </c>
      <c r="AC273" s="171" t="str">
        <f t="array" aca="1" ref="AC273" ca="1">IFERROR(INDEX(BlanksRangeExp,SMALL((IF(LEN(BlanksRangeExp),ROW(INDIRECT("1:"&amp;ROWS(BlanksRangeExp))))),ROW(A270)),1),"")</f>
        <v/>
      </c>
    </row>
    <row r="274" spans="27:29">
      <c r="AA274" s="139" t="str">
        <f t="shared" si="18"/>
        <v/>
      </c>
      <c r="AC274" s="171" t="str">
        <f t="array" aca="1" ref="AC274" ca="1">IFERROR(INDEX(BlanksRangeExp,SMALL((IF(LEN(BlanksRangeExp),ROW(INDIRECT("1:"&amp;ROWS(BlanksRangeExp))))),ROW(A271)),1),"")</f>
        <v/>
      </c>
    </row>
    <row r="275" spans="27:29">
      <c r="AA275" s="139" t="str">
        <f t="shared" si="18"/>
        <v/>
      </c>
      <c r="AC275" s="171" t="str">
        <f t="array" aca="1" ref="AC275" ca="1">IFERROR(INDEX(BlanksRangeExp,SMALL((IF(LEN(BlanksRangeExp),ROW(INDIRECT("1:"&amp;ROWS(BlanksRangeExp))))),ROW(A272)),1),"")</f>
        <v/>
      </c>
    </row>
    <row r="276" spans="27:29">
      <c r="AA276" s="139" t="str">
        <f t="shared" si="18"/>
        <v/>
      </c>
      <c r="AC276" s="171" t="str">
        <f t="array" aca="1" ref="AC276" ca="1">IFERROR(INDEX(BlanksRangeExp,SMALL((IF(LEN(BlanksRangeExp),ROW(INDIRECT("1:"&amp;ROWS(BlanksRangeExp))))),ROW(A273)),1),"")</f>
        <v/>
      </c>
    </row>
    <row r="277" spans="27:29">
      <c r="AA277" s="139" t="str">
        <f t="shared" si="18"/>
        <v/>
      </c>
      <c r="AC277" s="171" t="str">
        <f t="array" aca="1" ref="AC277" ca="1">IFERROR(INDEX(BlanksRangeExp,SMALL((IF(LEN(BlanksRangeExp),ROW(INDIRECT("1:"&amp;ROWS(BlanksRangeExp))))),ROW(A274)),1),"")</f>
        <v/>
      </c>
    </row>
    <row r="278" spans="27:29">
      <c r="AA278" s="139" t="str">
        <f t="shared" si="18"/>
        <v/>
      </c>
      <c r="AC278" s="171" t="str">
        <f t="array" aca="1" ref="AC278" ca="1">IFERROR(INDEX(BlanksRangeExp,SMALL((IF(LEN(BlanksRangeExp),ROW(INDIRECT("1:"&amp;ROWS(BlanksRangeExp))))),ROW(A275)),1),"")</f>
        <v/>
      </c>
    </row>
    <row r="279" spans="27:29">
      <c r="AA279" s="139" t="str">
        <f t="shared" si="18"/>
        <v/>
      </c>
      <c r="AC279" s="171" t="str">
        <f t="array" aca="1" ref="AC279" ca="1">IFERROR(INDEX(BlanksRangeExp,SMALL((IF(LEN(BlanksRangeExp),ROW(INDIRECT("1:"&amp;ROWS(BlanksRangeExp))))),ROW(A276)),1),"")</f>
        <v/>
      </c>
    </row>
    <row r="280" spans="27:29">
      <c r="AA280" s="139" t="str">
        <f t="shared" si="18"/>
        <v/>
      </c>
      <c r="AC280" s="171" t="str">
        <f t="array" aca="1" ref="AC280" ca="1">IFERROR(INDEX(BlanksRangeExp,SMALL((IF(LEN(BlanksRangeExp),ROW(INDIRECT("1:"&amp;ROWS(BlanksRangeExp))))),ROW(A277)),1),"")</f>
        <v/>
      </c>
    </row>
    <row r="281" spans="27:29">
      <c r="AA281" s="139" t="str">
        <f t="shared" si="18"/>
        <v/>
      </c>
      <c r="AC281" s="171" t="str">
        <f t="array" aca="1" ref="AC281" ca="1">IFERROR(INDEX(BlanksRangeExp,SMALL((IF(LEN(BlanksRangeExp),ROW(INDIRECT("1:"&amp;ROWS(BlanksRangeExp))))),ROW(A278)),1),"")</f>
        <v/>
      </c>
    </row>
    <row r="282" spans="27:29">
      <c r="AA282" s="139" t="str">
        <f t="shared" si="18"/>
        <v/>
      </c>
      <c r="AC282" s="171" t="str">
        <f t="array" aca="1" ref="AC282" ca="1">IFERROR(INDEX(BlanksRangeExp,SMALL((IF(LEN(BlanksRangeExp),ROW(INDIRECT("1:"&amp;ROWS(BlanksRangeExp))))),ROW(A279)),1),"")</f>
        <v/>
      </c>
    </row>
    <row r="283" spans="27:29">
      <c r="AA283" s="173" t="str">
        <f t="shared" si="18"/>
        <v/>
      </c>
      <c r="AC283" s="171" t="str">
        <f t="array" aca="1" ref="AC283" ca="1">IFERROR(INDEX(BlanksRangeExp,SMALL((IF(LEN(BlanksRangeExp),ROW(INDIRECT("1:"&amp;ROWS(BlanksRangeExp))))),ROW(A280)),1),"")</f>
        <v/>
      </c>
    </row>
    <row r="284" spans="27:29">
      <c r="AA284" s="139" t="str">
        <f>IF(O2="","",O2)</f>
        <v>הפקדות לחסכונות - כללי</v>
      </c>
      <c r="AC284" s="171" t="str">
        <f t="array" aca="1" ref="AC284" ca="1">IFERROR(INDEX(BlanksRangeExp,SMALL((IF(LEN(BlanksRangeExp),ROW(INDIRECT("1:"&amp;ROWS(BlanksRangeExp))))),ROW(A281)),1),"")</f>
        <v/>
      </c>
    </row>
    <row r="285" spans="27:29">
      <c r="AA285" s="139" t="str">
        <f t="shared" ref="AA285:AA303" si="19">IF(O3="","",O3)</f>
        <v/>
      </c>
      <c r="AC285" s="171" t="str">
        <f t="array" aca="1" ref="AC285" ca="1">IFERROR(INDEX(BlanksRangeExp,SMALL((IF(LEN(BlanksRangeExp),ROW(INDIRECT("1:"&amp;ROWS(BlanksRangeExp))))),ROW(A282)),1),"")</f>
        <v/>
      </c>
    </row>
    <row r="286" spans="27:29">
      <c r="AA286" s="139" t="str">
        <f t="shared" si="19"/>
        <v/>
      </c>
      <c r="AC286" s="171" t="str">
        <f t="array" aca="1" ref="AC286" ca="1">IFERROR(INDEX(BlanksRangeExp,SMALL((IF(LEN(BlanksRangeExp),ROW(INDIRECT("1:"&amp;ROWS(BlanksRangeExp))))),ROW(A283)),1),"")</f>
        <v/>
      </c>
    </row>
    <row r="287" spans="27:29">
      <c r="AA287" s="139" t="str">
        <f t="shared" si="19"/>
        <v/>
      </c>
      <c r="AC287" s="171" t="str">
        <f t="array" aca="1" ref="AC287" ca="1">IFERROR(INDEX(BlanksRangeExp,SMALL((IF(LEN(BlanksRangeExp),ROW(INDIRECT("1:"&amp;ROWS(BlanksRangeExp))))),ROW(A284)),1),"")</f>
        <v/>
      </c>
    </row>
    <row r="288" spans="27:29">
      <c r="AA288" s="139" t="str">
        <f t="shared" si="19"/>
        <v/>
      </c>
      <c r="AC288" s="171" t="str">
        <f t="array" aca="1" ref="AC288" ca="1">IFERROR(INDEX(BlanksRangeExp,SMALL((IF(LEN(BlanksRangeExp),ROW(INDIRECT("1:"&amp;ROWS(BlanksRangeExp))))),ROW(A285)),1),"")</f>
        <v/>
      </c>
    </row>
    <row r="289" spans="27:29">
      <c r="AA289" s="139" t="str">
        <f t="shared" si="19"/>
        <v/>
      </c>
      <c r="AC289" s="171" t="str">
        <f t="array" aca="1" ref="AC289" ca="1">IFERROR(INDEX(BlanksRangeExp,SMALL((IF(LEN(BlanksRangeExp),ROW(INDIRECT("1:"&amp;ROWS(BlanksRangeExp))))),ROW(A286)),1),"")</f>
        <v/>
      </c>
    </row>
    <row r="290" spans="27:29">
      <c r="AA290" s="139" t="str">
        <f t="shared" si="19"/>
        <v/>
      </c>
      <c r="AC290" s="171" t="str">
        <f t="array" aca="1" ref="AC290" ca="1">IFERROR(INDEX(BlanksRangeExp,SMALL((IF(LEN(BlanksRangeExp),ROW(INDIRECT("1:"&amp;ROWS(BlanksRangeExp))))),ROW(A287)),1),"")</f>
        <v/>
      </c>
    </row>
    <row r="291" spans="27:29">
      <c r="AA291" s="139" t="str">
        <f t="shared" si="19"/>
        <v/>
      </c>
      <c r="AC291" s="171" t="str">
        <f t="array" aca="1" ref="AC291" ca="1">IFERROR(INDEX(BlanksRangeExp,SMALL((IF(LEN(BlanksRangeExp),ROW(INDIRECT("1:"&amp;ROWS(BlanksRangeExp))))),ROW(A288)),1),"")</f>
        <v/>
      </c>
    </row>
    <row r="292" spans="27:29">
      <c r="AA292" s="139" t="str">
        <f t="shared" si="19"/>
        <v/>
      </c>
      <c r="AC292" s="171" t="str">
        <f t="array" aca="1" ref="AC292" ca="1">IFERROR(INDEX(BlanksRangeExp,SMALL((IF(LEN(BlanksRangeExp),ROW(INDIRECT("1:"&amp;ROWS(BlanksRangeExp))))),ROW(A289)),1),"")</f>
        <v/>
      </c>
    </row>
    <row r="293" spans="27:29">
      <c r="AA293" s="139" t="str">
        <f t="shared" si="19"/>
        <v/>
      </c>
      <c r="AC293" s="171" t="str">
        <f t="array" aca="1" ref="AC293" ca="1">IFERROR(INDEX(BlanksRangeExp,SMALL((IF(LEN(BlanksRangeExp),ROW(INDIRECT("1:"&amp;ROWS(BlanksRangeExp))))),ROW(A290)),1),"")</f>
        <v/>
      </c>
    </row>
    <row r="294" spans="27:29">
      <c r="AA294" s="139" t="str">
        <f t="shared" si="19"/>
        <v/>
      </c>
      <c r="AC294" s="171" t="str">
        <f t="array" aca="1" ref="AC294" ca="1">IFERROR(INDEX(BlanksRangeExp,SMALL((IF(LEN(BlanksRangeExp),ROW(INDIRECT("1:"&amp;ROWS(BlanksRangeExp))))),ROW(A291)),1),"")</f>
        <v/>
      </c>
    </row>
    <row r="295" spans="27:29">
      <c r="AA295" s="139" t="str">
        <f t="shared" si="19"/>
        <v/>
      </c>
      <c r="AC295" s="171" t="str">
        <f t="array" aca="1" ref="AC295" ca="1">IFERROR(INDEX(BlanksRangeExp,SMALL((IF(LEN(BlanksRangeExp),ROW(INDIRECT("1:"&amp;ROWS(BlanksRangeExp))))),ROW(A292)),1),"")</f>
        <v/>
      </c>
    </row>
    <row r="296" spans="27:29">
      <c r="AA296" s="139" t="str">
        <f t="shared" si="19"/>
        <v/>
      </c>
      <c r="AC296" s="171" t="str">
        <f t="array" aca="1" ref="AC296" ca="1">IFERROR(INDEX(BlanksRangeExp,SMALL((IF(LEN(BlanksRangeExp),ROW(INDIRECT("1:"&amp;ROWS(BlanksRangeExp))))),ROW(A293)),1),"")</f>
        <v/>
      </c>
    </row>
    <row r="297" spans="27:29">
      <c r="AA297" s="139" t="str">
        <f t="shared" si="19"/>
        <v/>
      </c>
      <c r="AC297" s="171" t="str">
        <f t="array" aca="1" ref="AC297" ca="1">IFERROR(INDEX(BlanksRangeExp,SMALL((IF(LEN(BlanksRangeExp),ROW(INDIRECT("1:"&amp;ROWS(BlanksRangeExp))))),ROW(A294)),1),"")</f>
        <v/>
      </c>
    </row>
    <row r="298" spans="27:29">
      <c r="AA298" s="139" t="str">
        <f t="shared" si="19"/>
        <v/>
      </c>
      <c r="AC298" s="171" t="str">
        <f t="array" aca="1" ref="AC298" ca="1">IFERROR(INDEX(BlanksRangeExp,SMALL((IF(LEN(BlanksRangeExp),ROW(INDIRECT("1:"&amp;ROWS(BlanksRangeExp))))),ROW(A295)),1),"")</f>
        <v/>
      </c>
    </row>
    <row r="299" spans="27:29">
      <c r="AA299" s="139" t="str">
        <f t="shared" si="19"/>
        <v/>
      </c>
      <c r="AC299" s="171" t="str">
        <f t="array" aca="1" ref="AC299" ca="1">IFERROR(INDEX(BlanksRangeExp,SMALL((IF(LEN(BlanksRangeExp),ROW(INDIRECT("1:"&amp;ROWS(BlanksRangeExp))))),ROW(A296)),1),"")</f>
        <v/>
      </c>
    </row>
    <row r="300" spans="27:29">
      <c r="AA300" s="139" t="str">
        <f t="shared" si="19"/>
        <v/>
      </c>
      <c r="AC300" s="171" t="str">
        <f t="array" aca="1" ref="AC300" ca="1">IFERROR(INDEX(BlanksRangeExp,SMALL((IF(LEN(BlanksRangeExp),ROW(INDIRECT("1:"&amp;ROWS(BlanksRangeExp))))),ROW(A297)),1),"")</f>
        <v/>
      </c>
    </row>
    <row r="301" spans="27:29">
      <c r="AA301" s="139" t="str">
        <f t="shared" si="19"/>
        <v/>
      </c>
      <c r="AC301" s="171" t="str">
        <f t="array" aca="1" ref="AC301" ca="1">IFERROR(INDEX(BlanksRangeExp,SMALL((IF(LEN(BlanksRangeExp),ROW(INDIRECT("1:"&amp;ROWS(BlanksRangeExp))))),ROW(A298)),1),"")</f>
        <v/>
      </c>
    </row>
    <row r="302" spans="27:29">
      <c r="AA302" s="139" t="str">
        <f t="shared" si="19"/>
        <v/>
      </c>
      <c r="AC302" s="171" t="str">
        <f t="array" aca="1" ref="AC302" ca="1">IFERROR(INDEX(BlanksRangeExp,SMALL((IF(LEN(BlanksRangeExp),ROW(INDIRECT("1:"&amp;ROWS(BlanksRangeExp))))),ROW(A299)),1),"")</f>
        <v/>
      </c>
    </row>
    <row r="303" spans="27:29">
      <c r="AA303" s="173" t="str">
        <f t="shared" si="19"/>
        <v/>
      </c>
      <c r="AC303" s="171" t="str">
        <f t="array" aca="1" ref="AC303" ca="1">IFERROR(INDEX(BlanksRangeExp,SMALL((IF(LEN(BlanksRangeExp),ROW(INDIRECT("1:"&amp;ROWS(BlanksRangeExp))))),ROW(A300)),1),"")</f>
        <v/>
      </c>
    </row>
    <row r="304" spans="27:29">
      <c r="AA304" s="139" t="str">
        <f>IF(P2="","",P2)</f>
        <v>עמלות</v>
      </c>
      <c r="AC304" s="171" t="str">
        <f t="array" aca="1" ref="AC304" ca="1">IFERROR(INDEX(BlanksRangeExp,SMALL((IF(LEN(BlanksRangeExp),ROW(INDIRECT("1:"&amp;ROWS(BlanksRangeExp))))),ROW(A301)),1),"")</f>
        <v/>
      </c>
    </row>
    <row r="305" spans="27:29">
      <c r="AA305" s="139" t="str">
        <f t="shared" ref="AA305:AA323" si="20">IF(P3="","",P3)</f>
        <v>ביטוח חיים</v>
      </c>
      <c r="AC305" s="171" t="str">
        <f t="array" aca="1" ref="AC305" ca="1">IFERROR(INDEX(BlanksRangeExp,SMALL((IF(LEN(BlanksRangeExp),ROW(INDIRECT("1:"&amp;ROWS(BlanksRangeExp))))),ROW(A302)),1),"")</f>
        <v/>
      </c>
    </row>
    <row r="306" spans="27:29">
      <c r="AA306" s="139" t="str">
        <f t="shared" si="20"/>
        <v>ביטוח לאומי (למי שלא עובד)</v>
      </c>
      <c r="AC306" s="171" t="str">
        <f t="array" aca="1" ref="AC306" ca="1">IFERROR(INDEX(BlanksRangeExp,SMALL((IF(LEN(BlanksRangeExp),ROW(INDIRECT("1:"&amp;ROWS(BlanksRangeExp))))),ROW(A303)),1),"")</f>
        <v/>
      </c>
    </row>
    <row r="307" spans="27:29">
      <c r="AA307" s="139" t="str">
        <f t="shared" si="20"/>
        <v>פיננסים - כללי</v>
      </c>
      <c r="AC307" s="171" t="str">
        <f t="array" aca="1" ref="AC307" ca="1">IFERROR(INDEX(BlanksRangeExp,SMALL((IF(LEN(BlanksRangeExp),ROW(INDIRECT("1:"&amp;ROWS(BlanksRangeExp))))),ROW(A304)),1),"")</f>
        <v/>
      </c>
    </row>
    <row r="308" spans="27:29">
      <c r="AA308" s="139" t="str">
        <f t="shared" si="20"/>
        <v/>
      </c>
      <c r="AC308" s="171" t="str">
        <f t="array" aca="1" ref="AC308" ca="1">IFERROR(INDEX(BlanksRangeExp,SMALL((IF(LEN(BlanksRangeExp),ROW(INDIRECT("1:"&amp;ROWS(BlanksRangeExp))))),ROW(A305)),1),"")</f>
        <v/>
      </c>
    </row>
    <row r="309" spans="27:29">
      <c r="AA309" s="139" t="str">
        <f t="shared" si="20"/>
        <v/>
      </c>
      <c r="AC309" s="171" t="str">
        <f t="array" aca="1" ref="AC309" ca="1">IFERROR(INDEX(BlanksRangeExp,SMALL((IF(LEN(BlanksRangeExp),ROW(INDIRECT("1:"&amp;ROWS(BlanksRangeExp))))),ROW(A306)),1),"")</f>
        <v/>
      </c>
    </row>
    <row r="310" spans="27:29">
      <c r="AA310" s="139" t="str">
        <f t="shared" si="20"/>
        <v/>
      </c>
      <c r="AC310" s="171" t="str">
        <f t="array" aca="1" ref="AC310" ca="1">IFERROR(INDEX(BlanksRangeExp,SMALL((IF(LEN(BlanksRangeExp),ROW(INDIRECT("1:"&amp;ROWS(BlanksRangeExp))))),ROW(A307)),1),"")</f>
        <v/>
      </c>
    </row>
    <row r="311" spans="27:29">
      <c r="AA311" s="139" t="str">
        <f t="shared" si="20"/>
        <v/>
      </c>
      <c r="AC311" s="171" t="str">
        <f t="array" aca="1" ref="AC311" ca="1">IFERROR(INDEX(BlanksRangeExp,SMALL((IF(LEN(BlanksRangeExp),ROW(INDIRECT("1:"&amp;ROWS(BlanksRangeExp))))),ROW(A308)),1),"")</f>
        <v/>
      </c>
    </row>
    <row r="312" spans="27:29">
      <c r="AA312" s="139" t="str">
        <f t="shared" si="20"/>
        <v/>
      </c>
      <c r="AC312" s="171" t="str">
        <f t="array" aca="1" ref="AC312" ca="1">IFERROR(INDEX(BlanksRangeExp,SMALL((IF(LEN(BlanksRangeExp),ROW(INDIRECT("1:"&amp;ROWS(BlanksRangeExp))))),ROW(A309)),1),"")</f>
        <v/>
      </c>
    </row>
    <row r="313" spans="27:29">
      <c r="AA313" s="139" t="str">
        <f t="shared" si="20"/>
        <v/>
      </c>
      <c r="AC313" s="171" t="str">
        <f t="array" aca="1" ref="AC313" ca="1">IFERROR(INDEX(BlanksRangeExp,SMALL((IF(LEN(BlanksRangeExp),ROW(INDIRECT("1:"&amp;ROWS(BlanksRangeExp))))),ROW(A310)),1),"")</f>
        <v/>
      </c>
    </row>
    <row r="314" spans="27:29">
      <c r="AA314" s="139" t="str">
        <f t="shared" si="20"/>
        <v/>
      </c>
      <c r="AC314" s="171" t="str">
        <f t="array" aca="1" ref="AC314" ca="1">IFERROR(INDEX(BlanksRangeExp,SMALL((IF(LEN(BlanksRangeExp),ROW(INDIRECT("1:"&amp;ROWS(BlanksRangeExp))))),ROW(A311)),1),"")</f>
        <v/>
      </c>
    </row>
    <row r="315" spans="27:29">
      <c r="AA315" s="139" t="str">
        <f t="shared" si="20"/>
        <v/>
      </c>
      <c r="AC315" s="171" t="str">
        <f t="array" aca="1" ref="AC315" ca="1">IFERROR(INDEX(BlanksRangeExp,SMALL((IF(LEN(BlanksRangeExp),ROW(INDIRECT("1:"&amp;ROWS(BlanksRangeExp))))),ROW(A312)),1),"")</f>
        <v/>
      </c>
    </row>
    <row r="316" spans="27:29">
      <c r="AA316" s="139" t="str">
        <f t="shared" si="20"/>
        <v/>
      </c>
      <c r="AC316" s="171" t="str">
        <f t="array" aca="1" ref="AC316" ca="1">IFERROR(INDEX(BlanksRangeExp,SMALL((IF(LEN(BlanksRangeExp),ROW(INDIRECT("1:"&amp;ROWS(BlanksRangeExp))))),ROW(A313)),1),"")</f>
        <v/>
      </c>
    </row>
    <row r="317" spans="27:29">
      <c r="AA317" s="139" t="str">
        <f t="shared" si="20"/>
        <v/>
      </c>
      <c r="AC317" s="171" t="str">
        <f t="array" aca="1" ref="AC317" ca="1">IFERROR(INDEX(BlanksRangeExp,SMALL((IF(LEN(BlanksRangeExp),ROW(INDIRECT("1:"&amp;ROWS(BlanksRangeExp))))),ROW(A314)),1),"")</f>
        <v/>
      </c>
    </row>
    <row r="318" spans="27:29">
      <c r="AA318" s="139" t="str">
        <f t="shared" si="20"/>
        <v/>
      </c>
      <c r="AC318" s="171" t="str">
        <f t="array" aca="1" ref="AC318" ca="1">IFERROR(INDEX(BlanksRangeExp,SMALL((IF(LEN(BlanksRangeExp),ROW(INDIRECT("1:"&amp;ROWS(BlanksRangeExp))))),ROW(A315)),1),"")</f>
        <v/>
      </c>
    </row>
    <row r="319" spans="27:29">
      <c r="AA319" s="139" t="str">
        <f t="shared" si="20"/>
        <v/>
      </c>
      <c r="AC319" s="171" t="str">
        <f t="array" aca="1" ref="AC319" ca="1">IFERROR(INDEX(BlanksRangeExp,SMALL((IF(LEN(BlanksRangeExp),ROW(INDIRECT("1:"&amp;ROWS(BlanksRangeExp))))),ROW(A316)),1),"")</f>
        <v/>
      </c>
    </row>
    <row r="320" spans="27:29">
      <c r="AA320" s="139" t="str">
        <f t="shared" si="20"/>
        <v/>
      </c>
      <c r="AC320" s="171" t="str">
        <f t="array" aca="1" ref="AC320" ca="1">IFERROR(INDEX(BlanksRangeExp,SMALL((IF(LEN(BlanksRangeExp),ROW(INDIRECT("1:"&amp;ROWS(BlanksRangeExp))))),ROW(A317)),1),"")</f>
        <v/>
      </c>
    </row>
    <row r="321" spans="27:29">
      <c r="AA321" s="139" t="str">
        <f t="shared" si="20"/>
        <v/>
      </c>
      <c r="AC321" s="171" t="str">
        <f t="array" aca="1" ref="AC321" ca="1">IFERROR(INDEX(BlanksRangeExp,SMALL((IF(LEN(BlanksRangeExp),ROW(INDIRECT("1:"&amp;ROWS(BlanksRangeExp))))),ROW(A318)),1),"")</f>
        <v/>
      </c>
    </row>
    <row r="322" spans="27:29">
      <c r="AA322" s="139" t="str">
        <f t="shared" si="20"/>
        <v/>
      </c>
      <c r="AC322" s="171" t="str">
        <f t="array" aca="1" ref="AC322" ca="1">IFERROR(INDEX(BlanksRangeExp,SMALL((IF(LEN(BlanksRangeExp),ROW(INDIRECT("1:"&amp;ROWS(BlanksRangeExp))))),ROW(A319)),1),"")</f>
        <v/>
      </c>
    </row>
    <row r="323" spans="27:29">
      <c r="AA323" s="173" t="str">
        <f t="shared" si="20"/>
        <v/>
      </c>
      <c r="AC323" s="175" t="str">
        <f t="array" aca="1" ref="AC323" ca="1">IFERROR(INDEX(BlanksRangeExp,SMALL((IF(LEN(BlanksRangeExp),ROW(INDIRECT("1:"&amp;ROWS(BlanksRangeExp))))),ROW(A320)),1),"")</f>
        <v/>
      </c>
    </row>
  </sheetData>
  <conditionalFormatting sqref="A8:A21 B21:S21">
    <cfRule type="cellIs" dxfId="17" priority="19" operator="notEqual">
      <formula>$AD$1</formula>
    </cfRule>
  </conditionalFormatting>
  <conditionalFormatting sqref="B11:B20">
    <cfRule type="cellIs" dxfId="16" priority="18" operator="notEqual">
      <formula>$AD$1</formula>
    </cfRule>
  </conditionalFormatting>
  <conditionalFormatting sqref="C6:C20">
    <cfRule type="cellIs" dxfId="15" priority="17" operator="notEqual">
      <formula>$AD$1</formula>
    </cfRule>
  </conditionalFormatting>
  <conditionalFormatting sqref="D7:D20">
    <cfRule type="cellIs" dxfId="14" priority="16" operator="notEqual">
      <formula>$AD$1</formula>
    </cfRule>
  </conditionalFormatting>
  <conditionalFormatting sqref="E9:E20">
    <cfRule type="cellIs" dxfId="13" priority="15" operator="notEqual">
      <formula>$AD$1</formula>
    </cfRule>
  </conditionalFormatting>
  <conditionalFormatting sqref="F5:F20">
    <cfRule type="cellIs" dxfId="12" priority="14" operator="notEqual">
      <formula>$AD$1</formula>
    </cfRule>
  </conditionalFormatting>
  <conditionalFormatting sqref="G12:G20">
    <cfRule type="cellIs" dxfId="11" priority="13" operator="notEqual">
      <formula>$AD$1</formula>
    </cfRule>
  </conditionalFormatting>
  <conditionalFormatting sqref="H5:H20">
    <cfRule type="cellIs" dxfId="10" priority="12" operator="notEqual">
      <formula>$AD$1</formula>
    </cfRule>
  </conditionalFormatting>
  <conditionalFormatting sqref="I9:I20">
    <cfRule type="cellIs" dxfId="9" priority="11" operator="notEqual">
      <formula>$AD$1</formula>
    </cfRule>
  </conditionalFormatting>
  <conditionalFormatting sqref="J12:J20">
    <cfRule type="cellIs" dxfId="8" priority="10" operator="notEqual">
      <formula>$AD$1</formula>
    </cfRule>
  </conditionalFormatting>
  <conditionalFormatting sqref="K7:K20">
    <cfRule type="cellIs" dxfId="7" priority="9" operator="notEqual">
      <formula>$AD$1</formula>
    </cfRule>
  </conditionalFormatting>
  <conditionalFormatting sqref="L6:L20">
    <cfRule type="cellIs" dxfId="6" priority="8" operator="notEqual">
      <formula>$AD$1</formula>
    </cfRule>
  </conditionalFormatting>
  <conditionalFormatting sqref="M8:M20">
    <cfRule type="cellIs" dxfId="5" priority="7" operator="notEqual">
      <formula>$AD$1</formula>
    </cfRule>
  </conditionalFormatting>
  <conditionalFormatting sqref="N4:N20">
    <cfRule type="cellIs" dxfId="4" priority="6" operator="notEqual">
      <formula>$AD$1</formula>
    </cfRule>
  </conditionalFormatting>
  <conditionalFormatting sqref="O3:O20">
    <cfRule type="cellIs" dxfId="3" priority="5" operator="notEqual">
      <formula>$AD$1</formula>
    </cfRule>
  </conditionalFormatting>
  <conditionalFormatting sqref="P6:P20">
    <cfRule type="cellIs" dxfId="2" priority="4" operator="notEqual">
      <formula>$AD$1</formula>
    </cfRule>
  </conditionalFormatting>
  <conditionalFormatting sqref="Q7:R20">
    <cfRule type="cellIs" dxfId="1" priority="2" operator="notEqual">
      <formula>$AD$1</formula>
    </cfRule>
  </conditionalFormatting>
  <conditionalFormatting sqref="S6:S20">
    <cfRule type="cellIs" dxfId="0" priority="1" operator="notEqual">
      <formula>$AD$1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19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8">
    <outlinePr summaryBelow="0" summaryRight="0"/>
  </sheetPr>
  <dimension ref="A1:C47"/>
  <sheetViews>
    <sheetView rightToLeft="1" topLeftCell="A26" workbookViewId="0">
      <selection activeCell="B48" sqref="B48"/>
    </sheetView>
  </sheetViews>
  <sheetFormatPr defaultColWidth="12.625" defaultRowHeight="15" customHeight="1"/>
  <cols>
    <col min="2" max="2" style="121" width="12.625"/>
  </cols>
  <sheetData>
    <row r="1" spans="1:3" ht="15" customHeight="1">
      <c r="A1" s="25" t="s">
        <v>77</v>
      </c>
    </row>
    <row r="3" spans="1:3" ht="15" customHeight="1">
      <c r="B3" s="121">
        <v>250520</v>
      </c>
      <c r="C3" s="24" t="s">
        <v>119</v>
      </c>
    </row>
    <row r="4" spans="1:3" ht="15" customHeight="1">
      <c r="B4" s="121">
        <v>270520</v>
      </c>
      <c r="C4" s="24" t="s">
        <v>120</v>
      </c>
    </row>
    <row r="5" spans="1:3" ht="15" customHeight="1">
      <c r="C5" s="24" t="s">
        <v>172</v>
      </c>
    </row>
    <row r="6" spans="1:3" ht="15" customHeight="1">
      <c r="C6" s="24" t="s">
        <v>173</v>
      </c>
    </row>
    <row r="7" spans="1:3" ht="15" customHeight="1">
      <c r="C7" s="24" t="s">
        <v>177</v>
      </c>
    </row>
    <row r="8" spans="1:3" ht="15" customHeight="1">
      <c r="C8" s="24" t="s">
        <v>178</v>
      </c>
    </row>
    <row r="9" spans="1:3" ht="15" customHeight="1">
      <c r="C9" s="24" t="s">
        <v>179</v>
      </c>
    </row>
    <row r="10" spans="1:3" ht="15" customHeight="1">
      <c r="B10" s="122" t="s">
        <v>211</v>
      </c>
      <c r="C10" s="24" t="s">
        <v>183</v>
      </c>
    </row>
    <row r="11" spans="1:3" ht="15" customHeight="1">
      <c r="C11" s="24" t="s">
        <v>184</v>
      </c>
    </row>
    <row r="12" spans="1:3" ht="15" customHeight="1">
      <c r="C12" s="24" t="s">
        <v>185</v>
      </c>
    </row>
    <row r="13" spans="1:3" ht="15" customHeight="1">
      <c r="C13" s="24" t="s">
        <v>186</v>
      </c>
    </row>
    <row r="14" spans="1:3" ht="15" customHeight="1">
      <c r="B14" s="121">
        <v>170620</v>
      </c>
      <c r="C14" s="24" t="s">
        <v>201</v>
      </c>
    </row>
    <row r="15" spans="1:3" ht="15" customHeight="1">
      <c r="C15" s="24" t="s">
        <v>202</v>
      </c>
    </row>
    <row r="16" spans="1:3" ht="15" customHeight="1">
      <c r="C16" s="24" t="s">
        <v>203</v>
      </c>
    </row>
    <row r="17" spans="2:3" ht="15" customHeight="1">
      <c r="B17" s="121">
        <v>240620</v>
      </c>
      <c r="C17" s="24" t="s">
        <v>204</v>
      </c>
    </row>
    <row r="18" spans="2:3" ht="15" customHeight="1">
      <c r="C18" s="24" t="s">
        <v>205</v>
      </c>
    </row>
    <row r="19" spans="2:3" ht="15" customHeight="1">
      <c r="B19" s="121">
        <v>290620</v>
      </c>
      <c r="C19" s="24" t="s">
        <v>206</v>
      </c>
    </row>
    <row r="20" spans="2:3" ht="15" customHeight="1">
      <c r="B20" s="122" t="s">
        <v>212</v>
      </c>
      <c r="C20" s="24" t="s">
        <v>208</v>
      </c>
    </row>
    <row r="21" spans="2:3" ht="15" customHeight="1">
      <c r="B21" s="122" t="s">
        <v>209</v>
      </c>
      <c r="C21" s="24" t="s">
        <v>213</v>
      </c>
    </row>
    <row r="22" spans="2:3" ht="15" customHeight="1">
      <c r="C22" s="24" t="s">
        <v>214</v>
      </c>
    </row>
    <row r="23" spans="2:3" ht="15" customHeight="1">
      <c r="B23" s="122" t="s">
        <v>215</v>
      </c>
      <c r="C23" s="24" t="s">
        <v>217</v>
      </c>
    </row>
    <row r="24" spans="2:3" ht="15" customHeight="1">
      <c r="B24" s="122" t="s">
        <v>219</v>
      </c>
      <c r="C24" s="24" t="s">
        <v>233</v>
      </c>
    </row>
    <row r="25" spans="2:3" ht="15" customHeight="1">
      <c r="B25" s="122" t="s">
        <v>234</v>
      </c>
      <c r="C25" s="24" t="s">
        <v>237</v>
      </c>
    </row>
    <row r="26" spans="2:3" ht="15" customHeight="1">
      <c r="B26" s="121" t="s">
        <v>238</v>
      </c>
      <c r="C26" s="24" t="s">
        <v>239</v>
      </c>
    </row>
    <row r="27" spans="2:3" ht="15" customHeight="1">
      <c r="B27" s="121" t="s">
        <v>240</v>
      </c>
      <c r="C27" s="24" t="s">
        <v>241</v>
      </c>
    </row>
    <row r="28" spans="2:3" ht="15" customHeight="1">
      <c r="B28" s="122" t="s">
        <v>242</v>
      </c>
      <c r="C28" s="24" t="s">
        <v>243</v>
      </c>
    </row>
    <row r="29" spans="2:3" ht="15" customHeight="1">
      <c r="B29" s="122" t="s">
        <v>244</v>
      </c>
      <c r="C29" s="24" t="s">
        <v>246</v>
      </c>
    </row>
    <row r="30" spans="2:3" ht="15" customHeight="1">
      <c r="C30" s="24" t="s">
        <v>248</v>
      </c>
    </row>
    <row r="31" spans="2:3" ht="15" customHeight="1">
      <c r="C31" s="24" t="s">
        <v>247</v>
      </c>
    </row>
    <row r="32" spans="2:3" ht="15" customHeight="1">
      <c r="C32" s="24" t="s">
        <v>249</v>
      </c>
    </row>
    <row r="33" spans="2:3" ht="15" customHeight="1">
      <c r="C33" s="24" t="s">
        <v>250</v>
      </c>
    </row>
    <row r="34" spans="2:3" ht="15" customHeight="1">
      <c r="B34" s="121" t="s">
        <v>251</v>
      </c>
      <c r="C34" s="24" t="s">
        <v>252</v>
      </c>
    </row>
    <row r="35" spans="2:3" ht="15" customHeight="1">
      <c r="C35" s="24" t="s">
        <v>253</v>
      </c>
    </row>
    <row r="36" spans="2:3" ht="15" customHeight="1">
      <c r="C36" s="24" t="s">
        <v>257</v>
      </c>
    </row>
    <row r="37" spans="2:3" ht="15" customHeight="1">
      <c r="B37" s="122" t="s">
        <v>258</v>
      </c>
      <c r="C37" s="24" t="s">
        <v>259</v>
      </c>
    </row>
    <row r="38" spans="2:3" ht="15" customHeight="1">
      <c r="B38" s="121" t="s">
        <v>260</v>
      </c>
      <c r="C38" s="24" t="s">
        <v>261</v>
      </c>
    </row>
    <row r="39" spans="2:3" ht="15" customHeight="1">
      <c r="C39" s="24" t="s">
        <v>262</v>
      </c>
    </row>
    <row r="40" spans="2:3" ht="15" customHeight="1">
      <c r="B40" s="122" t="s">
        <v>263</v>
      </c>
      <c r="C40" s="24" t="s">
        <v>264</v>
      </c>
    </row>
    <row r="41" spans="2:3" ht="15" customHeight="1">
      <c r="B41" s="122" t="s">
        <v>265</v>
      </c>
      <c r="C41" s="24" t="s">
        <v>266</v>
      </c>
    </row>
    <row r="42" spans="2:3" ht="15" customHeight="1">
      <c r="B42" s="121" t="s">
        <v>267</v>
      </c>
      <c r="C42" s="24" t="s">
        <v>268</v>
      </c>
    </row>
    <row r="43" spans="2:3" ht="15" customHeight="1">
      <c r="B43" s="122" t="s">
        <v>407</v>
      </c>
      <c r="C43" s="24" t="s">
        <v>406</v>
      </c>
    </row>
    <row r="44" spans="2:3" ht="15" customHeight="1">
      <c r="B44" s="122" t="s">
        <v>408</v>
      </c>
      <c r="C44" s="24" t="s">
        <v>409</v>
      </c>
    </row>
    <row r="45" spans="2:3" ht="15" customHeight="1">
      <c r="B45" s="122" t="s">
        <v>410</v>
      </c>
      <c r="C45" s="24" t="s">
        <v>412</v>
      </c>
    </row>
    <row r="46" spans="2:3" ht="15" customHeight="1">
      <c r="B46" s="122" t="s">
        <v>413</v>
      </c>
      <c r="C46" s="24" t="s">
        <v>415</v>
      </c>
    </row>
    <row r="47" spans="2:3" ht="15" customHeight="1">
      <c r="B47" s="122" t="s">
        <v>416</v>
      </c>
      <c r="C47" s="24" t="s">
        <v>420</v>
      </c>
    </row>
  </sheetData>
  <sheetProtection algorithmName="SHA-512" hashValue="NgtiTmdNYCKXk+X0UYgmImwjqrwRz5FPYgwp1leruV03SrQNxdrdIDYrh8xIgyQGe0uunrFChB6/sAQalYZrEA==" saltValue="OM0TEdVjvMm6bfTquaJLUg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9">
    <outlinePr summaryBelow="0" summaryRight="0"/>
  </sheetPr>
  <dimension ref="A1:I20"/>
  <sheetViews>
    <sheetView rightToLeft="1" workbookViewId="0">
      <selection activeCell="C16" sqref="C16"/>
    </sheetView>
  </sheetViews>
  <sheetFormatPr defaultColWidth="12.625" defaultRowHeight="15" customHeight="1"/>
  <cols>
    <col min="1" max="1" customWidth="true" style="99" width="8.75"/>
    <col min="2" max="2" bestFit="true" customWidth="true" width="31.125"/>
    <col min="6" max="6" bestFit="true" customWidth="true" style="99" width="15.875"/>
    <col min="7" max="7" style="99" width="12.625"/>
  </cols>
  <sheetData>
    <row r="1" spans="1:9" ht="15" customHeight="1">
      <c r="A1" s="102" t="s">
        <v>77</v>
      </c>
    </row>
    <row r="3" spans="1:9" ht="15" customHeight="1">
      <c r="A3" s="99" t="s">
        <v>131</v>
      </c>
      <c r="B3" s="24" t="s">
        <v>164</v>
      </c>
      <c r="C3" s="24" t="s">
        <v>121</v>
      </c>
      <c r="D3" s="24"/>
      <c r="F3" s="100" t="s">
        <v>122</v>
      </c>
      <c r="G3" s="100" t="s">
        <v>123</v>
      </c>
      <c r="H3" s="24" t="s">
        <v>121</v>
      </c>
    </row>
    <row r="4" spans="1:9" ht="15" customHeight="1">
      <c r="A4" s="99" t="s">
        <v>132</v>
      </c>
      <c r="B4" t="s" s="0">
        <v>133</v>
      </c>
      <c r="C4" s="0">
        <v>1</v>
      </c>
      <c r="F4" s="100" t="s">
        <v>124</v>
      </c>
      <c r="H4" s="0">
        <v>1</v>
      </c>
    </row>
    <row r="5" spans="1:9" ht="15" customHeight="1">
      <c r="A5" s="99" t="s">
        <v>134</v>
      </c>
      <c r="B5" t="s" s="0">
        <v>135</v>
      </c>
      <c r="C5" s="0">
        <v>1</v>
      </c>
      <c r="G5" s="100" t="s">
        <v>110</v>
      </c>
    </row>
    <row r="6" spans="1:9" ht="15" customHeight="1">
      <c r="A6" s="99" t="s">
        <v>136</v>
      </c>
      <c r="B6" t="s" s="0">
        <v>137</v>
      </c>
      <c r="C6" s="0">
        <v>1</v>
      </c>
      <c r="G6" s="100" t="s">
        <v>127</v>
      </c>
    </row>
    <row r="7" spans="1:9" ht="15" customHeight="1">
      <c r="A7" s="99" t="s">
        <v>140</v>
      </c>
      <c r="B7" t="s" s="0">
        <v>256</v>
      </c>
      <c r="C7" s="0">
        <v>1</v>
      </c>
      <c r="G7" s="100" t="s">
        <v>128</v>
      </c>
    </row>
    <row r="8" spans="1:9" ht="15" customHeight="1">
      <c r="A8" s="99" t="s">
        <v>140</v>
      </c>
      <c r="B8" t="s" s="0">
        <v>141</v>
      </c>
      <c r="C8" s="0">
        <v>1</v>
      </c>
    </row>
    <row r="9" spans="1:9" ht="15" customHeight="1">
      <c r="A9" s="99" t="s">
        <v>142</v>
      </c>
      <c r="B9" t="s" s="0">
        <v>143</v>
      </c>
      <c r="C9" s="0">
        <v>1</v>
      </c>
      <c r="F9" s="101" t="s">
        <v>125</v>
      </c>
      <c r="H9" s="0">
        <v>1</v>
      </c>
    </row>
    <row r="10" spans="1:9" ht="15" customHeight="1">
      <c r="A10" s="99" t="s">
        <v>144</v>
      </c>
      <c r="B10" t="s" s="0">
        <v>145</v>
      </c>
      <c r="G10" s="100" t="s">
        <v>128</v>
      </c>
    </row>
    <row r="11" spans="1:9" ht="15" customHeight="1">
      <c r="A11" s="99" t="s">
        <v>146</v>
      </c>
      <c r="B11" t="s" s="0">
        <v>147</v>
      </c>
      <c r="C11" s="0">
        <v>1</v>
      </c>
      <c r="G11" s="100" t="s">
        <v>127</v>
      </c>
    </row>
    <row r="12" spans="1:9" ht="15" customHeight="1">
      <c r="A12" s="99" t="s">
        <v>148</v>
      </c>
      <c r="B12" t="s" s="0">
        <v>149</v>
      </c>
      <c r="G12" s="100" t="s">
        <v>129</v>
      </c>
    </row>
    <row r="13" spans="1:9" ht="15" customHeight="1">
      <c r="A13" s="99" t="s">
        <v>150</v>
      </c>
      <c r="B13" t="s" s="0">
        <v>151</v>
      </c>
      <c r="C13" s="0">
        <v>1</v>
      </c>
    </row>
    <row r="14" spans="1:9" ht="15" customHeight="1">
      <c r="A14" s="99" t="s">
        <v>152</v>
      </c>
      <c r="B14" t="s" s="0">
        <v>153</v>
      </c>
      <c r="C14" s="0">
        <v>1</v>
      </c>
      <c r="F14" s="101" t="s">
        <v>126</v>
      </c>
      <c r="G14" s="100" t="s">
        <v>128</v>
      </c>
      <c r="H14" s="0">
        <v>1</v>
      </c>
      <c r="I14" s="24" t="s">
        <v>218</v>
      </c>
    </row>
    <row r="15" spans="1:9" ht="15" customHeight="1">
      <c r="A15" s="99" t="s">
        <v>154</v>
      </c>
      <c r="B15" t="s" s="0">
        <v>155</v>
      </c>
      <c r="C15" s="0">
        <v>1</v>
      </c>
      <c r="G15" s="100" t="s">
        <v>127</v>
      </c>
    </row>
    <row r="16" spans="1:9" ht="15" customHeight="1">
      <c r="A16" s="99" t="s">
        <v>156</v>
      </c>
      <c r="B16" t="s" s="0">
        <v>157</v>
      </c>
      <c r="G16" s="100" t="s">
        <v>130</v>
      </c>
    </row>
    <row r="17" spans="1:3" ht="15" customHeight="1">
      <c r="A17" s="99" t="s">
        <v>158</v>
      </c>
      <c r="B17" t="s" s="0">
        <v>159</v>
      </c>
    </row>
    <row r="18" spans="1:3" ht="15" customHeight="1">
      <c r="A18" s="99" t="s">
        <v>160</v>
      </c>
      <c r="B18" t="s" s="0">
        <v>161</v>
      </c>
      <c r="C18" s="0">
        <v>1</v>
      </c>
    </row>
    <row r="19" spans="1:3" ht="15" customHeight="1">
      <c r="A19" s="99" t="s">
        <v>162</v>
      </c>
      <c r="B19" t="s" s="0">
        <v>163</v>
      </c>
    </row>
    <row r="20" spans="1:3" ht="15" customHeight="1">
      <c r="A20" s="99" t="s">
        <v>138</v>
      </c>
      <c r="B20" t="s" s="0">
        <v>139</v>
      </c>
    </row>
  </sheetData>
  <sheetProtection algorithmName="SHA-512" hashValue="JIiW8DH2RU7wAqUGwVuDMHgyVmG2oo7cGvQKoAwXGUmWTaWRt66VGaes0OzVAoSyjBP/KI2nBp60XYUclbheaw==" saltValue="EJ3GIbYV0RjnA5AVojSGHw==" spinCount="100000" sheet="1" objects="1" scenarios="1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outlinePr summaryBelow="0" summaryRight="0"/>
  </sheetPr>
  <dimension ref="A1"/>
  <sheetViews>
    <sheetView rightToLeft="1" workbookViewId="0">
      <selection activeCell="F7" sqref="F7"/>
    </sheetView>
  </sheetViews>
  <sheetFormatPr defaultColWidth="12.625" defaultRowHeight="15" customHeight="1"/>
  <sheetData>
    <row r="1" spans="1:1" ht="15" customHeight="1">
      <c r="A1" s="26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outlinePr summaryBelow="0" summaryRight="0"/>
  </sheetPr>
  <dimension ref="A1"/>
  <sheetViews>
    <sheetView rightToLeft="1" workbookViewId="0">
      <selection activeCell="B22" sqref="B22"/>
    </sheetView>
  </sheetViews>
  <sheetFormatPr defaultColWidth="12.625" defaultRowHeight="15" customHeight="1"/>
  <sheetData>
    <row r="1" spans="1:1" ht="15" customHeight="1">
      <c r="A1" s="26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outlinePr summaryBelow="0" summaryRight="0"/>
  </sheetPr>
  <dimension ref="A1"/>
  <sheetViews>
    <sheetView rightToLeft="1" workbookViewId="0">
      <selection activeCell="B22" sqref="B22"/>
    </sheetView>
  </sheetViews>
  <sheetFormatPr defaultColWidth="12.625" defaultRowHeight="15" customHeight="1"/>
  <sheetData>
    <row r="1" spans="1:1" ht="15" customHeight="1">
      <c r="A1" s="26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outlinePr summaryBelow="0" summaryRight="0"/>
  </sheetPr>
  <dimension ref="A1"/>
  <sheetViews>
    <sheetView rightToLeft="1" workbookViewId="0">
      <selection activeCell="B22" sqref="B22"/>
    </sheetView>
  </sheetViews>
  <sheetFormatPr defaultColWidth="12.625" defaultRowHeight="15" customHeight="1"/>
  <sheetData>
    <row r="1" spans="1:1" ht="15" customHeight="1">
      <c r="A1" s="26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outlinePr summaryBelow="0" summaryRight="0"/>
  </sheetPr>
  <dimension ref="A1"/>
  <sheetViews>
    <sheetView rightToLeft="1" workbookViewId="0">
      <selection activeCell="B22" sqref="B22"/>
    </sheetView>
  </sheetViews>
  <sheetFormatPr defaultColWidth="12.625" defaultRowHeight="15" customHeight="1"/>
  <sheetData>
    <row r="1" spans="1:1" ht="15" customHeight="1">
      <c r="A1" s="26" t="s">
        <v>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outlinePr summaryBelow="0" summaryRight="0"/>
  </sheetPr>
  <dimension ref="A1"/>
  <sheetViews>
    <sheetView rightToLeft="1" topLeftCell="CP1" workbookViewId="0">
      <selection activeCell="B22" sqref="B22"/>
    </sheetView>
  </sheetViews>
  <sheetFormatPr defaultColWidth="12.625" defaultRowHeight="15" customHeight="1"/>
  <sheetData>
    <row r="1" spans="1:1" ht="15" customHeight="1">
      <c r="A1" s="26" t="s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outlinePr summaryBelow="0" summaryRight="0"/>
  </sheetPr>
  <dimension ref="A1:M13"/>
  <sheetViews>
    <sheetView rightToLeft="1" workbookViewId="0">
      <selection activeCell="I13" sqref="I13"/>
    </sheetView>
  </sheetViews>
  <sheetFormatPr defaultColWidth="12.625" defaultRowHeight="15" customHeight="1"/>
  <cols>
    <col min="1" max="12" customWidth="true" style="82" width="12.625"/>
    <col min="13" max="16384" style="82" width="12.625"/>
  </cols>
  <sheetData>
    <row r="1" spans="1:13" ht="15" customHeight="1">
      <c r="L1" s="81"/>
    </row>
    <row r="2" spans="1:13" ht="15" customHeight="1">
      <c r="A2" s="87"/>
      <c r="B2" s="84"/>
    </row>
    <row r="3" spans="1:13" ht="15" customHeight="1">
      <c r="A3" s="91"/>
      <c r="B3" s="85"/>
      <c r="C3" s="92"/>
    </row>
    <row r="4" spans="1:13" ht="15" customHeight="1">
      <c r="A4" s="85"/>
      <c r="B4" s="85"/>
    </row>
    <row r="5" spans="1:13" s="86" customFormat="1" ht="29.25" customHeight="1">
      <c r="A5" s="84"/>
      <c r="B5" s="83"/>
      <c r="C5" s="83"/>
      <c r="D5" s="83"/>
      <c r="E5" s="83"/>
      <c r="F5" s="83"/>
      <c r="G5" s="83"/>
      <c r="H5" s="84"/>
      <c r="I5" s="83"/>
      <c r="J5" s="83"/>
      <c r="K5" s="83"/>
    </row>
    <row r="6" spans="1:13" ht="15" customHeight="1">
      <c r="A6" s="87"/>
      <c r="B6" s="87"/>
      <c r="C6" s="87"/>
      <c r="D6" s="87"/>
      <c r="E6" s="85"/>
      <c r="F6" s="85"/>
      <c r="G6" s="87"/>
      <c r="H6" s="85"/>
      <c r="I6" s="85"/>
      <c r="J6" s="85"/>
      <c r="K6" s="85"/>
    </row>
    <row r="7" spans="1:13" ht="15" customHeight="1">
      <c r="A7" s="87"/>
      <c r="B7" s="87"/>
      <c r="C7" s="87"/>
      <c r="D7" s="87"/>
      <c r="E7" s="87"/>
      <c r="F7" s="85"/>
      <c r="G7" s="87"/>
      <c r="H7" s="85"/>
      <c r="I7" s="85"/>
      <c r="J7" s="85"/>
      <c r="K7" s="85"/>
      <c r="L7" s="85"/>
      <c r="M7" s="85"/>
    </row>
    <row r="8" spans="1:13" ht="15" customHeight="1">
      <c r="A8" s="87"/>
      <c r="B8" s="87"/>
      <c r="C8" s="87"/>
      <c r="D8" s="87"/>
      <c r="E8" s="87"/>
      <c r="F8" s="85"/>
      <c r="G8" s="87"/>
      <c r="H8" s="85"/>
      <c r="I8" s="85"/>
      <c r="J8" s="85"/>
      <c r="K8" s="85"/>
    </row>
    <row r="9" spans="1:13" ht="15" customHeight="1">
      <c r="A9" s="89"/>
      <c r="B9" s="87"/>
      <c r="C9" s="87"/>
      <c r="D9" s="87"/>
      <c r="G9" s="87"/>
      <c r="I9" s="85"/>
      <c r="J9" s="85"/>
      <c r="K9" s="85"/>
    </row>
    <row r="12" spans="1:13" ht="15" customHeight="1">
      <c r="A12" s="87"/>
      <c r="B12" s="87"/>
      <c r="C12" s="87"/>
      <c r="D12" s="87"/>
      <c r="E12" s="87"/>
      <c r="F12" s="85"/>
      <c r="G12" s="87"/>
      <c r="H12" s="85"/>
      <c r="I12" s="85"/>
      <c r="J12" s="85"/>
      <c r="K12" s="85"/>
    </row>
    <row r="13" spans="1:13" ht="15" customHeight="1">
      <c r="B13" s="87"/>
      <c r="C13" s="87"/>
      <c r="D13" s="87"/>
      <c r="E13" s="87"/>
      <c r="G13" s="87"/>
      <c r="I13" s="85"/>
      <c r="J13" s="85"/>
      <c r="K13" s="8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outlinePr summaryBelow="0" summaryRight="0"/>
  </sheetPr>
  <dimension ref="A1:CZ103"/>
  <sheetViews>
    <sheetView rightToLeft="1" workbookViewId="0">
      <selection activeCell="A2" sqref="A2"/>
    </sheetView>
  </sheetViews>
  <sheetFormatPr defaultColWidth="12.625" defaultRowHeight="15" customHeight="1"/>
  <cols>
    <col min="9" max="9" customWidth="true" hidden="true" width="0.0"/>
    <col min="97" max="97" customWidth="true" hidden="true" width="0.0"/>
    <col min="98" max="102" customWidth="true" hidden="true" width="12.625"/>
    <col min="103" max="103" customWidth="true" hidden="true" width="6.375"/>
    <col min="104" max="104" customWidth="true" hidden="true" width="34.625"/>
    <col min="105" max="105" customWidth="true" width="12.625"/>
  </cols>
  <sheetData>
    <row r="1" spans="1:104" ht="15" customHeight="1" thickBot="1">
      <c r="A1" s="25" t="s">
        <v>79</v>
      </c>
      <c r="I1" s="24" t="s">
        <v>78</v>
      </c>
      <c r="CX1" s="27" t="str">
        <f>IF(D2=AI2,"",F2)</f>
        <v/>
      </c>
      <c r="CY1" s="28" t="str">
        <f>IF(D2=AI2,"shikuf",IF(D2=AI3,"balance","budget"))</f>
        <v>shikuf</v>
      </c>
      <c r="CZ1" s="29" t="str">
        <f>IF(ISERROR(I1),"import_error",IF(I1="מוכן ליבוא","import_ok","import_error"))</f>
        <v>import_ok</v>
      </c>
    </row>
    <row r="2" spans="1:104">
      <c r="CZ2" s="20" t="s">
        <v>67</v>
      </c>
    </row>
    <row r="3" spans="1:104" ht="15.75">
      <c r="CT3" s="145" t="s">
        <v>392</v>
      </c>
      <c r="CU3" s="146" t="s">
        <v>393</v>
      </c>
      <c r="CY3" s="21" t="s">
        <v>68</v>
      </c>
      <c r="CZ3" s="22" t="s">
        <v>69</v>
      </c>
    </row>
    <row r="4" spans="1:104">
      <c r="CT4" s="153">
        <v>20</v>
      </c>
      <c r="CU4" t="s" s="0">
        <v>398</v>
      </c>
      <c r="CY4" s="30">
        <f>VLOOKUP(CU4,'שלב ג - תוצאות השיקוף'!$A$4:$B$339,2,0)</f>
        <v>0</v>
      </c>
      <c r="CZ4" s="23">
        <v>20</v>
      </c>
    </row>
    <row r="5" spans="1:104">
      <c r="CT5" s="153">
        <v>7</v>
      </c>
      <c r="CU5" t="s" s="0">
        <v>14</v>
      </c>
      <c r="CY5" s="30">
        <f>VLOOKUP(CU5,'שלב ג - תוצאות השיקוף'!$A$4:$B$339,2,0)</f>
        <v>0</v>
      </c>
      <c r="CZ5" s="23">
        <v>7</v>
      </c>
    </row>
    <row r="6" spans="1:104">
      <c r="CT6" s="153">
        <v>169</v>
      </c>
      <c r="CU6" t="s" s="0">
        <v>334</v>
      </c>
      <c r="CY6" s="30">
        <f>VLOOKUP(CU6,'שלב ג - תוצאות השיקוף'!$A$4:$B$339,2,0)</f>
        <v>0</v>
      </c>
      <c r="CZ6" s="23">
        <v>169</v>
      </c>
    </row>
    <row r="7" spans="1:104">
      <c r="CT7" s="153">
        <v>6</v>
      </c>
      <c r="CU7" t="s" s="0">
        <v>13</v>
      </c>
      <c r="CY7" s="30">
        <f>VLOOKUP(CU7,'שלב ג - תוצאות השיקוף'!$A$4:$B$339,2,0)</f>
        <v>0</v>
      </c>
      <c r="CZ7" s="23">
        <v>6</v>
      </c>
    </row>
    <row r="8" spans="1:104">
      <c r="CT8" s="153">
        <v>5</v>
      </c>
      <c r="CU8" t="s" s="0">
        <v>12</v>
      </c>
      <c r="CY8" s="30">
        <f>VLOOKUP(CU8,'שלב ג - תוצאות השיקוף'!$A$4:$B$339,2,0)</f>
        <v>0</v>
      </c>
      <c r="CZ8" s="23">
        <v>5</v>
      </c>
    </row>
    <row r="9" spans="1:104">
      <c r="CT9" s="153">
        <v>30</v>
      </c>
      <c r="CU9" t="s" s="0">
        <v>296</v>
      </c>
      <c r="CY9" s="30">
        <f>VLOOKUP(CU9,'שלב ג - תוצאות השיקוף'!$A$4:$B$339,2,0)</f>
        <v>0</v>
      </c>
      <c r="CZ9" s="23">
        <v>30</v>
      </c>
    </row>
    <row r="10" spans="1:104">
      <c r="CT10" s="153">
        <v>35</v>
      </c>
      <c r="CU10" t="s" s="0">
        <v>71</v>
      </c>
      <c r="CY10" s="30">
        <f>VLOOKUP(CU10,'שלב ג - תוצאות השיקוף'!$A$4:$B$339,2,0)</f>
        <v>0</v>
      </c>
      <c r="CZ10" s="23">
        <v>35</v>
      </c>
    </row>
    <row r="11" spans="1:104">
      <c r="CT11" s="153">
        <v>129</v>
      </c>
      <c r="CU11" t="s" s="0">
        <v>294</v>
      </c>
      <c r="CY11" s="30">
        <f>VLOOKUP(CU11,'שלב ג - תוצאות השיקוף'!$A$4:$B$339,2,0)</f>
        <v>0</v>
      </c>
      <c r="CZ11" s="23">
        <v>129</v>
      </c>
    </row>
    <row r="12" spans="1:104">
      <c r="CT12" s="153">
        <v>27</v>
      </c>
      <c r="CU12" t="s" s="0">
        <v>298</v>
      </c>
      <c r="CX12" s="0">
        <f>F12</f>
        <v>0</v>
      </c>
      <c r="CY12" s="30">
        <f>VLOOKUP(CU12,'שלב ג - תוצאות השיקוף'!$A$4:$B$339,2,0)</f>
        <v>0</v>
      </c>
      <c r="CZ12" s="23">
        <v>27</v>
      </c>
    </row>
    <row r="13" spans="1:104">
      <c r="CT13" s="153">
        <v>18</v>
      </c>
      <c r="CU13" t="s" s="0">
        <v>297</v>
      </c>
      <c r="CX13" s="0">
        <f>F13</f>
        <v>0</v>
      </c>
      <c r="CY13" s="30">
        <f>VLOOKUP(CU13,'שלב ג - תוצאות השיקוף'!$A$4:$B$339,2,0)</f>
        <v>0</v>
      </c>
      <c r="CZ13" s="23">
        <v>18</v>
      </c>
    </row>
    <row r="14" spans="1:104">
      <c r="CT14" s="153">
        <v>119</v>
      </c>
      <c r="CU14" t="s" s="0">
        <v>282</v>
      </c>
      <c r="CY14" s="30">
        <f>VLOOKUP(CU14,'שלב ג - תוצאות השיקוף'!$A$4:$B$339,2,0)</f>
        <v>0</v>
      </c>
      <c r="CZ14" s="23">
        <v>119</v>
      </c>
    </row>
    <row r="15" spans="1:104">
      <c r="CT15" s="153">
        <v>29</v>
      </c>
      <c r="CU15" t="s" s="0">
        <v>299</v>
      </c>
      <c r="CY15" s="30">
        <f>VLOOKUP(CU15,'שלב ג - תוצאות השיקוף'!$A$4:$B$339,2,0)</f>
        <v>0</v>
      </c>
      <c r="CZ15" s="23">
        <v>29</v>
      </c>
    </row>
    <row r="16" spans="1:104">
      <c r="CT16" s="153">
        <v>121</v>
      </c>
      <c r="CU16" t="s" s="0">
        <v>283</v>
      </c>
      <c r="CY16" s="30">
        <f>VLOOKUP(CU16,'שלב ג - תוצאות השיקוף'!$A$4:$B$339,2,0)</f>
        <v>0</v>
      </c>
      <c r="CZ16" s="23">
        <v>121</v>
      </c>
    </row>
    <row r="17" spans="98:104">
      <c r="CT17" s="153">
        <v>158</v>
      </c>
      <c r="CU17" t="s" s="0">
        <v>284</v>
      </c>
      <c r="CY17" s="30">
        <f>VLOOKUP(CU17,'שלב ג - תוצאות השיקוף'!$A$4:$B$339,2,0)</f>
        <v>0</v>
      </c>
      <c r="CZ17" s="23">
        <v>158</v>
      </c>
    </row>
    <row r="18" spans="98:104">
      <c r="CT18" s="153">
        <v>13</v>
      </c>
      <c r="CU18" t="s" s="0">
        <v>16</v>
      </c>
      <c r="CY18" s="30">
        <f>VLOOKUP(CU18,'שלב ג - תוצאות השיקוף'!$A$4:$B$339,2,0)</f>
        <v>0</v>
      </c>
      <c r="CZ18" s="23">
        <v>13</v>
      </c>
    </row>
    <row r="19" spans="98:104">
      <c r="CT19" s="153">
        <v>162</v>
      </c>
      <c r="CU19" t="s" s="0">
        <v>295</v>
      </c>
      <c r="CY19" s="30">
        <f>VLOOKUP(CU19,'שלב ג - תוצאות השיקוף'!$A$4:$B$339,2,0)</f>
        <v>0</v>
      </c>
      <c r="CZ19" s="23">
        <v>162</v>
      </c>
    </row>
    <row r="20" spans="98:104">
      <c r="CT20" s="153">
        <v>12</v>
      </c>
      <c r="CU20" t="s" s="0">
        <v>300</v>
      </c>
      <c r="CY20" s="30">
        <f>VLOOKUP(CU20,'שלב ג - תוצאות השיקוף'!$A$4:$B$339,2,0)</f>
        <v>0</v>
      </c>
      <c r="CZ20" s="23">
        <v>12</v>
      </c>
    </row>
    <row r="21" spans="98:104">
      <c r="CT21" s="153">
        <v>14</v>
      </c>
      <c r="CU21" t="s" s="0">
        <v>399</v>
      </c>
      <c r="CY21" s="30" t="e">
        <f>VLOOKUP(CU21,'שלב ג - תוצאות השיקוף'!$A$4:$B$339,2,0)</f>
        <v>#N/A</v>
      </c>
      <c r="CZ21" s="23">
        <v>14</v>
      </c>
    </row>
    <row r="22" spans="98:104">
      <c r="CT22" s="153">
        <v>67</v>
      </c>
      <c r="CU22" t="s" s="0">
        <v>332</v>
      </c>
      <c r="CY22" s="30">
        <f>VLOOKUP(CU22,'שלב ג - תוצאות השיקוף'!$A$4:$B$339,2,0)</f>
        <v>0</v>
      </c>
      <c r="CZ22" s="23">
        <v>67</v>
      </c>
    </row>
    <row r="23" spans="98:104">
      <c r="CT23" s="153">
        <v>56</v>
      </c>
      <c r="CU23" t="s" s="0">
        <v>400</v>
      </c>
      <c r="CY23" s="30">
        <f>VLOOKUP(CU23,'שלב ג - תוצאות השיקוף'!$A$4:$B$339,2,0)</f>
        <v>0</v>
      </c>
      <c r="CZ23" s="23">
        <v>56</v>
      </c>
    </row>
    <row r="24" spans="98:104">
      <c r="CT24" s="153">
        <v>68</v>
      </c>
      <c r="CU24" t="s" s="0">
        <v>333</v>
      </c>
      <c r="CY24" s="30">
        <f>VLOOKUP(CU24,'שלב ג - תוצאות השיקוף'!$A$4:$B$339,2,0)</f>
        <v>0</v>
      </c>
      <c r="CZ24" s="23">
        <v>68</v>
      </c>
    </row>
    <row r="25" spans="98:104">
      <c r="CT25" s="153">
        <v>4</v>
      </c>
      <c r="CU25" t="s" s="0">
        <v>302</v>
      </c>
      <c r="CY25" s="30">
        <f>VLOOKUP(CU25,'שלב ג - תוצאות השיקוף'!$A$4:$B$339,2,0)</f>
        <v>0</v>
      </c>
      <c r="CZ25" s="23">
        <v>4</v>
      </c>
    </row>
    <row r="26" spans="98:104">
      <c r="CT26" s="153">
        <v>55</v>
      </c>
      <c r="CU26" t="s" s="0">
        <v>303</v>
      </c>
      <c r="CY26" s="30">
        <f>VLOOKUP(CU26,'שלב ג - תוצאות השיקוף'!$A$4:$B$339,2,0)</f>
        <v>0</v>
      </c>
      <c r="CZ26" s="23">
        <v>55</v>
      </c>
    </row>
    <row r="27" spans="98:104">
      <c r="CT27" s="153">
        <v>32988</v>
      </c>
      <c r="CU27" t="s" s="0">
        <v>304</v>
      </c>
      <c r="CY27" s="30">
        <f>VLOOKUP(CU27,'שלב ג - תוצאות השיקוף'!$A$4:$B$339,2,0)</f>
        <v>0</v>
      </c>
      <c r="CZ27" s="23">
        <v>32988</v>
      </c>
    </row>
    <row r="28" spans="98:104">
      <c r="CT28" s="153">
        <v>3</v>
      </c>
      <c r="CU28" t="s" s="0">
        <v>3</v>
      </c>
      <c r="CY28" s="30">
        <f>VLOOKUP(CU28,'שלב ג - תוצאות השיקוף'!$A$4:$B$339,2,0)</f>
        <v>0</v>
      </c>
      <c r="CZ28" s="23">
        <v>3</v>
      </c>
    </row>
    <row r="29" spans="98:104">
      <c r="CT29" s="153">
        <v>1</v>
      </c>
      <c r="CU29" t="s" s="0">
        <v>301</v>
      </c>
      <c r="CY29" s="30">
        <f>VLOOKUP(CU29,'שלב ג - תוצאות השיקוף'!$A$4:$B$339,2,0)</f>
        <v>0</v>
      </c>
      <c r="CZ29" s="23">
        <v>1</v>
      </c>
    </row>
    <row r="30" spans="98:104">
      <c r="CT30" s="153">
        <v>2</v>
      </c>
      <c r="CU30" t="s" s="0">
        <v>2</v>
      </c>
      <c r="CY30" s="30">
        <f>VLOOKUP(CU30,'שלב ג - תוצאות השיקוף'!$A$4:$B$339,2,0)</f>
        <v>0</v>
      </c>
      <c r="CZ30" s="23">
        <v>2</v>
      </c>
    </row>
    <row r="31" spans="98:104">
      <c r="CT31" s="153">
        <v>152</v>
      </c>
      <c r="CU31" t="s" s="0">
        <v>342</v>
      </c>
      <c r="CY31" s="30">
        <f>VLOOKUP(CU31,'שלב ג - תוצאות השיקוף'!$A$4:$B$339,2,0)</f>
        <v>0</v>
      </c>
      <c r="CZ31" s="23">
        <v>152</v>
      </c>
    </row>
    <row r="32" spans="98:104">
      <c r="CT32" s="153">
        <v>24</v>
      </c>
      <c r="CU32" t="s" s="0">
        <v>305</v>
      </c>
      <c r="CY32" s="30">
        <f>VLOOKUP(CU32,'שלב ג - תוצאות השיקוף'!$A$4:$B$339,2,0)</f>
        <v>0</v>
      </c>
      <c r="CZ32" s="23">
        <v>24</v>
      </c>
    </row>
    <row r="33" spans="98:104">
      <c r="CT33" s="153">
        <v>143</v>
      </c>
      <c r="CU33" t="s" s="0">
        <v>286</v>
      </c>
      <c r="CY33" s="30">
        <f>VLOOKUP(CU33,'שלב ג - תוצאות השיקוף'!$A$4:$B$339,2,0)</f>
        <v>0</v>
      </c>
      <c r="CZ33" s="23">
        <v>143</v>
      </c>
    </row>
    <row r="34" spans="98:104">
      <c r="CT34" s="153">
        <v>142</v>
      </c>
      <c r="CU34" t="s" s="0">
        <v>285</v>
      </c>
      <c r="CX34" s="0">
        <f>F34</f>
        <v>0</v>
      </c>
      <c r="CY34" s="30">
        <f>VLOOKUP(CU34,'שלב ג - תוצאות השיקוף'!$A$4:$B$339,2,0)</f>
        <v>0</v>
      </c>
      <c r="CZ34" s="23">
        <v>142</v>
      </c>
    </row>
    <row r="35" spans="98:104">
      <c r="CT35" s="153">
        <v>11</v>
      </c>
      <c r="CU35" t="s" s="0">
        <v>307</v>
      </c>
      <c r="CX35" s="0">
        <f>F35</f>
        <v>0</v>
      </c>
      <c r="CY35" s="30">
        <f>VLOOKUP(CU35,'שלב ג - תוצאות השיקוף'!$A$4:$B$339,2,0)</f>
        <v>0</v>
      </c>
      <c r="CZ35" s="23">
        <v>11</v>
      </c>
    </row>
    <row r="36" spans="98:104">
      <c r="CT36" s="153">
        <v>10</v>
      </c>
      <c r="CU36" t="s" s="0">
        <v>306</v>
      </c>
      <c r="CY36" s="30">
        <f>VLOOKUP(CU36,'שלב ג - תוצאות השיקוף'!$A$4:$B$339,2,0)</f>
        <v>0</v>
      </c>
      <c r="CZ36" s="23">
        <v>10</v>
      </c>
    </row>
    <row r="37" spans="98:104">
      <c r="CT37" s="153">
        <v>62</v>
      </c>
      <c r="CU37" t="s" s="0">
        <v>289</v>
      </c>
      <c r="CY37" s="30">
        <f>VLOOKUP(CU37,'שלב ג - תוצאות השיקוף'!$A$4:$B$339,2,0)</f>
        <v>0</v>
      </c>
      <c r="CZ37" s="23">
        <v>62</v>
      </c>
    </row>
    <row r="38" spans="98:104">
      <c r="CT38" s="153">
        <v>32993</v>
      </c>
      <c r="CU38" t="s" s="0">
        <v>308</v>
      </c>
      <c r="CY38" s="30">
        <f>VLOOKUP(CU38,'שלב ג - תוצאות השיקוף'!$A$4:$B$339,2,0)</f>
        <v>0</v>
      </c>
      <c r="CZ38" s="23">
        <v>32993</v>
      </c>
    </row>
    <row r="39" spans="98:104">
      <c r="CT39" s="153">
        <v>57</v>
      </c>
      <c r="CU39" t="s" s="0">
        <v>288</v>
      </c>
      <c r="CY39" s="30">
        <f>VLOOKUP(CU39,'שלב ג - תוצאות השיקוף'!$A$4:$B$339,2,0)</f>
        <v>0</v>
      </c>
      <c r="CZ39" s="23">
        <v>57</v>
      </c>
    </row>
    <row r="40" spans="98:104">
      <c r="CT40" s="153">
        <v>59</v>
      </c>
      <c r="CU40" t="s" s="0">
        <v>383</v>
      </c>
      <c r="CY40" s="30">
        <f>VLOOKUP(CU40,'שלב ג - תוצאות השיקוף'!$A$4:$B$339,2,0)</f>
        <v>0</v>
      </c>
      <c r="CZ40" s="23">
        <v>59</v>
      </c>
    </row>
    <row r="41" spans="98:104">
      <c r="CT41" s="153">
        <v>144</v>
      </c>
      <c r="CU41" t="s" s="0">
        <v>401</v>
      </c>
      <c r="CY41" s="30">
        <f>VLOOKUP(CU41,'שלב ג - תוצאות השיקוף'!$A$4:$B$339,2,0)</f>
        <v>0</v>
      </c>
      <c r="CZ41" s="23">
        <v>144</v>
      </c>
    </row>
    <row r="42" spans="98:104">
      <c r="CT42" s="153">
        <v>145</v>
      </c>
      <c r="CU42" t="s" s="0">
        <v>287</v>
      </c>
      <c r="CY42" s="30">
        <f>VLOOKUP(CU42,'שלב ג - תוצאות השיקוף'!$A$4:$B$339,2,0)</f>
        <v>0</v>
      </c>
      <c r="CZ42" s="23">
        <v>145</v>
      </c>
    </row>
    <row r="43" spans="98:104">
      <c r="CT43" s="153">
        <v>33000</v>
      </c>
      <c r="CU43" t="s" s="0">
        <v>311</v>
      </c>
      <c r="CY43" s="30">
        <f>VLOOKUP(CU43,'שלב ג - תוצאות השיקוף'!$A$4:$B$339,2,0)</f>
        <v>0</v>
      </c>
      <c r="CZ43" s="23">
        <v>33000</v>
      </c>
    </row>
    <row r="44" spans="98:104">
      <c r="CT44" s="153">
        <v>34</v>
      </c>
      <c r="CU44" t="s" s="0">
        <v>309</v>
      </c>
      <c r="CY44" s="30">
        <f>VLOOKUP(CU44,'שלב ג - תוצאות השיקוף'!$A$4:$B$339,2,0)</f>
        <v>0</v>
      </c>
      <c r="CZ44" s="23">
        <v>34</v>
      </c>
    </row>
    <row r="45" spans="98:104">
      <c r="CT45" s="153">
        <v>32999</v>
      </c>
      <c r="CU45" t="s" s="0">
        <v>310</v>
      </c>
      <c r="CX45" s="0">
        <f>F45</f>
        <v>0</v>
      </c>
      <c r="CY45" s="30">
        <f>VLOOKUP(CU45,'שלב ג - תוצאות השיקוף'!$A$4:$B$339,2,0)</f>
        <v>0</v>
      </c>
      <c r="CZ45" s="23">
        <v>32999</v>
      </c>
    </row>
    <row r="46" spans="98:104">
      <c r="CT46" s="153">
        <v>111</v>
      </c>
      <c r="CU46" t="s" s="0">
        <v>292</v>
      </c>
      <c r="CX46" s="0">
        <f>F46</f>
        <v>0</v>
      </c>
      <c r="CY46" s="30">
        <f>VLOOKUP(CU46,'שלב ג - תוצאות השיקוף'!$A$4:$B$339,2,0)</f>
        <v>0</v>
      </c>
      <c r="CZ46" s="23">
        <v>111</v>
      </c>
    </row>
    <row r="47" spans="98:104">
      <c r="CT47" s="153">
        <v>154</v>
      </c>
      <c r="CU47" t="s" s="0">
        <v>379</v>
      </c>
      <c r="CY47" s="30">
        <f>VLOOKUP(CU47,'שלב ג - תוצאות השיקוף'!$A$4:$B$339,2,0)</f>
        <v>0</v>
      </c>
      <c r="CZ47" s="23">
        <v>154</v>
      </c>
    </row>
    <row r="48" spans="98:104">
      <c r="CT48" s="153">
        <v>26</v>
      </c>
      <c r="CU48" t="s" s="0">
        <v>17</v>
      </c>
      <c r="CY48" s="30">
        <f>VLOOKUP(CU48,'שלב ג - תוצאות השיקוף'!$A$4:$B$339,2,0)</f>
        <v>0</v>
      </c>
      <c r="CZ48" s="23">
        <v>26</v>
      </c>
    </row>
    <row r="49" spans="98:104">
      <c r="CT49" s="153">
        <v>32992</v>
      </c>
      <c r="CU49" t="s" s="0">
        <v>384</v>
      </c>
      <c r="CY49" s="30">
        <f>VLOOKUP(CU49,'שלב ג - תוצאות השיקוף'!$A$4:$B$339,2,0)</f>
        <v>0</v>
      </c>
      <c r="CZ49" s="23">
        <v>32992</v>
      </c>
    </row>
    <row r="50" spans="98:104">
      <c r="CT50" s="153">
        <v>28</v>
      </c>
      <c r="CU50" t="s" s="0">
        <v>312</v>
      </c>
      <c r="CY50" s="30">
        <f>VLOOKUP(CU50,'שלב ג - תוצאות השיקוף'!$A$4:$B$339,2,0)</f>
        <v>0</v>
      </c>
      <c r="CZ50" s="23">
        <v>28</v>
      </c>
    </row>
    <row r="51" spans="98:104">
      <c r="CT51" s="153">
        <v>157</v>
      </c>
      <c r="CU51" t="s" s="0">
        <v>293</v>
      </c>
      <c r="CY51" s="30">
        <f>VLOOKUP(CU51,'שלב ג - תוצאות השיקוף'!$A$4:$B$339,2,0)</f>
        <v>0</v>
      </c>
      <c r="CZ51" s="23">
        <v>157</v>
      </c>
    </row>
    <row r="52" spans="98:104">
      <c r="CT52" s="153">
        <v>32</v>
      </c>
      <c r="CU52" t="s" s="0">
        <v>313</v>
      </c>
      <c r="CY52" s="30">
        <f>VLOOKUP(CU52,'שלב ג - תוצאות השיקוף'!$A$4:$B$339,2,0)</f>
        <v>0</v>
      </c>
      <c r="CZ52" s="23">
        <v>32</v>
      </c>
    </row>
    <row r="53" spans="98:104">
      <c r="CT53" s="153">
        <v>133</v>
      </c>
      <c r="CU53" t="s" s="0">
        <v>291</v>
      </c>
      <c r="CY53" s="30">
        <f>VLOOKUP(CU53,'שלב ג - תוצאות השיקוף'!$A$4:$B$339,2,0)</f>
        <v>0</v>
      </c>
      <c r="CZ53" s="23">
        <v>133</v>
      </c>
    </row>
    <row r="54" spans="98:104">
      <c r="CT54" s="153">
        <v>32997</v>
      </c>
      <c r="CU54" t="s" s="0">
        <v>316</v>
      </c>
      <c r="CY54" s="30">
        <f>VLOOKUP(CU54,'שלב ג - תוצאות השיקוף'!$A$4:$B$339,2,0)</f>
        <v>0</v>
      </c>
      <c r="CZ54" s="23">
        <v>32997</v>
      </c>
    </row>
    <row r="55" spans="98:104">
      <c r="CT55" s="153">
        <v>32996</v>
      </c>
      <c r="CU55" t="s" s="0">
        <v>315</v>
      </c>
      <c r="CY55" s="30">
        <f>VLOOKUP(CU55,'שלב ג - תוצאות השיקוף'!$A$4:$B$339,2,0)</f>
        <v>0</v>
      </c>
      <c r="CZ55" s="23">
        <v>32996</v>
      </c>
    </row>
    <row r="56" spans="98:104">
      <c r="CT56" s="153">
        <v>32995</v>
      </c>
      <c r="CU56" t="s" s="0">
        <v>314</v>
      </c>
      <c r="CY56" s="30">
        <f>VLOOKUP(CU56,'שלב ג - תוצאות השיקוף'!$A$4:$B$339,2,0)</f>
        <v>0</v>
      </c>
      <c r="CZ56" s="23">
        <v>32995</v>
      </c>
    </row>
    <row r="57" spans="98:104">
      <c r="CT57" s="153">
        <v>17</v>
      </c>
      <c r="CU57" t="s" s="0">
        <v>317</v>
      </c>
      <c r="CY57" s="30">
        <f>VLOOKUP(CU57,'שלב ג - תוצאות השיקוף'!$A$4:$B$339,2,0)</f>
        <v>0</v>
      </c>
      <c r="CZ57" s="23">
        <v>17</v>
      </c>
    </row>
    <row r="58" spans="98:104">
      <c r="CT58" s="153">
        <v>9</v>
      </c>
      <c r="CU58" t="s" s="0">
        <v>318</v>
      </c>
      <c r="CX58" s="0">
        <f>F58</f>
        <v>0</v>
      </c>
      <c r="CY58" s="30">
        <f>VLOOKUP(CU58,'שלב ג - תוצאות השיקוף'!$A$4:$B$339,2,0)</f>
        <v>0</v>
      </c>
      <c r="CZ58" s="23">
        <v>9</v>
      </c>
    </row>
    <row r="59" spans="98:104">
      <c r="CT59" s="153">
        <v>8</v>
      </c>
      <c r="CU59" t="s" s="0">
        <v>70</v>
      </c>
      <c r="CX59" s="0">
        <f>F59</f>
        <v>0</v>
      </c>
      <c r="CY59" s="30">
        <f>VLOOKUP(CU59,'שלב ג - תוצאות השיקוף'!$A$4:$B$339,2,0)</f>
        <v>0</v>
      </c>
      <c r="CZ59" s="23">
        <v>8</v>
      </c>
    </row>
    <row r="60" spans="98:104">
      <c r="CT60" s="153">
        <v>33004</v>
      </c>
      <c r="CU60" t="s" s="0">
        <v>319</v>
      </c>
      <c r="CY60" s="30">
        <f>VLOOKUP(CU60,'שלב ג - תוצאות השיקוף'!$A$4:$B$339,2,0)</f>
        <v>0</v>
      </c>
      <c r="CZ60" s="23">
        <v>33004</v>
      </c>
    </row>
    <row r="61" spans="98:104" ht="15" customHeight="1">
      <c r="CT61" s="153">
        <v>105</v>
      </c>
      <c r="CU61" t="s" s="0">
        <v>402</v>
      </c>
      <c r="CY61" s="30">
        <f>VLOOKUP(CU61,'שלב ג - תוצאות השיקוף'!$A$4:$B$339,2,0)</f>
        <v>0</v>
      </c>
      <c r="CZ61" s="23">
        <v>105</v>
      </c>
    </row>
    <row r="62" spans="98:104" ht="15" customHeight="1">
      <c r="CT62" s="153">
        <v>32994</v>
      </c>
      <c r="CU62" t="s" s="0">
        <v>323</v>
      </c>
      <c r="CY62" s="30">
        <f>VLOOKUP(CU62,'שלב ג - תוצאות השיקוף'!$A$4:$B$339,2,0)</f>
        <v>0</v>
      </c>
      <c r="CZ62" s="23">
        <v>32994</v>
      </c>
    </row>
    <row r="63" spans="98:104" ht="15" customHeight="1">
      <c r="CT63" s="153">
        <v>36</v>
      </c>
      <c r="CU63" t="s" s="0">
        <v>322</v>
      </c>
      <c r="CY63" s="30">
        <f>VLOOKUP(CU63,'שלב ג - תוצאות השיקוף'!$A$4:$B$339,2,0)</f>
        <v>0</v>
      </c>
      <c r="CZ63" s="23">
        <v>36</v>
      </c>
    </row>
    <row r="64" spans="98:104" ht="15" customHeight="1">
      <c r="CT64" s="153">
        <v>75</v>
      </c>
      <c r="CU64" t="s" s="0">
        <v>340</v>
      </c>
      <c r="CY64" s="30">
        <f>VLOOKUP(CU64,'שלב ג - תוצאות השיקוף'!$A$4:$B$339,2,0)</f>
        <v>0</v>
      </c>
      <c r="CZ64" s="23">
        <v>75</v>
      </c>
    </row>
    <row r="65" spans="98:104" ht="15" customHeight="1">
      <c r="CT65" s="153">
        <v>58</v>
      </c>
      <c r="CU65" t="s" s="0">
        <v>290</v>
      </c>
      <c r="CY65" s="30">
        <f>VLOOKUP(CU65,'שלב ג - תוצאות השיקוף'!$A$4:$B$339,2,0)</f>
        <v>0</v>
      </c>
      <c r="CZ65" s="23">
        <v>58</v>
      </c>
    </row>
    <row r="66" spans="98:104" ht="15" customHeight="1">
      <c r="CT66" s="153">
        <v>33</v>
      </c>
      <c r="CU66" t="s" s="0">
        <v>321</v>
      </c>
      <c r="CY66" s="30">
        <f>VLOOKUP(CU66,'שלב ג - תוצאות השיקוף'!$A$4:$B$339,2,0)</f>
        <v>0</v>
      </c>
      <c r="CZ66" s="23">
        <v>33</v>
      </c>
    </row>
    <row r="67" spans="98:104" ht="15" customHeight="1">
      <c r="CT67" s="153">
        <v>135</v>
      </c>
      <c r="CU67" t="s" s="0">
        <v>403</v>
      </c>
      <c r="CY67" s="30">
        <f>VLOOKUP(CU67,'שלב ג - תוצאות השיקוף'!$A$4:$B$339,2,0)</f>
        <v>0</v>
      </c>
      <c r="CZ67" s="23">
        <v>135</v>
      </c>
    </row>
    <row r="68" spans="98:104" ht="15" customHeight="1">
      <c r="CT68" s="153">
        <v>134</v>
      </c>
      <c r="CU68" t="s" s="0">
        <v>404</v>
      </c>
      <c r="CY68" s="30">
        <f>VLOOKUP(CU68,'שלב ג - תוצאות השיקוף'!$A$4:$B$339,2,0)</f>
        <v>0</v>
      </c>
      <c r="CZ68" s="23">
        <v>134</v>
      </c>
    </row>
    <row r="69" spans="98:104" ht="15" customHeight="1">
      <c r="CT69" s="153">
        <v>76</v>
      </c>
      <c r="CU69" t="s" s="0">
        <v>341</v>
      </c>
      <c r="CY69" s="30">
        <f>VLOOKUP(CU69,'שלב ג - תוצאות השיקוף'!$A$4:$B$339,2,0)</f>
        <v>0</v>
      </c>
      <c r="CZ69" s="23">
        <v>76</v>
      </c>
    </row>
    <row r="70" spans="98:104" ht="15" customHeight="1">
      <c r="CT70" s="153">
        <v>32998</v>
      </c>
      <c r="CU70" t="s" s="0">
        <v>324</v>
      </c>
      <c r="CY70" s="30">
        <f>VLOOKUP(CU70,'שלב ג - תוצאות השיקוף'!$A$4:$B$339,2,0)</f>
        <v>0</v>
      </c>
      <c r="CZ70" s="23">
        <v>32998</v>
      </c>
    </row>
    <row r="71" spans="98:104" ht="15" customHeight="1">
      <c r="CT71" s="153">
        <v>22</v>
      </c>
      <c r="CU71" t="s" s="0">
        <v>326</v>
      </c>
      <c r="CY71" s="30">
        <f>VLOOKUP(CU71,'שלב ג - תוצאות השיקוף'!$A$4:$B$339,2,0)</f>
        <v>0</v>
      </c>
      <c r="CZ71" s="23">
        <v>22</v>
      </c>
    </row>
    <row r="72" spans="98:104" ht="15" customHeight="1">
      <c r="CT72" s="153">
        <v>21</v>
      </c>
      <c r="CU72" t="s" s="0">
        <v>325</v>
      </c>
      <c r="CY72" s="30">
        <f>VLOOKUP(CU72,'שלב ג - תוצאות השיקוף'!$A$4:$B$339,2,0)</f>
        <v>0</v>
      </c>
      <c r="CZ72" s="23">
        <v>21</v>
      </c>
    </row>
    <row r="73" spans="98:104" ht="15" customHeight="1">
      <c r="CT73" s="153">
        <v>79</v>
      </c>
      <c r="CU73" t="s" s="0">
        <v>278</v>
      </c>
      <c r="CY73" s="30">
        <f>VLOOKUP(CU73,'שלב ג - תוצאות השיקוף'!$A$4:$B$339,2,0)</f>
        <v>0</v>
      </c>
      <c r="CZ73" s="23">
        <v>79</v>
      </c>
    </row>
    <row r="74" spans="98:104" ht="15" customHeight="1">
      <c r="CT74" s="153">
        <v>82</v>
      </c>
      <c r="CU74" t="s" s="0">
        <v>280</v>
      </c>
      <c r="CY74" s="30">
        <f>VLOOKUP(CU74,'שלב ג - תוצאות השיקוף'!$A$4:$B$339,2,0)</f>
        <v>0</v>
      </c>
      <c r="CZ74" s="23">
        <v>82</v>
      </c>
    </row>
    <row r="75" spans="98:104" ht="15" customHeight="1">
      <c r="CT75" s="153">
        <v>32989</v>
      </c>
      <c r="CU75" t="s" s="0">
        <v>328</v>
      </c>
      <c r="CY75" s="30">
        <f>VLOOKUP(CU75,'שלב ג - תוצאות השיקוף'!$A$4:$B$339,2,0)</f>
        <v>0</v>
      </c>
      <c r="CZ75" s="23">
        <v>32989</v>
      </c>
    </row>
    <row r="76" spans="98:104" ht="15" customHeight="1">
      <c r="CT76" s="153">
        <v>83</v>
      </c>
      <c r="CU76" t="s" s="0">
        <v>281</v>
      </c>
      <c r="CY76" s="30">
        <f>VLOOKUP(CU76,'שלב ג - תוצאות השיקוף'!$A$4:$B$339,2,0)</f>
        <v>0</v>
      </c>
      <c r="CZ76" s="23">
        <v>83</v>
      </c>
    </row>
    <row r="77" spans="98:104" ht="15" customHeight="1">
      <c r="CT77" s="153">
        <v>80</v>
      </c>
      <c r="CU77" t="s" s="0">
        <v>279</v>
      </c>
      <c r="CY77" s="30">
        <f>VLOOKUP(CU77,'שלב ג - תוצאות השיקוף'!$A$4:$B$339,2,0)</f>
        <v>0</v>
      </c>
      <c r="CZ77" s="23">
        <v>80</v>
      </c>
    </row>
    <row r="78" spans="98:104" ht="15" customHeight="1">
      <c r="CT78" s="153">
        <v>31</v>
      </c>
      <c r="CU78" t="s" s="0">
        <v>18</v>
      </c>
      <c r="CY78" s="30">
        <f>VLOOKUP(CU78,'שלב ג - תוצאות השיקוף'!$A$4:$B$339,2,0)</f>
        <v>0</v>
      </c>
      <c r="CZ78" s="23">
        <v>31</v>
      </c>
    </row>
    <row r="79" spans="98:104" ht="15" customHeight="1">
      <c r="CT79" s="153">
        <v>32990</v>
      </c>
      <c r="CU79" t="s" s="0">
        <v>329</v>
      </c>
      <c r="CY79" s="30">
        <f>VLOOKUP(CU79,'שלב ג - תוצאות השיקוף'!$A$4:$B$339,2,0)</f>
        <v>0</v>
      </c>
      <c r="CZ79" s="23">
        <v>32990</v>
      </c>
    </row>
    <row r="80" spans="98:104" ht="15" customHeight="1">
      <c r="CT80" s="153">
        <v>172</v>
      </c>
      <c r="CU80" t="s" s="0">
        <v>327</v>
      </c>
      <c r="CY80" s="30">
        <f>VLOOKUP(CU80,'שלב ג - תוצאות השיקוף'!$A$4:$B$339,2,0)</f>
        <v>0</v>
      </c>
      <c r="CZ80" s="23">
        <v>172</v>
      </c>
    </row>
    <row r="81" spans="98:104" ht="15" customHeight="1">
      <c r="CT81" s="153">
        <v>96</v>
      </c>
      <c r="CU81" t="s" s="0">
        <v>338</v>
      </c>
      <c r="CY81" s="30">
        <f>VLOOKUP(CU81,'שלב ג - תוצאות השיקוף'!$A$4:$B$339,2,0)</f>
        <v>0</v>
      </c>
      <c r="CZ81" s="23">
        <v>96</v>
      </c>
    </row>
    <row r="82" spans="98:104" ht="15" customHeight="1">
      <c r="CT82" s="153">
        <v>92</v>
      </c>
      <c r="CU82" t="s" s="0">
        <v>336</v>
      </c>
      <c r="CY82" s="30">
        <f>VLOOKUP(CU82,'שלב ג - תוצאות השיקוף'!$A$4:$B$339,2,0)</f>
        <v>0</v>
      </c>
      <c r="CZ82" s="23">
        <v>92</v>
      </c>
    </row>
    <row r="83" spans="98:104" ht="15" customHeight="1">
      <c r="CT83" s="153">
        <v>94</v>
      </c>
      <c r="CU83" t="s" s="0">
        <v>337</v>
      </c>
      <c r="CY83" s="30">
        <f>VLOOKUP(CU83,'שלב ג - תוצאות השיקוף'!$A$4:$B$339,2,0)</f>
        <v>0</v>
      </c>
      <c r="CZ83" s="23">
        <v>94</v>
      </c>
    </row>
    <row r="84" spans="98:104" ht="15" customHeight="1">
      <c r="CT84" s="153">
        <v>91</v>
      </c>
      <c r="CU84" t="s" s="0">
        <v>335</v>
      </c>
      <c r="CY84" s="30">
        <f>VLOOKUP(CU84,'שלב ג - תוצאות השיקוף'!$A$4:$B$339,2,0)</f>
        <v>0</v>
      </c>
      <c r="CZ84" s="23">
        <v>91</v>
      </c>
    </row>
    <row r="85" spans="98:104" ht="15" customHeight="1">
      <c r="CT85" s="153">
        <v>25</v>
      </c>
      <c r="CU85" t="s" s="0">
        <v>405</v>
      </c>
      <c r="CY85" s="30">
        <f>VLOOKUP(CU85,'שלב ג - תוצאות השיקוף'!$A$4:$B$339,2,0)</f>
        <v>0</v>
      </c>
      <c r="CZ85" s="23">
        <v>25</v>
      </c>
    </row>
    <row r="86" spans="98:104" ht="15" customHeight="1">
      <c r="CT86" s="153">
        <v>19</v>
      </c>
      <c r="CU86" t="s" s="0">
        <v>320</v>
      </c>
      <c r="CY86" s="30">
        <f>VLOOKUP(CU86,'שלב ג - תוצאות השיקוף'!$A$4:$B$339,2,0)</f>
        <v>0</v>
      </c>
      <c r="CZ86" s="23">
        <v>19</v>
      </c>
    </row>
    <row r="87" spans="98:104" ht="15" customHeight="1">
      <c r="CT87" s="153">
        <v>16</v>
      </c>
      <c r="CU87" t="s" s="0">
        <v>330</v>
      </c>
      <c r="CY87" s="30">
        <f>VLOOKUP(CU87,'שלב ג - תוצאות השיקוף'!$A$4:$B$339,2,0)</f>
        <v>0</v>
      </c>
      <c r="CZ87" s="23">
        <v>16</v>
      </c>
    </row>
    <row r="88" spans="98:104" ht="15" customHeight="1">
      <c r="CT88" s="153">
        <v>32991</v>
      </c>
      <c r="CU88" t="s" s="0">
        <v>331</v>
      </c>
      <c r="CY88" s="30">
        <f>VLOOKUP(CU88,'שלב ג - תוצאות השיקוף'!$A$4:$B$339,2,0)</f>
        <v>0</v>
      </c>
      <c r="CZ88" s="23">
        <v>32991</v>
      </c>
    </row>
    <row r="89" spans="98:104" ht="15" customHeight="1" thickBot="1">
      <c r="CT89" s="154">
        <v>181</v>
      </c>
      <c r="CU89" s="151" t="s">
        <v>339</v>
      </c>
      <c r="CV89" s="147"/>
      <c r="CW89" s="147"/>
      <c r="CY89" s="30">
        <f>VLOOKUP(CU89,'שלב ג - תוצאות השיקוף'!$A$4:$B$339,2,0)</f>
        <v>0</v>
      </c>
      <c r="CZ89" s="23">
        <v>181</v>
      </c>
    </row>
    <row r="90" spans="98:104" ht="15" customHeight="1">
      <c r="CT90" s="155">
        <v>48</v>
      </c>
      <c r="CU90" t="s" s="0">
        <v>277</v>
      </c>
      <c r="CY90" s="30">
        <f>VLOOKUP(CU90,'שלב ג - תוצאות השיקוף'!$D$4:$E$66,2,0)</f>
        <v>0</v>
      </c>
      <c r="CZ90" s="23">
        <v>48</v>
      </c>
    </row>
    <row r="91" spans="98:104" ht="15" customHeight="1">
      <c r="CT91" s="153">
        <v>38</v>
      </c>
      <c r="CU91" t="s" s="0">
        <v>394</v>
      </c>
      <c r="CY91" s="30">
        <f>VLOOKUP(CU91,'שלב ג - תוצאות השיקוף'!$D$4:$E$66,2,0)</f>
        <v>0</v>
      </c>
      <c r="CZ91" s="23">
        <v>38</v>
      </c>
    </row>
    <row r="92" spans="98:104" ht="15" customHeight="1">
      <c r="CT92" s="153">
        <v>39</v>
      </c>
      <c r="CU92" t="s" s="0">
        <v>395</v>
      </c>
      <c r="CY92" s="30">
        <f>VLOOKUP(CU92,'שלב ג - תוצאות השיקוף'!$D$4:$E$66,2,0)</f>
        <v>0</v>
      </c>
      <c r="CZ92" s="23">
        <v>39</v>
      </c>
    </row>
    <row r="93" spans="98:104" ht="15" customHeight="1">
      <c r="CT93" s="153">
        <v>40</v>
      </c>
      <c r="CU93" t="s" s="0">
        <v>396</v>
      </c>
      <c r="CY93" s="30">
        <f>VLOOKUP(CU93,'שלב ג - תוצאות השיקוף'!$D$4:$E$66,2,0)</f>
        <v>0</v>
      </c>
      <c r="CZ93" s="23">
        <v>40</v>
      </c>
    </row>
    <row r="94" spans="98:104" ht="15" customHeight="1">
      <c r="CT94" s="153">
        <v>41</v>
      </c>
      <c r="CU94" t="s" s="0">
        <v>397</v>
      </c>
      <c r="CY94" s="30">
        <f>VLOOKUP(CU94,'שלב ג - תוצאות השיקוף'!$D$4:$E$66,2,0)</f>
        <v>0</v>
      </c>
      <c r="CZ94" s="23">
        <v>41</v>
      </c>
    </row>
    <row r="95" spans="98:104" ht="15" customHeight="1">
      <c r="CT95" s="152">
        <v>44</v>
      </c>
      <c r="CU95" t="s" s="0">
        <v>7</v>
      </c>
      <c r="CY95" s="30">
        <f>VLOOKUP(CU95,'שלב ג - תוצאות השיקוף'!$D$4:$E$66,2,0)</f>
        <v>0</v>
      </c>
      <c r="CZ95" s="23">
        <v>44</v>
      </c>
    </row>
    <row r="96" spans="98:104" ht="15" customHeight="1">
      <c r="CT96" s="152">
        <v>33002</v>
      </c>
      <c r="CU96" t="s" s="0">
        <v>276</v>
      </c>
      <c r="CY96" s="30">
        <f>VLOOKUP(CU96,'שלב ג - תוצאות השיקוף'!$D$4:$E$66,2,0)</f>
        <v>0</v>
      </c>
      <c r="CZ96" s="23">
        <v>33002</v>
      </c>
    </row>
    <row r="97" spans="98:104" ht="15" customHeight="1">
      <c r="CT97" s="153">
        <v>33001</v>
      </c>
      <c r="CU97" t="s" s="0">
        <v>275</v>
      </c>
      <c r="CY97" s="30">
        <f>VLOOKUP(CU97,'שלב ג - תוצאות השיקוף'!$D$4:$E$66,2,0)</f>
        <v>0</v>
      </c>
      <c r="CZ97" s="23">
        <v>33001</v>
      </c>
    </row>
    <row r="98" spans="98:104" ht="15" customHeight="1">
      <c r="CT98" s="153">
        <v>42</v>
      </c>
      <c r="CU98" t="s" s="0">
        <v>5</v>
      </c>
      <c r="CY98" s="30">
        <f>VLOOKUP(CU98,'שלב ג - תוצאות השיקוף'!$D$4:$E$66,2,0)</f>
        <v>0</v>
      </c>
      <c r="CZ98" s="23">
        <v>42</v>
      </c>
    </row>
    <row r="99" spans="98:104" ht="15" customHeight="1">
      <c r="CT99" s="153">
        <v>43</v>
      </c>
      <c r="CU99" t="s" s="0">
        <v>274</v>
      </c>
      <c r="CY99" s="30">
        <f>VLOOKUP(CU99,'שלב ג - תוצאות השיקוף'!$D$4:$E$66,2,0)</f>
        <v>0</v>
      </c>
      <c r="CZ99" s="23">
        <v>43</v>
      </c>
    </row>
    <row r="100" spans="98:104" ht="15" customHeight="1">
      <c r="CT100" s="153">
        <v>47</v>
      </c>
      <c r="CU100" t="s" s="0">
        <v>11</v>
      </c>
      <c r="CY100" s="30">
        <f>VLOOKUP(CU100,'שלב ג - תוצאות השיקוף'!$D$4:$E$66,2,0)</f>
        <v>0</v>
      </c>
      <c r="CZ100" s="23">
        <v>47</v>
      </c>
    </row>
    <row r="101" spans="98:104" ht="15" customHeight="1">
      <c r="CT101" s="153">
        <v>33003</v>
      </c>
      <c r="CU101" t="s" s="0">
        <v>273</v>
      </c>
      <c r="CY101" s="30">
        <f>VLOOKUP(CU101,'שלב ג - תוצאות השיקוף'!$D$4:$E$66,2,0)</f>
        <v>0</v>
      </c>
      <c r="CZ101" s="23">
        <v>33003</v>
      </c>
    </row>
    <row r="102" spans="98:104" ht="15" customHeight="1">
      <c r="CT102" s="153">
        <v>49</v>
      </c>
      <c r="CU102" t="s" s="0">
        <v>72</v>
      </c>
      <c r="CY102" s="30">
        <f>VLOOKUP(CU102,'שלב ג - תוצאות השיקוף'!$D$4:$E$66,2,0)</f>
        <v>0</v>
      </c>
      <c r="CZ102" s="23">
        <v>49</v>
      </c>
    </row>
    <row r="103" spans="98:104" ht="15" customHeight="1">
      <c r="CT103" s="153">
        <v>45</v>
      </c>
      <c r="CU103" t="s" s="0">
        <v>272</v>
      </c>
      <c r="CY103" s="30">
        <f>VLOOKUP(CU103,'שלב ג - תוצאות השיקוף'!$D$4:$E$66,2,0)</f>
        <v>0</v>
      </c>
      <c r="CZ103" s="23">
        <v>45</v>
      </c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>
  <dimension ref="A1:G17"/>
  <sheetViews>
    <sheetView workbookViewId="0" rightToLeft="true"/>
  </sheetViews>
  <sheetFormatPr defaultRowHeight="15.0"/>
  <cols>
    <col min="1" max="1" width="25.0" customWidth="true" bestFit="true"/>
    <col min="2" max="2" width="25.0" customWidth="true" bestFit="true"/>
    <col min="3" max="3" width="25.0" customWidth="true" bestFit="true"/>
    <col min="4" max="4" width="25.0" customWidth="true" bestFit="true"/>
    <col min="5" max="5" width="25.0" customWidth="true" bestFit="true"/>
    <col min="6" max="6" width="25.0" customWidth="true" bestFit="true"/>
    <col min="7" max="7" width="25.0" customWidth="true" bestFit="true"/>
  </cols>
  <sheetData>
    <row r="1">
      <c r="A1" t="s" s="0">
        <v>789</v>
      </c>
      <c r="B1" t="n" s="233">
        <v>46160.389398402775</v>
      </c>
    </row>
    <row r="2">
      <c r="A2" s="232" t="s">
        <v>790</v>
      </c>
      <c r="B2" s="232" t="s">
        <v>791</v>
      </c>
      <c r="C2" s="232" t="s">
        <v>792</v>
      </c>
      <c r="D2" s="232" t="s">
        <v>793</v>
      </c>
      <c r="E2" s="232" t="s">
        <v>794</v>
      </c>
      <c r="F2" s="232" t="s">
        <v>795</v>
      </c>
      <c r="G2" s="232" t="s">
        <v>796</v>
      </c>
    </row>
    <row r="3">
      <c r="A3" t="s" s="259">
        <v>797</v>
      </c>
      <c r="B3" t="s" s="230">
        <v>798</v>
      </c>
      <c r="C3" t="s" s="230">
        <v>430</v>
      </c>
      <c r="D3" t="n" s="230">
        <v>152.0</v>
      </c>
      <c r="E3" t="n" s="231">
        <v>15325.959999999994</v>
      </c>
      <c r="F3" t="n" s="233">
        <v>46053.0</v>
      </c>
      <c r="G3" t="n" s="233">
        <v>46023.0</v>
      </c>
    </row>
    <row r="4">
      <c r="A4" t="s" s="259">
        <v>797</v>
      </c>
      <c r="B4" t="s" s="230">
        <v>799</v>
      </c>
      <c r="C4" t="s" s="230">
        <v>462</v>
      </c>
      <c r="D4" t="n" s="230">
        <v>7.0</v>
      </c>
      <c r="E4" t="n" s="231">
        <v>373.8299999999999</v>
      </c>
      <c r="F4" t="n" s="233">
        <v>46051.0</v>
      </c>
      <c r="G4" t="n" s="233">
        <v>46026.0</v>
      </c>
    </row>
    <row r="5">
      <c r="A5" t="s" s="259">
        <v>797</v>
      </c>
      <c r="B5" t="s" s="230">
        <v>800</v>
      </c>
      <c r="C5" t="s" s="230">
        <v>502</v>
      </c>
      <c r="D5" t="n" s="230">
        <v>2.0</v>
      </c>
      <c r="E5" t="n" s="231">
        <v>364.85</v>
      </c>
      <c r="F5" t="n" s="233">
        <v>46043.0</v>
      </c>
      <c r="G5" t="n" s="233">
        <v>46036.0</v>
      </c>
    </row>
    <row r="6">
      <c r="A6" t="s" s="259">
        <v>801</v>
      </c>
      <c r="B6" t="s" s="230">
        <v>798</v>
      </c>
      <c r="C6" t="s" s="230">
        <v>705</v>
      </c>
      <c r="D6" t="n" s="230">
        <v>133.0</v>
      </c>
      <c r="E6" t="n" s="231">
        <v>10589.17</v>
      </c>
      <c r="F6" t="n" s="233">
        <v>46142.0</v>
      </c>
      <c r="G6" t="n" s="233">
        <v>46113.0</v>
      </c>
    </row>
    <row r="7">
      <c r="A7" t="s" s="259">
        <v>801</v>
      </c>
      <c r="B7" t="s" s="230">
        <v>799</v>
      </c>
      <c r="C7" t="s" s="230">
        <v>718</v>
      </c>
      <c r="D7" t="n" s="230">
        <v>4.0</v>
      </c>
      <c r="E7" t="n" s="231">
        <v>155.70000000000002</v>
      </c>
      <c r="F7" t="n" s="233">
        <v>46135.0</v>
      </c>
      <c r="G7" t="n" s="233">
        <v>46115.0</v>
      </c>
    </row>
    <row r="8">
      <c r="A8" t="s" s="259">
        <v>801</v>
      </c>
      <c r="B8" t="s" s="230">
        <v>800</v>
      </c>
      <c r="C8" t="s" s="230">
        <v>719</v>
      </c>
      <c r="D8" t="n" s="230">
        <v>5.0</v>
      </c>
      <c r="E8" t="n" s="231">
        <v>786.6500000000001</v>
      </c>
      <c r="F8" t="n" s="233">
        <v>46141.0</v>
      </c>
      <c r="G8" t="n" s="233">
        <v>46115.0</v>
      </c>
    </row>
    <row r="9">
      <c r="A9" t="s" s="259">
        <v>802</v>
      </c>
      <c r="B9" t="s" s="230">
        <v>798</v>
      </c>
      <c r="C9" t="s" s="230">
        <v>565</v>
      </c>
      <c r="D9" t="n" s="230">
        <v>144.0</v>
      </c>
      <c r="E9" t="n" s="231">
        <v>10633.509999999997</v>
      </c>
      <c r="F9" t="n" s="233">
        <v>46081.0</v>
      </c>
      <c r="G9" t="n" s="233">
        <v>46054.0</v>
      </c>
    </row>
    <row r="10">
      <c r="A10" t="s" s="259">
        <v>802</v>
      </c>
      <c r="B10" t="s" s="230">
        <v>799</v>
      </c>
      <c r="C10" t="s" s="230">
        <v>580</v>
      </c>
      <c r="D10" t="n" s="230">
        <v>5.0</v>
      </c>
      <c r="E10" t="n" s="231">
        <v>257.86</v>
      </c>
      <c r="F10" t="n" s="233">
        <v>46074.0</v>
      </c>
      <c r="G10" t="n" s="233">
        <v>46057.0</v>
      </c>
    </row>
    <row r="11">
      <c r="A11" t="s" s="259">
        <v>802</v>
      </c>
      <c r="B11" t="s" s="230">
        <v>800</v>
      </c>
      <c r="C11" t="s" s="230">
        <v>576</v>
      </c>
      <c r="D11" t="n" s="230">
        <v>4.0</v>
      </c>
      <c r="E11" t="n" s="231">
        <v>729.7</v>
      </c>
      <c r="F11" t="n" s="233">
        <v>46071.0</v>
      </c>
      <c r="G11" t="n" s="233">
        <v>46055.0</v>
      </c>
    </row>
    <row r="12">
      <c r="A12" t="s" s="259">
        <v>803</v>
      </c>
      <c r="B12" t="s" s="230">
        <v>804</v>
      </c>
      <c r="C12" t="s" s="230">
        <v>645</v>
      </c>
      <c r="D12" t="n" s="230">
        <v>38.0</v>
      </c>
      <c r="E12" t="n" s="231">
        <v>37661.95</v>
      </c>
      <c r="F12" t="n" s="233">
        <v>46112.0</v>
      </c>
      <c r="G12" t="n" s="233">
        <v>46082.0</v>
      </c>
    </row>
    <row r="13">
      <c r="A13" t="s" s="259">
        <v>805</v>
      </c>
      <c r="B13" t="s" s="230">
        <v>804</v>
      </c>
      <c r="C13" t="s" s="230">
        <v>443</v>
      </c>
      <c r="D13" t="n" s="230">
        <v>36.0</v>
      </c>
      <c r="E13" t="n" s="231">
        <v>30667.989999999998</v>
      </c>
      <c r="F13" t="n" s="233">
        <v>46052.0</v>
      </c>
      <c r="G13" t="n" s="233">
        <v>46023.0</v>
      </c>
    </row>
    <row r="14">
      <c r="A14" t="s" s="259">
        <v>806</v>
      </c>
      <c r="B14" t="s" s="230">
        <v>798</v>
      </c>
      <c r="C14" t="s" s="230">
        <v>647</v>
      </c>
      <c r="D14" t="n" s="230">
        <v>109.0</v>
      </c>
      <c r="E14" t="n" s="231">
        <v>10630.420000000002</v>
      </c>
      <c r="F14" t="n" s="233">
        <v>46112.0</v>
      </c>
      <c r="G14" t="n" s="233">
        <v>46082.0</v>
      </c>
    </row>
    <row r="15">
      <c r="A15" t="s" s="259">
        <v>806</v>
      </c>
      <c r="B15" t="s" s="230">
        <v>799</v>
      </c>
      <c r="C15" t="s" s="230">
        <v>478</v>
      </c>
      <c r="D15" t="n" s="230">
        <v>14.0</v>
      </c>
      <c r="E15" t="n" s="231">
        <v>377.36</v>
      </c>
      <c r="F15" t="n" s="233">
        <v>46108.0</v>
      </c>
      <c r="G15" t="n" s="233">
        <v>46029.0</v>
      </c>
    </row>
    <row r="16">
      <c r="A16" t="s" s="259">
        <v>807</v>
      </c>
      <c r="B16" t="s" s="230">
        <v>804</v>
      </c>
      <c r="C16" t="s" s="230">
        <v>567</v>
      </c>
      <c r="D16" t="n" s="230">
        <v>29.0</v>
      </c>
      <c r="E16" t="n" s="231">
        <v>23189.83</v>
      </c>
      <c r="F16" t="n" s="233">
        <v>46077.0</v>
      </c>
      <c r="G16" t="n" s="233">
        <v>46054.0</v>
      </c>
    </row>
    <row r="17">
      <c r="A17" t="s" s="259">
        <v>808</v>
      </c>
      <c r="B17" t="s" s="230">
        <v>804</v>
      </c>
      <c r="C17" t="s" s="230">
        <v>707</v>
      </c>
      <c r="D17" t="n" s="230">
        <v>29.0</v>
      </c>
      <c r="E17" t="n" s="231">
        <v>26575.109999999997</v>
      </c>
      <c r="F17" t="n" s="233">
        <v>46142.0</v>
      </c>
      <c r="G17" t="n" s="233">
        <v>46113.0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P158"/>
  <sheetViews>
    <sheetView workbookViewId="0" rightToLeft="true"/>
  </sheetViews>
  <sheetFormatPr defaultRowHeight="15.0"/>
  <sheetData>
    <row r="1">
      <c r="A1" s="260" t="s">
        <v>809</v>
      </c>
      <c r="C1" s="261" t="s">
        <v>433</v>
      </c>
    </row>
    <row r="2">
      <c r="A2" s="262" t="s">
        <v>810</v>
      </c>
      <c r="C2" s="263" t="s">
        <v>433</v>
      </c>
    </row>
    <row r="3">
      <c r="A3" s="264" t="s">
        <v>811</v>
      </c>
      <c r="C3" s="265" t="s">
        <v>433</v>
      </c>
    </row>
    <row r="4">
      <c r="A4" s="266" t="s">
        <v>812</v>
      </c>
      <c r="B4" s="267" t="s">
        <v>813</v>
      </c>
      <c r="C4" s="268" t="s">
        <v>814</v>
      </c>
      <c r="D4" s="269" t="s">
        <v>815</v>
      </c>
      <c r="E4" s="270" t="s">
        <v>816</v>
      </c>
      <c r="F4" s="271" t="s">
        <v>817</v>
      </c>
      <c r="G4" s="272" t="s">
        <v>818</v>
      </c>
      <c r="H4" s="273" t="s">
        <v>819</v>
      </c>
      <c r="I4" s="274" t="s">
        <v>820</v>
      </c>
      <c r="J4" s="275" t="s">
        <v>821</v>
      </c>
      <c r="K4" s="276" t="s">
        <v>10</v>
      </c>
      <c r="L4" s="277" t="s">
        <v>822</v>
      </c>
      <c r="M4" s="278" t="s">
        <v>823</v>
      </c>
      <c r="N4" s="279" t="s">
        <v>824</v>
      </c>
      <c r="O4" s="280" t="s">
        <v>825</v>
      </c>
      <c r="P4" s="281" t="s">
        <v>826</v>
      </c>
    </row>
    <row r="5">
      <c r="A5" s="282" t="s">
        <v>827</v>
      </c>
      <c r="B5" s="283" t="s">
        <v>432</v>
      </c>
      <c r="C5" s="284" t="s">
        <v>828</v>
      </c>
      <c r="D5" s="285" t="s">
        <v>435</v>
      </c>
      <c r="E5" s="286" t="s">
        <v>829</v>
      </c>
      <c r="F5" s="287" t="n">
        <v>22.0</v>
      </c>
      <c r="G5" s="288" t="s">
        <v>434</v>
      </c>
      <c r="H5" s="289" t="n">
        <v>22.0</v>
      </c>
      <c r="I5" s="290" t="s">
        <v>434</v>
      </c>
      <c r="J5" s="291" t="s">
        <v>830</v>
      </c>
      <c r="K5" s="292" t="s">
        <v>433</v>
      </c>
      <c r="L5" s="293" t="s">
        <v>433</v>
      </c>
      <c r="M5" s="294" t="s">
        <v>433</v>
      </c>
      <c r="N5" s="295" t="s">
        <v>433</v>
      </c>
      <c r="O5" s="296" t="s">
        <v>831</v>
      </c>
      <c r="P5" s="297" t="s">
        <v>433</v>
      </c>
    </row>
    <row r="6">
      <c r="A6" s="298" t="s">
        <v>827</v>
      </c>
      <c r="B6" s="299" t="s">
        <v>436</v>
      </c>
      <c r="C6" s="300" t="s">
        <v>832</v>
      </c>
      <c r="D6" s="301" t="s">
        <v>435</v>
      </c>
      <c r="E6" s="302" t="s">
        <v>829</v>
      </c>
      <c r="F6" s="303" t="n">
        <v>80.0</v>
      </c>
      <c r="G6" s="304" t="s">
        <v>434</v>
      </c>
      <c r="H6" s="305" t="n">
        <v>80.0</v>
      </c>
      <c r="I6" s="306" t="s">
        <v>434</v>
      </c>
      <c r="J6" s="307" t="s">
        <v>830</v>
      </c>
      <c r="K6" s="308" t="s">
        <v>437</v>
      </c>
      <c r="L6" s="309" t="s">
        <v>433</v>
      </c>
      <c r="M6" s="310" t="s">
        <v>433</v>
      </c>
      <c r="N6" s="311" t="s">
        <v>433</v>
      </c>
      <c r="O6" s="312" t="s">
        <v>833</v>
      </c>
      <c r="P6" s="313" t="s">
        <v>433</v>
      </c>
    </row>
    <row r="7">
      <c r="A7" s="314" t="s">
        <v>827</v>
      </c>
      <c r="B7" s="315" t="s">
        <v>438</v>
      </c>
      <c r="C7" s="316" t="s">
        <v>834</v>
      </c>
      <c r="D7" s="317" t="s">
        <v>435</v>
      </c>
      <c r="E7" s="318" t="s">
        <v>829</v>
      </c>
      <c r="F7" s="319" t="n">
        <v>72.0</v>
      </c>
      <c r="G7" s="320" t="s">
        <v>434</v>
      </c>
      <c r="H7" s="321" t="n">
        <v>72.0</v>
      </c>
      <c r="I7" s="322" t="s">
        <v>434</v>
      </c>
      <c r="J7" s="323" t="s">
        <v>830</v>
      </c>
      <c r="K7" s="324" t="s">
        <v>433</v>
      </c>
      <c r="L7" s="325" t="s">
        <v>433</v>
      </c>
      <c r="M7" s="326" t="s">
        <v>433</v>
      </c>
      <c r="N7" s="327" t="s">
        <v>433</v>
      </c>
      <c r="O7" s="328" t="s">
        <v>835</v>
      </c>
      <c r="P7" s="329" t="s">
        <v>433</v>
      </c>
    </row>
    <row r="8">
      <c r="A8" s="330" t="s">
        <v>827</v>
      </c>
      <c r="B8" s="331" t="s">
        <v>438</v>
      </c>
      <c r="C8" s="332" t="s">
        <v>834</v>
      </c>
      <c r="D8" s="333" t="s">
        <v>435</v>
      </c>
      <c r="E8" s="334" t="s">
        <v>829</v>
      </c>
      <c r="F8" s="335" t="n">
        <v>108.0</v>
      </c>
      <c r="G8" s="336" t="s">
        <v>434</v>
      </c>
      <c r="H8" s="337" t="n">
        <v>108.0</v>
      </c>
      <c r="I8" s="338" t="s">
        <v>434</v>
      </c>
      <c r="J8" s="339" t="s">
        <v>830</v>
      </c>
      <c r="K8" s="340" t="s">
        <v>433</v>
      </c>
      <c r="L8" s="341" t="s">
        <v>433</v>
      </c>
      <c r="M8" s="342" t="s">
        <v>433</v>
      </c>
      <c r="N8" s="343" t="s">
        <v>433</v>
      </c>
      <c r="O8" s="344" t="s">
        <v>835</v>
      </c>
      <c r="P8" s="345" t="s">
        <v>433</v>
      </c>
    </row>
    <row r="9">
      <c r="A9" s="346" t="s">
        <v>827</v>
      </c>
      <c r="B9" s="347" t="s">
        <v>439</v>
      </c>
      <c r="C9" s="348" t="s">
        <v>828</v>
      </c>
      <c r="D9" s="349" t="s">
        <v>435</v>
      </c>
      <c r="E9" s="350" t="s">
        <v>829</v>
      </c>
      <c r="F9" s="351" t="n">
        <v>36.99</v>
      </c>
      <c r="G9" s="352" t="s">
        <v>434</v>
      </c>
      <c r="H9" s="353" t="n">
        <v>36.99</v>
      </c>
      <c r="I9" s="354" t="s">
        <v>434</v>
      </c>
      <c r="J9" s="355" t="s">
        <v>830</v>
      </c>
      <c r="K9" s="356" t="s">
        <v>433</v>
      </c>
      <c r="L9" s="357" t="s">
        <v>433</v>
      </c>
      <c r="M9" s="358" t="s">
        <v>433</v>
      </c>
      <c r="N9" s="359" t="s">
        <v>433</v>
      </c>
      <c r="O9" s="360" t="s">
        <v>833</v>
      </c>
      <c r="P9" s="361" t="s">
        <v>433</v>
      </c>
    </row>
    <row r="10">
      <c r="A10" s="362" t="s">
        <v>827</v>
      </c>
      <c r="B10" s="363" t="s">
        <v>440</v>
      </c>
      <c r="C10" s="364" t="s">
        <v>836</v>
      </c>
      <c r="D10" s="365" t="s">
        <v>435</v>
      </c>
      <c r="E10" s="366" t="s">
        <v>829</v>
      </c>
      <c r="F10" s="367" t="n">
        <v>37.5</v>
      </c>
      <c r="G10" s="368" t="s">
        <v>434</v>
      </c>
      <c r="H10" s="369" t="n">
        <v>37.5</v>
      </c>
      <c r="I10" s="370" t="s">
        <v>434</v>
      </c>
      <c r="J10" s="371" t="s">
        <v>830</v>
      </c>
      <c r="K10" s="372" t="s">
        <v>433</v>
      </c>
      <c r="L10" s="373" t="s">
        <v>433</v>
      </c>
      <c r="M10" s="374" t="s">
        <v>433</v>
      </c>
      <c r="N10" s="375" t="s">
        <v>433</v>
      </c>
      <c r="O10" s="376" t="s">
        <v>833</v>
      </c>
      <c r="P10" s="377" t="s">
        <v>433</v>
      </c>
    </row>
    <row r="11">
      <c r="A11" s="378" t="s">
        <v>827</v>
      </c>
      <c r="B11" s="379" t="s">
        <v>440</v>
      </c>
      <c r="C11" s="380" t="s">
        <v>836</v>
      </c>
      <c r="D11" s="381" t="s">
        <v>435</v>
      </c>
      <c r="E11" s="382" t="s">
        <v>829</v>
      </c>
      <c r="F11" s="383" t="n">
        <v>187.5</v>
      </c>
      <c r="G11" s="384" t="s">
        <v>434</v>
      </c>
      <c r="H11" s="385" t="n">
        <v>187.5</v>
      </c>
      <c r="I11" s="386" t="s">
        <v>434</v>
      </c>
      <c r="J11" s="387" t="s">
        <v>830</v>
      </c>
      <c r="K11" s="388" t="s">
        <v>433</v>
      </c>
      <c r="L11" s="389" t="s">
        <v>433</v>
      </c>
      <c r="M11" s="390" t="s">
        <v>433</v>
      </c>
      <c r="N11" s="391" t="s">
        <v>433</v>
      </c>
      <c r="O11" s="392" t="s">
        <v>833</v>
      </c>
      <c r="P11" s="393" t="s">
        <v>433</v>
      </c>
    </row>
    <row r="12">
      <c r="A12" s="394" t="s">
        <v>827</v>
      </c>
      <c r="B12" s="395" t="s">
        <v>439</v>
      </c>
      <c r="C12" s="396" t="s">
        <v>828</v>
      </c>
      <c r="D12" s="397" t="s">
        <v>435</v>
      </c>
      <c r="E12" s="398" t="s">
        <v>829</v>
      </c>
      <c r="F12" s="399" t="n">
        <v>49.0</v>
      </c>
      <c r="G12" s="400" t="s">
        <v>434</v>
      </c>
      <c r="H12" s="401" t="n">
        <v>49.0</v>
      </c>
      <c r="I12" s="402" t="s">
        <v>434</v>
      </c>
      <c r="J12" s="403" t="s">
        <v>830</v>
      </c>
      <c r="K12" s="404" t="s">
        <v>433</v>
      </c>
      <c r="L12" s="405" t="s">
        <v>433</v>
      </c>
      <c r="M12" s="406" t="s">
        <v>433</v>
      </c>
      <c r="N12" s="407" t="s">
        <v>433</v>
      </c>
      <c r="O12" s="408" t="s">
        <v>833</v>
      </c>
      <c r="P12" s="409" t="s">
        <v>433</v>
      </c>
    </row>
    <row r="13">
      <c r="A13" s="410" t="s">
        <v>827</v>
      </c>
      <c r="B13" s="411" t="s">
        <v>441</v>
      </c>
      <c r="C13" s="412" t="s">
        <v>836</v>
      </c>
      <c r="D13" s="413" t="s">
        <v>435</v>
      </c>
      <c r="E13" s="414" t="s">
        <v>829</v>
      </c>
      <c r="F13" s="415" t="n">
        <v>26.0</v>
      </c>
      <c r="G13" s="416" t="s">
        <v>434</v>
      </c>
      <c r="H13" s="417" t="n">
        <v>26.0</v>
      </c>
      <c r="I13" s="418" t="s">
        <v>434</v>
      </c>
      <c r="J13" s="419" t="s">
        <v>830</v>
      </c>
      <c r="K13" s="420" t="s">
        <v>433</v>
      </c>
      <c r="L13" s="421" t="s">
        <v>433</v>
      </c>
      <c r="M13" s="422" t="s">
        <v>433</v>
      </c>
      <c r="N13" s="423" t="s">
        <v>433</v>
      </c>
      <c r="O13" s="424" t="s">
        <v>835</v>
      </c>
      <c r="P13" s="425" t="s">
        <v>433</v>
      </c>
    </row>
    <row r="14">
      <c r="A14" s="426" t="s">
        <v>827</v>
      </c>
      <c r="B14" s="427" t="s">
        <v>442</v>
      </c>
      <c r="C14" s="428" t="s">
        <v>836</v>
      </c>
      <c r="D14" s="429" t="s">
        <v>435</v>
      </c>
      <c r="E14" s="430" t="s">
        <v>829</v>
      </c>
      <c r="F14" s="431" t="n">
        <v>135.0</v>
      </c>
      <c r="G14" s="432" t="s">
        <v>434</v>
      </c>
      <c r="H14" s="433" t="n">
        <v>135.0</v>
      </c>
      <c r="I14" s="434" t="s">
        <v>434</v>
      </c>
      <c r="J14" s="435" t="s">
        <v>830</v>
      </c>
      <c r="K14" s="436" t="s">
        <v>433</v>
      </c>
      <c r="L14" s="437" t="s">
        <v>433</v>
      </c>
      <c r="M14" s="438" t="s">
        <v>433</v>
      </c>
      <c r="N14" s="439" t="s">
        <v>433</v>
      </c>
      <c r="O14" s="440" t="s">
        <v>835</v>
      </c>
      <c r="P14" s="441" t="s">
        <v>433</v>
      </c>
    </row>
    <row r="15">
      <c r="A15" s="442" t="s">
        <v>827</v>
      </c>
      <c r="B15" s="443" t="s">
        <v>442</v>
      </c>
      <c r="C15" s="444" t="s">
        <v>836</v>
      </c>
      <c r="D15" s="445" t="s">
        <v>435</v>
      </c>
      <c r="E15" s="446" t="s">
        <v>829</v>
      </c>
      <c r="F15" s="447" t="n">
        <v>99.0</v>
      </c>
      <c r="G15" s="448" t="s">
        <v>434</v>
      </c>
      <c r="H15" s="449" t="n">
        <v>99.0</v>
      </c>
      <c r="I15" s="450" t="s">
        <v>434</v>
      </c>
      <c r="J15" s="451" t="s">
        <v>830</v>
      </c>
      <c r="K15" s="452" t="s">
        <v>433</v>
      </c>
      <c r="L15" s="453" t="s">
        <v>433</v>
      </c>
      <c r="M15" s="454" t="s">
        <v>433</v>
      </c>
      <c r="N15" s="455" t="s">
        <v>433</v>
      </c>
      <c r="O15" s="456" t="s">
        <v>835</v>
      </c>
      <c r="P15" s="457" t="s">
        <v>433</v>
      </c>
    </row>
    <row r="16">
      <c r="A16" s="458" t="s">
        <v>827</v>
      </c>
      <c r="B16" s="459" t="s">
        <v>442</v>
      </c>
      <c r="C16" s="460" t="s">
        <v>836</v>
      </c>
      <c r="D16" s="461" t="s">
        <v>435</v>
      </c>
      <c r="E16" s="462" t="s">
        <v>829</v>
      </c>
      <c r="F16" s="463" t="n">
        <v>150.0</v>
      </c>
      <c r="G16" s="464" t="s">
        <v>434</v>
      </c>
      <c r="H16" s="465" t="n">
        <v>150.0</v>
      </c>
      <c r="I16" s="466" t="s">
        <v>434</v>
      </c>
      <c r="J16" s="467" t="s">
        <v>830</v>
      </c>
      <c r="K16" s="468" t="s">
        <v>433</v>
      </c>
      <c r="L16" s="469" t="s">
        <v>433</v>
      </c>
      <c r="M16" s="470" t="s">
        <v>433</v>
      </c>
      <c r="N16" s="471" t="s">
        <v>433</v>
      </c>
      <c r="O16" s="472" t="s">
        <v>835</v>
      </c>
      <c r="P16" s="473" t="s">
        <v>433</v>
      </c>
    </row>
    <row r="17">
      <c r="A17" s="474" t="s">
        <v>827</v>
      </c>
      <c r="B17" s="475" t="s">
        <v>442</v>
      </c>
      <c r="C17" s="476" t="s">
        <v>836</v>
      </c>
      <c r="D17" s="477" t="s">
        <v>435</v>
      </c>
      <c r="E17" s="478" t="s">
        <v>829</v>
      </c>
      <c r="F17" s="479" t="n">
        <v>118.0</v>
      </c>
      <c r="G17" s="480" t="s">
        <v>434</v>
      </c>
      <c r="H17" s="481" t="n">
        <v>118.0</v>
      </c>
      <c r="I17" s="482" t="s">
        <v>434</v>
      </c>
      <c r="J17" s="483" t="s">
        <v>830</v>
      </c>
      <c r="K17" s="484" t="s">
        <v>433</v>
      </c>
      <c r="L17" s="485" t="s">
        <v>433</v>
      </c>
      <c r="M17" s="486" t="s">
        <v>433</v>
      </c>
      <c r="N17" s="487" t="s">
        <v>433</v>
      </c>
      <c r="O17" s="488" t="s">
        <v>835</v>
      </c>
      <c r="P17" s="489" t="s">
        <v>433</v>
      </c>
    </row>
    <row r="18">
      <c r="A18" s="490" t="s">
        <v>837</v>
      </c>
      <c r="B18" s="491" t="s">
        <v>448</v>
      </c>
      <c r="C18" s="492" t="s">
        <v>838</v>
      </c>
      <c r="D18" s="493" t="s">
        <v>435</v>
      </c>
      <c r="E18" s="494" t="s">
        <v>829</v>
      </c>
      <c r="F18" s="495" t="n">
        <v>130.0</v>
      </c>
      <c r="G18" s="496" t="s">
        <v>434</v>
      </c>
      <c r="H18" s="497" t="n">
        <v>130.0</v>
      </c>
      <c r="I18" s="498" t="s">
        <v>434</v>
      </c>
      <c r="J18" s="499" t="s">
        <v>830</v>
      </c>
      <c r="K18" s="500" t="s">
        <v>433</v>
      </c>
      <c r="L18" s="501" t="s">
        <v>433</v>
      </c>
      <c r="M18" s="502" t="s">
        <v>433</v>
      </c>
      <c r="N18" s="503" t="s">
        <v>433</v>
      </c>
      <c r="O18" s="504" t="s">
        <v>835</v>
      </c>
      <c r="P18" s="505" t="s">
        <v>433</v>
      </c>
    </row>
    <row r="19">
      <c r="A19" s="506" t="s">
        <v>837</v>
      </c>
      <c r="B19" s="507" t="s">
        <v>432</v>
      </c>
      <c r="C19" s="508" t="s">
        <v>828</v>
      </c>
      <c r="D19" s="509" t="s">
        <v>435</v>
      </c>
      <c r="E19" s="510" t="s">
        <v>829</v>
      </c>
      <c r="F19" s="511" t="n">
        <v>34.0</v>
      </c>
      <c r="G19" s="512" t="s">
        <v>434</v>
      </c>
      <c r="H19" s="513" t="n">
        <v>34.0</v>
      </c>
      <c r="I19" s="514" t="s">
        <v>434</v>
      </c>
      <c r="J19" s="515" t="s">
        <v>830</v>
      </c>
      <c r="K19" s="516" t="s">
        <v>433</v>
      </c>
      <c r="L19" s="517" t="s">
        <v>433</v>
      </c>
      <c r="M19" s="518" t="s">
        <v>433</v>
      </c>
      <c r="N19" s="519" t="s">
        <v>433</v>
      </c>
      <c r="O19" s="520" t="s">
        <v>831</v>
      </c>
      <c r="P19" s="521" t="s">
        <v>433</v>
      </c>
    </row>
    <row r="20">
      <c r="A20" s="522" t="s">
        <v>837</v>
      </c>
      <c r="B20" s="523" t="s">
        <v>449</v>
      </c>
      <c r="C20" s="524" t="s">
        <v>828</v>
      </c>
      <c r="D20" s="525" t="s">
        <v>435</v>
      </c>
      <c r="E20" s="526" t="s">
        <v>829</v>
      </c>
      <c r="F20" s="527" t="n">
        <v>15.0</v>
      </c>
      <c r="G20" s="528" t="s">
        <v>434</v>
      </c>
      <c r="H20" s="529" t="n">
        <v>15.0</v>
      </c>
      <c r="I20" s="530" t="s">
        <v>434</v>
      </c>
      <c r="J20" s="531" t="s">
        <v>830</v>
      </c>
      <c r="K20" s="532" t="s">
        <v>433</v>
      </c>
      <c r="L20" s="533" t="s">
        <v>433</v>
      </c>
      <c r="M20" s="534" t="s">
        <v>433</v>
      </c>
      <c r="N20" s="535" t="s">
        <v>433</v>
      </c>
      <c r="O20" s="536" t="s">
        <v>433</v>
      </c>
      <c r="P20" s="537" t="s">
        <v>433</v>
      </c>
    </row>
    <row r="21">
      <c r="A21" s="538" t="s">
        <v>837</v>
      </c>
      <c r="B21" s="539" t="s">
        <v>450</v>
      </c>
      <c r="C21" s="540" t="s">
        <v>828</v>
      </c>
      <c r="D21" s="541" t="s">
        <v>435</v>
      </c>
      <c r="E21" s="542" t="s">
        <v>829</v>
      </c>
      <c r="F21" s="543" t="n">
        <v>38.8</v>
      </c>
      <c r="G21" s="544" t="s">
        <v>434</v>
      </c>
      <c r="H21" s="545" t="n">
        <v>40.0</v>
      </c>
      <c r="I21" s="546" t="s">
        <v>434</v>
      </c>
      <c r="J21" s="547" t="s">
        <v>830</v>
      </c>
      <c r="K21" s="548" t="s">
        <v>433</v>
      </c>
      <c r="L21" s="549" t="s">
        <v>433</v>
      </c>
      <c r="M21" s="550" t="s">
        <v>839</v>
      </c>
      <c r="N21" s="551" t="s">
        <v>433</v>
      </c>
      <c r="O21" s="552" t="s">
        <v>433</v>
      </c>
      <c r="P21" s="553" t="s">
        <v>433</v>
      </c>
    </row>
    <row r="22">
      <c r="A22" s="554" t="s">
        <v>837</v>
      </c>
      <c r="B22" s="555" t="s">
        <v>442</v>
      </c>
      <c r="C22" s="556" t="s">
        <v>836</v>
      </c>
      <c r="D22" s="557" t="s">
        <v>435</v>
      </c>
      <c r="E22" s="558" t="s">
        <v>829</v>
      </c>
      <c r="F22" s="559" t="n">
        <v>50.0</v>
      </c>
      <c r="G22" s="560" t="s">
        <v>434</v>
      </c>
      <c r="H22" s="561" t="n">
        <v>50.0</v>
      </c>
      <c r="I22" s="562" t="s">
        <v>434</v>
      </c>
      <c r="J22" s="563" t="s">
        <v>830</v>
      </c>
      <c r="K22" s="564" t="s">
        <v>433</v>
      </c>
      <c r="L22" s="565" t="s">
        <v>433</v>
      </c>
      <c r="M22" s="566" t="s">
        <v>433</v>
      </c>
      <c r="N22" s="567" t="s">
        <v>433</v>
      </c>
      <c r="O22" s="568" t="s">
        <v>835</v>
      </c>
      <c r="P22" s="569" t="s">
        <v>433</v>
      </c>
    </row>
    <row r="23">
      <c r="A23" s="570" t="s">
        <v>837</v>
      </c>
      <c r="B23" s="571" t="s">
        <v>442</v>
      </c>
      <c r="C23" s="572" t="s">
        <v>836</v>
      </c>
      <c r="D23" s="573" t="s">
        <v>435</v>
      </c>
      <c r="E23" s="574" t="s">
        <v>829</v>
      </c>
      <c r="F23" s="575" t="n">
        <v>190.0</v>
      </c>
      <c r="G23" s="576" t="s">
        <v>434</v>
      </c>
      <c r="H23" s="577" t="n">
        <v>190.0</v>
      </c>
      <c r="I23" s="578" t="s">
        <v>434</v>
      </c>
      <c r="J23" s="579" t="s">
        <v>830</v>
      </c>
      <c r="K23" s="580" t="s">
        <v>433</v>
      </c>
      <c r="L23" s="581" t="s">
        <v>433</v>
      </c>
      <c r="M23" s="582" t="s">
        <v>433</v>
      </c>
      <c r="N23" s="583" t="s">
        <v>433</v>
      </c>
      <c r="O23" s="584" t="s">
        <v>835</v>
      </c>
      <c r="P23" s="585" t="s">
        <v>433</v>
      </c>
    </row>
    <row r="24">
      <c r="A24" s="586" t="s">
        <v>837</v>
      </c>
      <c r="B24" s="587" t="s">
        <v>451</v>
      </c>
      <c r="C24" s="588" t="s">
        <v>828</v>
      </c>
      <c r="D24" s="589" t="s">
        <v>435</v>
      </c>
      <c r="E24" s="590" t="s">
        <v>829</v>
      </c>
      <c r="F24" s="591" t="n">
        <v>8.0</v>
      </c>
      <c r="G24" s="592" t="s">
        <v>434</v>
      </c>
      <c r="H24" s="593" t="n">
        <v>8.0</v>
      </c>
      <c r="I24" s="594" t="s">
        <v>434</v>
      </c>
      <c r="J24" s="595" t="s">
        <v>830</v>
      </c>
      <c r="K24" s="596" t="s">
        <v>433</v>
      </c>
      <c r="L24" s="597" t="s">
        <v>433</v>
      </c>
      <c r="M24" s="598" t="s">
        <v>433</v>
      </c>
      <c r="N24" s="599" t="s">
        <v>433</v>
      </c>
      <c r="O24" s="600" t="s">
        <v>831</v>
      </c>
      <c r="P24" s="601" t="s">
        <v>433</v>
      </c>
    </row>
    <row r="25">
      <c r="A25" s="602" t="s">
        <v>837</v>
      </c>
      <c r="B25" s="603" t="s">
        <v>439</v>
      </c>
      <c r="C25" s="604" t="s">
        <v>828</v>
      </c>
      <c r="D25" s="605" t="s">
        <v>435</v>
      </c>
      <c r="E25" s="606" t="s">
        <v>829</v>
      </c>
      <c r="F25" s="607" t="n">
        <v>10.1</v>
      </c>
      <c r="G25" s="608" t="s">
        <v>434</v>
      </c>
      <c r="H25" s="609" t="n">
        <v>10.1</v>
      </c>
      <c r="I25" s="610" t="s">
        <v>434</v>
      </c>
      <c r="J25" s="611" t="s">
        <v>830</v>
      </c>
      <c r="K25" s="612" t="s">
        <v>433</v>
      </c>
      <c r="L25" s="613" t="s">
        <v>433</v>
      </c>
      <c r="M25" s="614" t="s">
        <v>433</v>
      </c>
      <c r="N25" s="615" t="s">
        <v>433</v>
      </c>
      <c r="O25" s="616" t="s">
        <v>833</v>
      </c>
      <c r="P25" s="617" t="s">
        <v>433</v>
      </c>
    </row>
    <row r="26">
      <c r="A26" s="618" t="s">
        <v>837</v>
      </c>
      <c r="B26" s="619" t="s">
        <v>440</v>
      </c>
      <c r="C26" s="620" t="s">
        <v>836</v>
      </c>
      <c r="D26" s="621" t="s">
        <v>435</v>
      </c>
      <c r="E26" s="622" t="s">
        <v>829</v>
      </c>
      <c r="F26" s="623" t="n">
        <v>37.5</v>
      </c>
      <c r="G26" s="624" t="s">
        <v>434</v>
      </c>
      <c r="H26" s="625" t="n">
        <v>37.5</v>
      </c>
      <c r="I26" s="626" t="s">
        <v>434</v>
      </c>
      <c r="J26" s="627" t="s">
        <v>830</v>
      </c>
      <c r="K26" s="628" t="s">
        <v>433</v>
      </c>
      <c r="L26" s="629" t="s">
        <v>433</v>
      </c>
      <c r="M26" s="630" t="s">
        <v>433</v>
      </c>
      <c r="N26" s="631" t="s">
        <v>433</v>
      </c>
      <c r="O26" s="632" t="s">
        <v>833</v>
      </c>
      <c r="P26" s="633" t="s">
        <v>433</v>
      </c>
    </row>
    <row r="27">
      <c r="A27" s="634" t="s">
        <v>840</v>
      </c>
      <c r="B27" s="635" t="s">
        <v>456</v>
      </c>
      <c r="C27" s="636" t="s">
        <v>836</v>
      </c>
      <c r="D27" s="637" t="s">
        <v>435</v>
      </c>
      <c r="E27" s="638" t="s">
        <v>829</v>
      </c>
      <c r="F27" s="639" t="n">
        <v>76.0</v>
      </c>
      <c r="G27" s="640" t="s">
        <v>434</v>
      </c>
      <c r="H27" s="641" t="n">
        <v>76.0</v>
      </c>
      <c r="I27" s="642" t="s">
        <v>434</v>
      </c>
      <c r="J27" s="643" t="s">
        <v>830</v>
      </c>
      <c r="K27" s="644" t="s">
        <v>433</v>
      </c>
      <c r="L27" s="645" t="s">
        <v>433</v>
      </c>
      <c r="M27" s="646" t="s">
        <v>433</v>
      </c>
      <c r="N27" s="647" t="s">
        <v>433</v>
      </c>
      <c r="O27" s="648" t="s">
        <v>833</v>
      </c>
      <c r="P27" s="649" t="s">
        <v>433</v>
      </c>
    </row>
    <row r="28">
      <c r="A28" s="650" t="s">
        <v>840</v>
      </c>
      <c r="B28" s="651" t="s">
        <v>457</v>
      </c>
      <c r="C28" s="652" t="s">
        <v>841</v>
      </c>
      <c r="D28" s="653" t="s">
        <v>435</v>
      </c>
      <c r="E28" s="654" t="s">
        <v>829</v>
      </c>
      <c r="F28" s="655" t="n">
        <v>50.83</v>
      </c>
      <c r="G28" s="656" t="s">
        <v>434</v>
      </c>
      <c r="H28" s="657" t="n">
        <v>50.83</v>
      </c>
      <c r="I28" s="658" t="s">
        <v>434</v>
      </c>
      <c r="J28" s="659" t="s">
        <v>830</v>
      </c>
      <c r="K28" s="660" t="s">
        <v>433</v>
      </c>
      <c r="L28" s="661" t="s">
        <v>433</v>
      </c>
      <c r="M28" s="662" t="s">
        <v>433</v>
      </c>
      <c r="N28" s="663" t="s">
        <v>433</v>
      </c>
      <c r="O28" s="664" t="s">
        <v>835</v>
      </c>
      <c r="P28" s="665" t="s">
        <v>433</v>
      </c>
    </row>
    <row r="29">
      <c r="A29" s="666" t="s">
        <v>840</v>
      </c>
      <c r="B29" s="667" t="s">
        <v>458</v>
      </c>
      <c r="C29" s="668" t="s">
        <v>828</v>
      </c>
      <c r="D29" s="669" t="s">
        <v>435</v>
      </c>
      <c r="E29" s="670" t="s">
        <v>829</v>
      </c>
      <c r="F29" s="671" t="n">
        <v>15.0</v>
      </c>
      <c r="G29" s="672" t="s">
        <v>434</v>
      </c>
      <c r="H29" s="673" t="n">
        <v>15.0</v>
      </c>
      <c r="I29" s="674" t="s">
        <v>434</v>
      </c>
      <c r="J29" s="675" t="s">
        <v>830</v>
      </c>
      <c r="K29" s="676" t="s">
        <v>433</v>
      </c>
      <c r="L29" s="677" t="s">
        <v>433</v>
      </c>
      <c r="M29" s="678" t="s">
        <v>433</v>
      </c>
      <c r="N29" s="679" t="s">
        <v>433</v>
      </c>
      <c r="O29" s="680" t="s">
        <v>835</v>
      </c>
      <c r="P29" s="681" t="s">
        <v>433</v>
      </c>
    </row>
    <row r="30">
      <c r="A30" s="682" t="s">
        <v>840</v>
      </c>
      <c r="B30" s="683" t="s">
        <v>441</v>
      </c>
      <c r="C30" s="684" t="s">
        <v>836</v>
      </c>
      <c r="D30" s="685" t="s">
        <v>435</v>
      </c>
      <c r="E30" s="686" t="s">
        <v>829</v>
      </c>
      <c r="F30" s="687" t="n">
        <v>34.0</v>
      </c>
      <c r="G30" s="688" t="s">
        <v>434</v>
      </c>
      <c r="H30" s="689" t="n">
        <v>34.0</v>
      </c>
      <c r="I30" s="690" t="s">
        <v>434</v>
      </c>
      <c r="J30" s="691" t="s">
        <v>830</v>
      </c>
      <c r="K30" s="692" t="s">
        <v>433</v>
      </c>
      <c r="L30" s="693" t="s">
        <v>433</v>
      </c>
      <c r="M30" s="694" t="s">
        <v>433</v>
      </c>
      <c r="N30" s="695" t="s">
        <v>433</v>
      </c>
      <c r="O30" s="696" t="s">
        <v>835</v>
      </c>
      <c r="P30" s="697" t="s">
        <v>433</v>
      </c>
    </row>
    <row r="31">
      <c r="A31" s="698" t="s">
        <v>842</v>
      </c>
      <c r="B31" s="699" t="s">
        <v>460</v>
      </c>
      <c r="C31" s="700" t="s">
        <v>841</v>
      </c>
      <c r="D31" s="701" t="s">
        <v>435</v>
      </c>
      <c r="E31" s="702" t="s">
        <v>829</v>
      </c>
      <c r="F31" s="703" t="n">
        <v>20.22</v>
      </c>
      <c r="G31" s="704" t="s">
        <v>434</v>
      </c>
      <c r="H31" s="705" t="n">
        <v>20.22</v>
      </c>
      <c r="I31" s="706" t="s">
        <v>434</v>
      </c>
      <c r="J31" s="707" t="s">
        <v>830</v>
      </c>
      <c r="K31" s="708" t="s">
        <v>433</v>
      </c>
      <c r="L31" s="709" t="s">
        <v>433</v>
      </c>
      <c r="M31" s="710" t="s">
        <v>433</v>
      </c>
      <c r="N31" s="711" t="s">
        <v>433</v>
      </c>
      <c r="O31" s="712" t="s">
        <v>833</v>
      </c>
      <c r="P31" s="713" t="s">
        <v>433</v>
      </c>
    </row>
    <row r="32">
      <c r="A32" s="714" t="s">
        <v>842</v>
      </c>
      <c r="B32" s="715" t="s">
        <v>439</v>
      </c>
      <c r="C32" s="716" t="s">
        <v>828</v>
      </c>
      <c r="D32" s="717" t="s">
        <v>435</v>
      </c>
      <c r="E32" s="718" t="s">
        <v>829</v>
      </c>
      <c r="F32" s="719" t="n">
        <v>56.12</v>
      </c>
      <c r="G32" s="720" t="s">
        <v>434</v>
      </c>
      <c r="H32" s="721" t="n">
        <v>56.12</v>
      </c>
      <c r="I32" s="722" t="s">
        <v>434</v>
      </c>
      <c r="J32" s="723" t="s">
        <v>830</v>
      </c>
      <c r="K32" s="724" t="s">
        <v>433</v>
      </c>
      <c r="L32" s="725" t="s">
        <v>433</v>
      </c>
      <c r="M32" s="726" t="s">
        <v>433</v>
      </c>
      <c r="N32" s="727" t="s">
        <v>433</v>
      </c>
      <c r="O32" s="728" t="s">
        <v>833</v>
      </c>
      <c r="P32" s="729" t="s">
        <v>433</v>
      </c>
    </row>
    <row r="33">
      <c r="A33" s="730" t="s">
        <v>842</v>
      </c>
      <c r="B33" s="731" t="s">
        <v>442</v>
      </c>
      <c r="C33" s="732" t="s">
        <v>836</v>
      </c>
      <c r="D33" s="733" t="s">
        <v>435</v>
      </c>
      <c r="E33" s="734" t="s">
        <v>829</v>
      </c>
      <c r="F33" s="735" t="n">
        <v>190.0</v>
      </c>
      <c r="G33" s="736" t="s">
        <v>434</v>
      </c>
      <c r="H33" s="737" t="n">
        <v>190.0</v>
      </c>
      <c r="I33" s="738" t="s">
        <v>434</v>
      </c>
      <c r="J33" s="739" t="s">
        <v>830</v>
      </c>
      <c r="K33" s="740" t="s">
        <v>433</v>
      </c>
      <c r="L33" s="741" t="s">
        <v>433</v>
      </c>
      <c r="M33" s="742" t="s">
        <v>433</v>
      </c>
      <c r="N33" s="743" t="s">
        <v>433</v>
      </c>
      <c r="O33" s="744" t="s">
        <v>835</v>
      </c>
      <c r="P33" s="745" t="s">
        <v>433</v>
      </c>
    </row>
    <row r="34">
      <c r="A34" s="746" t="s">
        <v>842</v>
      </c>
      <c r="B34" s="747" t="s">
        <v>461</v>
      </c>
      <c r="C34" s="748" t="s">
        <v>843</v>
      </c>
      <c r="D34" s="749" t="s">
        <v>435</v>
      </c>
      <c r="E34" s="750" t="s">
        <v>829</v>
      </c>
      <c r="F34" s="751" t="n">
        <v>59.0</v>
      </c>
      <c r="G34" s="752" t="s">
        <v>434</v>
      </c>
      <c r="H34" s="753" t="n">
        <v>59.0</v>
      </c>
      <c r="I34" s="754" t="s">
        <v>434</v>
      </c>
      <c r="J34" s="755" t="s">
        <v>830</v>
      </c>
      <c r="K34" s="756" t="s">
        <v>433</v>
      </c>
      <c r="L34" s="757" t="s">
        <v>433</v>
      </c>
      <c r="M34" s="758" t="s">
        <v>433</v>
      </c>
      <c r="N34" s="759" t="s">
        <v>433</v>
      </c>
      <c r="O34" s="760" t="s">
        <v>833</v>
      </c>
      <c r="P34" s="761" t="s">
        <v>433</v>
      </c>
    </row>
    <row r="35">
      <c r="A35" s="762" t="s">
        <v>844</v>
      </c>
      <c r="B35" s="763" t="s">
        <v>470</v>
      </c>
      <c r="C35" s="764" t="s">
        <v>845</v>
      </c>
      <c r="D35" s="765" t="s">
        <v>435</v>
      </c>
      <c r="E35" s="766" t="s">
        <v>829</v>
      </c>
      <c r="F35" s="767" t="n">
        <v>146.57</v>
      </c>
      <c r="G35" s="768" t="s">
        <v>434</v>
      </c>
      <c r="H35" s="769" t="n">
        <v>146.57</v>
      </c>
      <c r="I35" s="770" t="s">
        <v>434</v>
      </c>
      <c r="J35" s="771" t="s">
        <v>830</v>
      </c>
      <c r="K35" s="772" t="s">
        <v>437</v>
      </c>
      <c r="L35" s="773" t="s">
        <v>433</v>
      </c>
      <c r="M35" s="774" t="s">
        <v>433</v>
      </c>
      <c r="N35" s="775" t="s">
        <v>433</v>
      </c>
      <c r="O35" s="776" t="s">
        <v>833</v>
      </c>
      <c r="P35" s="777" t="s">
        <v>433</v>
      </c>
    </row>
    <row r="36">
      <c r="A36" s="778" t="s">
        <v>844</v>
      </c>
      <c r="B36" s="779" t="s">
        <v>471</v>
      </c>
      <c r="C36" s="780" t="s">
        <v>838</v>
      </c>
      <c r="D36" s="781" t="s">
        <v>435</v>
      </c>
      <c r="E36" s="782" t="s">
        <v>829</v>
      </c>
      <c r="F36" s="783" t="n">
        <v>2.9</v>
      </c>
      <c r="G36" s="784" t="s">
        <v>434</v>
      </c>
      <c r="H36" s="785" t="n">
        <v>2.9</v>
      </c>
      <c r="I36" s="786" t="s">
        <v>434</v>
      </c>
      <c r="J36" s="787" t="s">
        <v>830</v>
      </c>
      <c r="K36" s="788" t="s">
        <v>433</v>
      </c>
      <c r="L36" s="789" t="s">
        <v>433</v>
      </c>
      <c r="M36" s="790" t="s">
        <v>433</v>
      </c>
      <c r="N36" s="791" t="s">
        <v>433</v>
      </c>
      <c r="O36" s="792" t="s">
        <v>433</v>
      </c>
      <c r="P36" s="793" t="s">
        <v>433</v>
      </c>
    </row>
    <row r="37">
      <c r="A37" s="794" t="s">
        <v>844</v>
      </c>
      <c r="B37" s="795" t="s">
        <v>439</v>
      </c>
      <c r="C37" s="796" t="s">
        <v>828</v>
      </c>
      <c r="D37" s="797" t="s">
        <v>435</v>
      </c>
      <c r="E37" s="798" t="s">
        <v>829</v>
      </c>
      <c r="F37" s="799" t="n">
        <v>73.5</v>
      </c>
      <c r="G37" s="800" t="s">
        <v>434</v>
      </c>
      <c r="H37" s="801" t="n">
        <v>73.5</v>
      </c>
      <c r="I37" s="802" t="s">
        <v>434</v>
      </c>
      <c r="J37" s="803" t="s">
        <v>830</v>
      </c>
      <c r="K37" s="804" t="s">
        <v>433</v>
      </c>
      <c r="L37" s="805" t="s">
        <v>433</v>
      </c>
      <c r="M37" s="806" t="s">
        <v>433</v>
      </c>
      <c r="N37" s="807" t="s">
        <v>433</v>
      </c>
      <c r="O37" s="808" t="s">
        <v>833</v>
      </c>
      <c r="P37" s="809" t="s">
        <v>433</v>
      </c>
    </row>
    <row r="38">
      <c r="A38" s="810" t="s">
        <v>846</v>
      </c>
      <c r="B38" s="811" t="s">
        <v>439</v>
      </c>
      <c r="C38" s="812" t="s">
        <v>828</v>
      </c>
      <c r="D38" s="813" t="s">
        <v>435</v>
      </c>
      <c r="E38" s="814" t="s">
        <v>829</v>
      </c>
      <c r="F38" s="815" t="n">
        <v>65.1</v>
      </c>
      <c r="G38" s="816" t="s">
        <v>434</v>
      </c>
      <c r="H38" s="817" t="n">
        <v>65.1</v>
      </c>
      <c r="I38" s="818" t="s">
        <v>434</v>
      </c>
      <c r="J38" s="819" t="s">
        <v>830</v>
      </c>
      <c r="K38" s="820" t="s">
        <v>433</v>
      </c>
      <c r="L38" s="821" t="s">
        <v>433</v>
      </c>
      <c r="M38" s="822" t="s">
        <v>433</v>
      </c>
      <c r="N38" s="823" t="s">
        <v>433</v>
      </c>
      <c r="O38" s="824" t="s">
        <v>833</v>
      </c>
      <c r="P38" s="825" t="s">
        <v>433</v>
      </c>
    </row>
    <row r="39">
      <c r="A39" s="826" t="s">
        <v>846</v>
      </c>
      <c r="B39" s="827" t="s">
        <v>439</v>
      </c>
      <c r="C39" s="828" t="s">
        <v>828</v>
      </c>
      <c r="D39" s="829" t="s">
        <v>435</v>
      </c>
      <c r="E39" s="830" t="s">
        <v>829</v>
      </c>
      <c r="F39" s="831" t="n">
        <v>34.56</v>
      </c>
      <c r="G39" s="832" t="s">
        <v>434</v>
      </c>
      <c r="H39" s="833" t="n">
        <v>34.56</v>
      </c>
      <c r="I39" s="834" t="s">
        <v>434</v>
      </c>
      <c r="J39" s="835" t="s">
        <v>830</v>
      </c>
      <c r="K39" s="836" t="s">
        <v>433</v>
      </c>
      <c r="L39" s="837" t="s">
        <v>433</v>
      </c>
      <c r="M39" s="838" t="s">
        <v>433</v>
      </c>
      <c r="N39" s="839" t="s">
        <v>433</v>
      </c>
      <c r="O39" s="840" t="s">
        <v>833</v>
      </c>
      <c r="P39" s="841" t="s">
        <v>433</v>
      </c>
    </row>
    <row r="40">
      <c r="A40" s="842" t="s">
        <v>847</v>
      </c>
      <c r="B40" s="843" t="s">
        <v>475</v>
      </c>
      <c r="C40" s="844" t="s">
        <v>838</v>
      </c>
      <c r="D40" s="845" t="s">
        <v>435</v>
      </c>
      <c r="E40" s="846" t="s">
        <v>829</v>
      </c>
      <c r="F40" s="847" t="n">
        <v>8.9</v>
      </c>
      <c r="G40" s="848" t="s">
        <v>434</v>
      </c>
      <c r="H40" s="849" t="n">
        <v>8.9</v>
      </c>
      <c r="I40" s="850" t="s">
        <v>434</v>
      </c>
      <c r="J40" s="851" t="s">
        <v>830</v>
      </c>
      <c r="K40" s="852" t="s">
        <v>433</v>
      </c>
      <c r="L40" s="853" t="s">
        <v>433</v>
      </c>
      <c r="M40" s="854" t="s">
        <v>433</v>
      </c>
      <c r="N40" s="855" t="s">
        <v>433</v>
      </c>
      <c r="O40" s="856" t="s">
        <v>433</v>
      </c>
      <c r="P40" s="857" t="s">
        <v>433</v>
      </c>
    </row>
    <row r="41">
      <c r="A41" s="858" t="s">
        <v>847</v>
      </c>
      <c r="B41" s="859" t="s">
        <v>460</v>
      </c>
      <c r="C41" s="860" t="s">
        <v>841</v>
      </c>
      <c r="D41" s="861" t="s">
        <v>435</v>
      </c>
      <c r="E41" s="862" t="s">
        <v>829</v>
      </c>
      <c r="F41" s="863" t="n">
        <v>214.17</v>
      </c>
      <c r="G41" s="864" t="s">
        <v>434</v>
      </c>
      <c r="H41" s="865" t="n">
        <v>214.17</v>
      </c>
      <c r="I41" s="866" t="s">
        <v>434</v>
      </c>
      <c r="J41" s="867" t="s">
        <v>830</v>
      </c>
      <c r="K41" s="868" t="s">
        <v>433</v>
      </c>
      <c r="L41" s="869" t="s">
        <v>433</v>
      </c>
      <c r="M41" s="870" t="s">
        <v>433</v>
      </c>
      <c r="N41" s="871" t="s">
        <v>433</v>
      </c>
      <c r="O41" s="872" t="s">
        <v>833</v>
      </c>
      <c r="P41" s="873" t="s">
        <v>433</v>
      </c>
    </row>
    <row r="42">
      <c r="A42" s="874" t="s">
        <v>847</v>
      </c>
      <c r="B42" s="875" t="s">
        <v>476</v>
      </c>
      <c r="C42" s="876" t="s">
        <v>832</v>
      </c>
      <c r="D42" s="877" t="s">
        <v>435</v>
      </c>
      <c r="E42" s="878" t="s">
        <v>829</v>
      </c>
      <c r="F42" s="879" t="n">
        <v>67.1</v>
      </c>
      <c r="G42" s="880" t="s">
        <v>434</v>
      </c>
      <c r="H42" s="881" t="n">
        <v>67.1</v>
      </c>
      <c r="I42" s="882" t="s">
        <v>434</v>
      </c>
      <c r="J42" s="883" t="s">
        <v>830</v>
      </c>
      <c r="K42" s="884" t="s">
        <v>433</v>
      </c>
      <c r="L42" s="885" t="s">
        <v>433</v>
      </c>
      <c r="M42" s="886" t="s">
        <v>433</v>
      </c>
      <c r="N42" s="887" t="s">
        <v>433</v>
      </c>
      <c r="O42" s="888" t="s">
        <v>833</v>
      </c>
      <c r="P42" s="889" t="s">
        <v>433</v>
      </c>
    </row>
    <row r="43">
      <c r="A43" s="890" t="s">
        <v>848</v>
      </c>
      <c r="B43" s="891" t="s">
        <v>481</v>
      </c>
      <c r="C43" s="892" t="s">
        <v>845</v>
      </c>
      <c r="D43" s="893" t="s">
        <v>435</v>
      </c>
      <c r="E43" s="894" t="s">
        <v>829</v>
      </c>
      <c r="F43" s="895" t="n">
        <v>39.9</v>
      </c>
      <c r="G43" s="896" t="s">
        <v>434</v>
      </c>
      <c r="H43" s="897" t="n">
        <v>39.9</v>
      </c>
      <c r="I43" s="898" t="s">
        <v>434</v>
      </c>
      <c r="J43" s="899" t="s">
        <v>830</v>
      </c>
      <c r="K43" s="900" t="s">
        <v>437</v>
      </c>
      <c r="L43" s="901" t="s">
        <v>433</v>
      </c>
      <c r="M43" s="902" t="s">
        <v>433</v>
      </c>
      <c r="N43" s="903" t="s">
        <v>433</v>
      </c>
      <c r="O43" s="904" t="s">
        <v>833</v>
      </c>
      <c r="P43" s="905" t="s">
        <v>433</v>
      </c>
    </row>
    <row r="44">
      <c r="A44" s="906" t="s">
        <v>848</v>
      </c>
      <c r="B44" s="907" t="s">
        <v>482</v>
      </c>
      <c r="C44" s="908" t="s">
        <v>828</v>
      </c>
      <c r="D44" s="909" t="s">
        <v>435</v>
      </c>
      <c r="E44" s="910" t="s">
        <v>829</v>
      </c>
      <c r="F44" s="911" t="n">
        <v>193.0</v>
      </c>
      <c r="G44" s="912" t="s">
        <v>434</v>
      </c>
      <c r="H44" s="913" t="n">
        <v>193.0</v>
      </c>
      <c r="I44" s="914" t="s">
        <v>434</v>
      </c>
      <c r="J44" s="915" t="s">
        <v>830</v>
      </c>
      <c r="K44" s="916" t="s">
        <v>433</v>
      </c>
      <c r="L44" s="917" t="s">
        <v>433</v>
      </c>
      <c r="M44" s="918" t="s">
        <v>433</v>
      </c>
      <c r="N44" s="919" t="s">
        <v>433</v>
      </c>
      <c r="O44" s="920" t="s">
        <v>433</v>
      </c>
      <c r="P44" s="921" t="s">
        <v>433</v>
      </c>
    </row>
    <row r="45">
      <c r="A45" s="922" t="s">
        <v>848</v>
      </c>
      <c r="B45" s="923" t="s">
        <v>483</v>
      </c>
      <c r="C45" s="924" t="s">
        <v>849</v>
      </c>
      <c r="D45" s="925" t="s">
        <v>435</v>
      </c>
      <c r="E45" s="926" t="s">
        <v>829</v>
      </c>
      <c r="F45" s="927" t="n">
        <v>331.8</v>
      </c>
      <c r="G45" s="928" t="s">
        <v>434</v>
      </c>
      <c r="H45" s="929" t="n">
        <v>331.8</v>
      </c>
      <c r="I45" s="930" t="s">
        <v>434</v>
      </c>
      <c r="J45" s="931" t="s">
        <v>830</v>
      </c>
      <c r="K45" s="932" t="s">
        <v>433</v>
      </c>
      <c r="L45" s="933" t="s">
        <v>433</v>
      </c>
      <c r="M45" s="934" t="s">
        <v>433</v>
      </c>
      <c r="N45" s="935" t="s">
        <v>433</v>
      </c>
      <c r="O45" s="936" t="s">
        <v>835</v>
      </c>
      <c r="P45" s="937" t="s">
        <v>433</v>
      </c>
    </row>
    <row r="46">
      <c r="A46" s="938" t="s">
        <v>848</v>
      </c>
      <c r="B46" s="939" t="s">
        <v>439</v>
      </c>
      <c r="C46" s="940" t="s">
        <v>828</v>
      </c>
      <c r="D46" s="941" t="s">
        <v>435</v>
      </c>
      <c r="E46" s="942" t="s">
        <v>829</v>
      </c>
      <c r="F46" s="943" t="n">
        <v>87.15</v>
      </c>
      <c r="G46" s="944" t="s">
        <v>434</v>
      </c>
      <c r="H46" s="945" t="n">
        <v>87.15</v>
      </c>
      <c r="I46" s="946" t="s">
        <v>434</v>
      </c>
      <c r="J46" s="947" t="s">
        <v>830</v>
      </c>
      <c r="K46" s="948" t="s">
        <v>433</v>
      </c>
      <c r="L46" s="949" t="s">
        <v>433</v>
      </c>
      <c r="M46" s="950" t="s">
        <v>433</v>
      </c>
      <c r="N46" s="951" t="s">
        <v>433</v>
      </c>
      <c r="O46" s="952" t="s">
        <v>833</v>
      </c>
      <c r="P46" s="953" t="s">
        <v>433</v>
      </c>
    </row>
    <row r="47">
      <c r="A47" s="954" t="s">
        <v>848</v>
      </c>
      <c r="B47" s="955" t="s">
        <v>439</v>
      </c>
      <c r="C47" s="956" t="s">
        <v>828</v>
      </c>
      <c r="D47" s="957" t="s">
        <v>435</v>
      </c>
      <c r="E47" s="958" t="s">
        <v>829</v>
      </c>
      <c r="F47" s="959" t="n">
        <v>57.88</v>
      </c>
      <c r="G47" s="960" t="s">
        <v>434</v>
      </c>
      <c r="H47" s="961" t="n">
        <v>57.88</v>
      </c>
      <c r="I47" s="962" t="s">
        <v>434</v>
      </c>
      <c r="J47" s="963" t="s">
        <v>830</v>
      </c>
      <c r="K47" s="964" t="s">
        <v>433</v>
      </c>
      <c r="L47" s="965" t="s">
        <v>433</v>
      </c>
      <c r="M47" s="966" t="s">
        <v>433</v>
      </c>
      <c r="N47" s="967" t="s">
        <v>433</v>
      </c>
      <c r="O47" s="968" t="s">
        <v>833</v>
      </c>
      <c r="P47" s="969" t="s">
        <v>433</v>
      </c>
    </row>
    <row r="48">
      <c r="A48" s="970" t="s">
        <v>850</v>
      </c>
      <c r="B48" s="971" t="s">
        <v>441</v>
      </c>
      <c r="C48" s="972" t="s">
        <v>836</v>
      </c>
      <c r="D48" s="973" t="s">
        <v>435</v>
      </c>
      <c r="E48" s="974" t="s">
        <v>829</v>
      </c>
      <c r="F48" s="975" t="n">
        <v>20.0</v>
      </c>
      <c r="G48" s="976" t="s">
        <v>434</v>
      </c>
      <c r="H48" s="977" t="n">
        <v>20.0</v>
      </c>
      <c r="I48" s="978" t="s">
        <v>434</v>
      </c>
      <c r="J48" s="979" t="s">
        <v>830</v>
      </c>
      <c r="K48" s="980" t="s">
        <v>433</v>
      </c>
      <c r="L48" s="981" t="s">
        <v>433</v>
      </c>
      <c r="M48" s="982" t="s">
        <v>433</v>
      </c>
      <c r="N48" s="983" t="s">
        <v>433</v>
      </c>
      <c r="O48" s="984" t="s">
        <v>835</v>
      </c>
      <c r="P48" s="985" t="s">
        <v>433</v>
      </c>
    </row>
    <row r="49">
      <c r="A49" s="986" t="s">
        <v>850</v>
      </c>
      <c r="B49" s="987" t="s">
        <v>439</v>
      </c>
      <c r="C49" s="988" t="s">
        <v>828</v>
      </c>
      <c r="D49" s="989" t="s">
        <v>435</v>
      </c>
      <c r="E49" s="990" t="s">
        <v>829</v>
      </c>
      <c r="F49" s="991" t="n">
        <v>69.6</v>
      </c>
      <c r="G49" s="992" t="s">
        <v>434</v>
      </c>
      <c r="H49" s="993" t="n">
        <v>69.6</v>
      </c>
      <c r="I49" s="994" t="s">
        <v>434</v>
      </c>
      <c r="J49" s="995" t="s">
        <v>830</v>
      </c>
      <c r="K49" s="996" t="s">
        <v>433</v>
      </c>
      <c r="L49" s="997" t="s">
        <v>433</v>
      </c>
      <c r="M49" s="998" t="s">
        <v>433</v>
      </c>
      <c r="N49" s="999" t="s">
        <v>433</v>
      </c>
      <c r="O49" s="1000" t="s">
        <v>833</v>
      </c>
      <c r="P49" s="1001" t="s">
        <v>433</v>
      </c>
    </row>
    <row r="50">
      <c r="A50" s="1002" t="s">
        <v>850</v>
      </c>
      <c r="B50" s="1003" t="s">
        <v>439</v>
      </c>
      <c r="C50" s="1004" t="s">
        <v>828</v>
      </c>
      <c r="D50" s="1005" t="s">
        <v>435</v>
      </c>
      <c r="E50" s="1006" t="s">
        <v>829</v>
      </c>
      <c r="F50" s="1007" t="n">
        <v>5.0</v>
      </c>
      <c r="G50" s="1008" t="s">
        <v>434</v>
      </c>
      <c r="H50" s="1009" t="n">
        <v>5.0</v>
      </c>
      <c r="I50" s="1010" t="s">
        <v>434</v>
      </c>
      <c r="J50" s="1011" t="s">
        <v>830</v>
      </c>
      <c r="K50" s="1012" t="s">
        <v>433</v>
      </c>
      <c r="L50" s="1013" t="s">
        <v>433</v>
      </c>
      <c r="M50" s="1014" t="s">
        <v>433</v>
      </c>
      <c r="N50" s="1015" t="s">
        <v>433</v>
      </c>
      <c r="O50" s="1016" t="s">
        <v>833</v>
      </c>
      <c r="P50" s="1017" t="s">
        <v>433</v>
      </c>
    </row>
    <row r="51">
      <c r="A51" s="1018" t="s">
        <v>851</v>
      </c>
      <c r="B51" s="1019" t="s">
        <v>456</v>
      </c>
      <c r="C51" s="1020" t="s">
        <v>836</v>
      </c>
      <c r="D51" s="1021" t="s">
        <v>435</v>
      </c>
      <c r="E51" s="1022" t="s">
        <v>829</v>
      </c>
      <c r="F51" s="1023" t="n">
        <v>28.0</v>
      </c>
      <c r="G51" s="1024" t="s">
        <v>434</v>
      </c>
      <c r="H51" s="1025" t="n">
        <v>28.0</v>
      </c>
      <c r="I51" s="1026" t="s">
        <v>434</v>
      </c>
      <c r="J51" s="1027" t="s">
        <v>830</v>
      </c>
      <c r="K51" s="1028" t="s">
        <v>433</v>
      </c>
      <c r="L51" s="1029" t="s">
        <v>433</v>
      </c>
      <c r="M51" s="1030" t="s">
        <v>433</v>
      </c>
      <c r="N51" s="1031" t="s">
        <v>433</v>
      </c>
      <c r="O51" s="1032" t="s">
        <v>833</v>
      </c>
      <c r="P51" s="1033" t="s">
        <v>433</v>
      </c>
    </row>
    <row r="52">
      <c r="A52" s="1034" t="s">
        <v>851</v>
      </c>
      <c r="B52" s="1035" t="s">
        <v>486</v>
      </c>
      <c r="C52" s="1036" t="s">
        <v>836</v>
      </c>
      <c r="D52" s="1037" t="s">
        <v>435</v>
      </c>
      <c r="E52" s="1038" t="s">
        <v>829</v>
      </c>
      <c r="F52" s="1039" t="n">
        <v>180.0</v>
      </c>
      <c r="G52" s="1040" t="s">
        <v>434</v>
      </c>
      <c r="H52" s="1041" t="n">
        <v>180.0</v>
      </c>
      <c r="I52" s="1042" t="s">
        <v>434</v>
      </c>
      <c r="J52" s="1043" t="s">
        <v>830</v>
      </c>
      <c r="K52" s="1044" t="s">
        <v>433</v>
      </c>
      <c r="L52" s="1045" t="s">
        <v>433</v>
      </c>
      <c r="M52" s="1046" t="s">
        <v>433</v>
      </c>
      <c r="N52" s="1047" t="s">
        <v>433</v>
      </c>
      <c r="O52" s="1048" t="s">
        <v>433</v>
      </c>
      <c r="P52" s="1049" t="s">
        <v>433</v>
      </c>
    </row>
    <row r="53">
      <c r="A53" s="1050" t="s">
        <v>851</v>
      </c>
      <c r="B53" s="1051" t="s">
        <v>439</v>
      </c>
      <c r="C53" s="1052" t="s">
        <v>828</v>
      </c>
      <c r="D53" s="1053" t="s">
        <v>435</v>
      </c>
      <c r="E53" s="1054" t="s">
        <v>829</v>
      </c>
      <c r="F53" s="1055" t="n">
        <v>68.25</v>
      </c>
      <c r="G53" s="1056" t="s">
        <v>434</v>
      </c>
      <c r="H53" s="1057" t="n">
        <v>68.25</v>
      </c>
      <c r="I53" s="1058" t="s">
        <v>434</v>
      </c>
      <c r="J53" s="1059" t="s">
        <v>830</v>
      </c>
      <c r="K53" s="1060" t="s">
        <v>433</v>
      </c>
      <c r="L53" s="1061" t="s">
        <v>433</v>
      </c>
      <c r="M53" s="1062" t="s">
        <v>433</v>
      </c>
      <c r="N53" s="1063" t="s">
        <v>433</v>
      </c>
      <c r="O53" s="1064" t="s">
        <v>833</v>
      </c>
      <c r="P53" s="1065" t="s">
        <v>433</v>
      </c>
    </row>
    <row r="54">
      <c r="A54" s="1066" t="s">
        <v>851</v>
      </c>
      <c r="B54" s="1067" t="s">
        <v>439</v>
      </c>
      <c r="C54" s="1068" t="s">
        <v>828</v>
      </c>
      <c r="D54" s="1069" t="s">
        <v>435</v>
      </c>
      <c r="E54" s="1070" t="s">
        <v>829</v>
      </c>
      <c r="F54" s="1071" t="n">
        <v>162.9</v>
      </c>
      <c r="G54" s="1072" t="s">
        <v>434</v>
      </c>
      <c r="H54" s="1073" t="n">
        <v>162.9</v>
      </c>
      <c r="I54" s="1074" t="s">
        <v>434</v>
      </c>
      <c r="J54" s="1075" t="s">
        <v>830</v>
      </c>
      <c r="K54" s="1076" t="s">
        <v>433</v>
      </c>
      <c r="L54" s="1077" t="s">
        <v>433</v>
      </c>
      <c r="M54" s="1078" t="s">
        <v>433</v>
      </c>
      <c r="N54" s="1079" t="s">
        <v>433</v>
      </c>
      <c r="O54" s="1080" t="s">
        <v>833</v>
      </c>
      <c r="P54" s="1081" t="s">
        <v>433</v>
      </c>
    </row>
    <row r="55">
      <c r="A55" s="1082" t="s">
        <v>851</v>
      </c>
      <c r="B55" s="1083" t="s">
        <v>439</v>
      </c>
      <c r="C55" s="1084" t="s">
        <v>828</v>
      </c>
      <c r="D55" s="1085" t="s">
        <v>435</v>
      </c>
      <c r="E55" s="1086" t="s">
        <v>829</v>
      </c>
      <c r="F55" s="1087" t="n">
        <v>122.2</v>
      </c>
      <c r="G55" s="1088" t="s">
        <v>434</v>
      </c>
      <c r="H55" s="1089" t="n">
        <v>122.2</v>
      </c>
      <c r="I55" s="1090" t="s">
        <v>434</v>
      </c>
      <c r="J55" s="1091" t="s">
        <v>830</v>
      </c>
      <c r="K55" s="1092" t="s">
        <v>433</v>
      </c>
      <c r="L55" s="1093" t="s">
        <v>433</v>
      </c>
      <c r="M55" s="1094" t="s">
        <v>433</v>
      </c>
      <c r="N55" s="1095" t="s">
        <v>433</v>
      </c>
      <c r="O55" s="1096" t="s">
        <v>833</v>
      </c>
      <c r="P55" s="1097" t="s">
        <v>433</v>
      </c>
    </row>
    <row r="56">
      <c r="A56" s="1098" t="s">
        <v>852</v>
      </c>
      <c r="B56" s="1099" t="s">
        <v>439</v>
      </c>
      <c r="C56" s="1100" t="s">
        <v>828</v>
      </c>
      <c r="D56" s="1101" t="s">
        <v>435</v>
      </c>
      <c r="E56" s="1102" t="s">
        <v>829</v>
      </c>
      <c r="F56" s="1103" t="n">
        <v>72.45</v>
      </c>
      <c r="G56" s="1104" t="s">
        <v>434</v>
      </c>
      <c r="H56" s="1105" t="n">
        <v>72.45</v>
      </c>
      <c r="I56" s="1106" t="s">
        <v>434</v>
      </c>
      <c r="J56" s="1107" t="s">
        <v>830</v>
      </c>
      <c r="K56" s="1108" t="s">
        <v>433</v>
      </c>
      <c r="L56" s="1109" t="s">
        <v>433</v>
      </c>
      <c r="M56" s="1110" t="s">
        <v>433</v>
      </c>
      <c r="N56" s="1111" t="s">
        <v>433</v>
      </c>
      <c r="O56" s="1112" t="s">
        <v>833</v>
      </c>
      <c r="P56" s="1113" t="s">
        <v>433</v>
      </c>
    </row>
    <row r="57">
      <c r="A57" s="1114" t="s">
        <v>852</v>
      </c>
      <c r="B57" s="1115" t="s">
        <v>439</v>
      </c>
      <c r="C57" s="1116" t="s">
        <v>828</v>
      </c>
      <c r="D57" s="1117" t="s">
        <v>435</v>
      </c>
      <c r="E57" s="1118" t="s">
        <v>829</v>
      </c>
      <c r="F57" s="1119" t="n">
        <v>79.97</v>
      </c>
      <c r="G57" s="1120" t="s">
        <v>434</v>
      </c>
      <c r="H57" s="1121" t="n">
        <v>79.97</v>
      </c>
      <c r="I57" s="1122" t="s">
        <v>434</v>
      </c>
      <c r="J57" s="1123" t="s">
        <v>830</v>
      </c>
      <c r="K57" s="1124" t="s">
        <v>433</v>
      </c>
      <c r="L57" s="1125" t="s">
        <v>433</v>
      </c>
      <c r="M57" s="1126" t="s">
        <v>433</v>
      </c>
      <c r="N57" s="1127" t="s">
        <v>433</v>
      </c>
      <c r="O57" s="1128" t="s">
        <v>833</v>
      </c>
      <c r="P57" s="1129" t="s">
        <v>433</v>
      </c>
    </row>
    <row r="58">
      <c r="A58" s="1130" t="s">
        <v>852</v>
      </c>
      <c r="B58" s="1131" t="s">
        <v>488</v>
      </c>
      <c r="C58" s="1132" t="s">
        <v>828</v>
      </c>
      <c r="D58" s="1133" t="s">
        <v>435</v>
      </c>
      <c r="E58" s="1134" t="s">
        <v>829</v>
      </c>
      <c r="F58" s="1135" t="n">
        <v>25.5</v>
      </c>
      <c r="G58" s="1136" t="s">
        <v>434</v>
      </c>
      <c r="H58" s="1137" t="n">
        <v>25.5</v>
      </c>
      <c r="I58" s="1138" t="s">
        <v>434</v>
      </c>
      <c r="J58" s="1139" t="s">
        <v>830</v>
      </c>
      <c r="K58" s="1140" t="s">
        <v>433</v>
      </c>
      <c r="L58" s="1141" t="s">
        <v>433</v>
      </c>
      <c r="M58" s="1142" t="s">
        <v>433</v>
      </c>
      <c r="N58" s="1143" t="s">
        <v>433</v>
      </c>
      <c r="O58" s="1144" t="s">
        <v>835</v>
      </c>
      <c r="P58" s="1145" t="s">
        <v>433</v>
      </c>
    </row>
    <row r="59">
      <c r="A59" s="1146" t="s">
        <v>853</v>
      </c>
      <c r="B59" s="1147" t="s">
        <v>494</v>
      </c>
      <c r="C59" s="1148" t="s">
        <v>828</v>
      </c>
      <c r="D59" s="1149" t="s">
        <v>435</v>
      </c>
      <c r="E59" s="1150" t="s">
        <v>829</v>
      </c>
      <c r="F59" s="1151" t="n">
        <v>22.5</v>
      </c>
      <c r="G59" s="1152" t="s">
        <v>434</v>
      </c>
      <c r="H59" s="1153" t="n">
        <v>22.5</v>
      </c>
      <c r="I59" s="1154" t="s">
        <v>434</v>
      </c>
      <c r="J59" s="1155" t="s">
        <v>830</v>
      </c>
      <c r="K59" s="1156" t="s">
        <v>433</v>
      </c>
      <c r="L59" s="1157" t="s">
        <v>433</v>
      </c>
      <c r="M59" s="1158" t="s">
        <v>433</v>
      </c>
      <c r="N59" s="1159" t="s">
        <v>433</v>
      </c>
      <c r="O59" s="1160" t="s">
        <v>433</v>
      </c>
      <c r="P59" s="1161" t="s">
        <v>433</v>
      </c>
    </row>
    <row r="60">
      <c r="A60" s="1162" t="s">
        <v>853</v>
      </c>
      <c r="B60" s="1163" t="s">
        <v>495</v>
      </c>
      <c r="C60" s="1164" t="s">
        <v>841</v>
      </c>
      <c r="D60" s="1165" t="s">
        <v>435</v>
      </c>
      <c r="E60" s="1166" t="s">
        <v>829</v>
      </c>
      <c r="F60" s="1167" t="n">
        <v>24.9</v>
      </c>
      <c r="G60" s="1168" t="s">
        <v>434</v>
      </c>
      <c r="H60" s="1169" t="n">
        <v>24.9</v>
      </c>
      <c r="I60" s="1170" t="s">
        <v>434</v>
      </c>
      <c r="J60" s="1171" t="s">
        <v>830</v>
      </c>
      <c r="K60" s="1172" t="s">
        <v>433</v>
      </c>
      <c r="L60" s="1173" t="s">
        <v>433</v>
      </c>
      <c r="M60" s="1174" t="s">
        <v>433</v>
      </c>
      <c r="N60" s="1175" t="s">
        <v>433</v>
      </c>
      <c r="O60" s="1176" t="s">
        <v>433</v>
      </c>
      <c r="P60" s="1177" t="s">
        <v>433</v>
      </c>
    </row>
    <row r="61">
      <c r="A61" s="1178" t="s">
        <v>853</v>
      </c>
      <c r="B61" s="1179" t="s">
        <v>439</v>
      </c>
      <c r="C61" s="1180" t="s">
        <v>828</v>
      </c>
      <c r="D61" s="1181" t="s">
        <v>435</v>
      </c>
      <c r="E61" s="1182" t="s">
        <v>829</v>
      </c>
      <c r="F61" s="1183" t="n">
        <v>72.45</v>
      </c>
      <c r="G61" s="1184" t="s">
        <v>434</v>
      </c>
      <c r="H61" s="1185" t="n">
        <v>72.45</v>
      </c>
      <c r="I61" s="1186" t="s">
        <v>434</v>
      </c>
      <c r="J61" s="1187" t="s">
        <v>830</v>
      </c>
      <c r="K61" s="1188" t="s">
        <v>433</v>
      </c>
      <c r="L61" s="1189" t="s">
        <v>433</v>
      </c>
      <c r="M61" s="1190" t="s">
        <v>433</v>
      </c>
      <c r="N61" s="1191" t="s">
        <v>433</v>
      </c>
      <c r="O61" s="1192" t="s">
        <v>833</v>
      </c>
      <c r="P61" s="1193" t="s">
        <v>433</v>
      </c>
    </row>
    <row r="62">
      <c r="A62" s="1194" t="s">
        <v>854</v>
      </c>
      <c r="B62" s="1195" t="s">
        <v>439</v>
      </c>
      <c r="C62" s="1196" t="s">
        <v>828</v>
      </c>
      <c r="D62" s="1197" t="s">
        <v>435</v>
      </c>
      <c r="E62" s="1198" t="s">
        <v>829</v>
      </c>
      <c r="F62" s="1199" t="n">
        <v>68.25</v>
      </c>
      <c r="G62" s="1200" t="s">
        <v>434</v>
      </c>
      <c r="H62" s="1201" t="n">
        <v>68.25</v>
      </c>
      <c r="I62" s="1202" t="s">
        <v>434</v>
      </c>
      <c r="J62" s="1203" t="s">
        <v>830</v>
      </c>
      <c r="K62" s="1204" t="s">
        <v>433</v>
      </c>
      <c r="L62" s="1205" t="s">
        <v>433</v>
      </c>
      <c r="M62" s="1206" t="s">
        <v>433</v>
      </c>
      <c r="N62" s="1207" t="s">
        <v>433</v>
      </c>
      <c r="O62" s="1208" t="s">
        <v>833</v>
      </c>
      <c r="P62" s="1209" t="s">
        <v>433</v>
      </c>
    </row>
    <row r="63">
      <c r="A63" s="1210" t="s">
        <v>854</v>
      </c>
      <c r="B63" s="1211" t="s">
        <v>439</v>
      </c>
      <c r="C63" s="1212" t="s">
        <v>828</v>
      </c>
      <c r="D63" s="1213" t="s">
        <v>435</v>
      </c>
      <c r="E63" s="1214" t="s">
        <v>829</v>
      </c>
      <c r="F63" s="1215" t="n">
        <v>154.7</v>
      </c>
      <c r="G63" s="1216" t="s">
        <v>434</v>
      </c>
      <c r="H63" s="1217" t="n">
        <v>154.7</v>
      </c>
      <c r="I63" s="1218" t="s">
        <v>434</v>
      </c>
      <c r="J63" s="1219" t="s">
        <v>830</v>
      </c>
      <c r="K63" s="1220" t="s">
        <v>433</v>
      </c>
      <c r="L63" s="1221" t="s">
        <v>433</v>
      </c>
      <c r="M63" s="1222" t="s">
        <v>433</v>
      </c>
      <c r="N63" s="1223" t="s">
        <v>433</v>
      </c>
      <c r="O63" s="1224" t="s">
        <v>833</v>
      </c>
      <c r="P63" s="1225" t="s">
        <v>433</v>
      </c>
    </row>
    <row r="64">
      <c r="A64" s="1226" t="s">
        <v>854</v>
      </c>
      <c r="B64" s="1227" t="s">
        <v>499</v>
      </c>
      <c r="C64" s="1228" t="s">
        <v>832</v>
      </c>
      <c r="D64" s="1229" t="s">
        <v>435</v>
      </c>
      <c r="E64" s="1230" t="s">
        <v>829</v>
      </c>
      <c r="F64" s="1231" t="n">
        <v>78.07</v>
      </c>
      <c r="G64" s="1232" t="s">
        <v>434</v>
      </c>
      <c r="H64" s="1233" t="n">
        <v>78.07</v>
      </c>
      <c r="I64" s="1234" t="s">
        <v>434</v>
      </c>
      <c r="J64" s="1235" t="s">
        <v>830</v>
      </c>
      <c r="K64" s="1236" t="s">
        <v>433</v>
      </c>
      <c r="L64" s="1237" t="s">
        <v>433</v>
      </c>
      <c r="M64" s="1238" t="s">
        <v>433</v>
      </c>
      <c r="N64" s="1239" t="s">
        <v>433</v>
      </c>
      <c r="O64" s="1240" t="s">
        <v>833</v>
      </c>
      <c r="P64" s="1241" t="s">
        <v>433</v>
      </c>
    </row>
    <row r="65">
      <c r="A65" s="1242" t="s">
        <v>854</v>
      </c>
      <c r="B65" s="1243" t="s">
        <v>440</v>
      </c>
      <c r="C65" s="1244" t="s">
        <v>836</v>
      </c>
      <c r="D65" s="1245" t="s">
        <v>435</v>
      </c>
      <c r="E65" s="1246" t="s">
        <v>829</v>
      </c>
      <c r="F65" s="1247" t="n">
        <v>90.0</v>
      </c>
      <c r="G65" s="1248" t="s">
        <v>434</v>
      </c>
      <c r="H65" s="1249" t="n">
        <v>90.0</v>
      </c>
      <c r="I65" s="1250" t="s">
        <v>434</v>
      </c>
      <c r="J65" s="1251" t="s">
        <v>830</v>
      </c>
      <c r="K65" s="1252" t="s">
        <v>433</v>
      </c>
      <c r="L65" s="1253" t="s">
        <v>433</v>
      </c>
      <c r="M65" s="1254" t="s">
        <v>433</v>
      </c>
      <c r="N65" s="1255" t="s">
        <v>433</v>
      </c>
      <c r="O65" s="1256" t="s">
        <v>833</v>
      </c>
      <c r="P65" s="1257" t="s">
        <v>433</v>
      </c>
    </row>
    <row r="66">
      <c r="A66" s="1258" t="s">
        <v>855</v>
      </c>
      <c r="B66" s="1259" t="s">
        <v>475</v>
      </c>
      <c r="C66" s="1260" t="s">
        <v>838</v>
      </c>
      <c r="D66" s="1261" t="s">
        <v>435</v>
      </c>
      <c r="E66" s="1262" t="s">
        <v>829</v>
      </c>
      <c r="F66" s="1263" t="n">
        <v>14.0</v>
      </c>
      <c r="G66" s="1264" t="s">
        <v>434</v>
      </c>
      <c r="H66" s="1265" t="n">
        <v>14.0</v>
      </c>
      <c r="I66" s="1266" t="s">
        <v>434</v>
      </c>
      <c r="J66" s="1267" t="s">
        <v>830</v>
      </c>
      <c r="K66" s="1268" t="s">
        <v>433</v>
      </c>
      <c r="L66" s="1269" t="s">
        <v>433</v>
      </c>
      <c r="M66" s="1270" t="s">
        <v>433</v>
      </c>
      <c r="N66" s="1271" t="s">
        <v>433</v>
      </c>
      <c r="O66" s="1272" t="s">
        <v>433</v>
      </c>
      <c r="P66" s="1273" t="s">
        <v>433</v>
      </c>
    </row>
    <row r="67">
      <c r="A67" s="1274" t="s">
        <v>855</v>
      </c>
      <c r="B67" s="1275" t="s">
        <v>501</v>
      </c>
      <c r="C67" s="1276" t="s">
        <v>832</v>
      </c>
      <c r="D67" s="1277" t="s">
        <v>435</v>
      </c>
      <c r="E67" s="1278" t="s">
        <v>829</v>
      </c>
      <c r="F67" s="1279" t="n">
        <v>124.0</v>
      </c>
      <c r="G67" s="1280" t="s">
        <v>434</v>
      </c>
      <c r="H67" s="1281" t="n">
        <v>124.0</v>
      </c>
      <c r="I67" s="1282" t="s">
        <v>434</v>
      </c>
      <c r="J67" s="1283" t="s">
        <v>830</v>
      </c>
      <c r="K67" s="1284" t="s">
        <v>433</v>
      </c>
      <c r="L67" s="1285" t="s">
        <v>433</v>
      </c>
      <c r="M67" s="1286" t="s">
        <v>433</v>
      </c>
      <c r="N67" s="1287" t="s">
        <v>433</v>
      </c>
      <c r="O67" s="1288" t="s">
        <v>833</v>
      </c>
      <c r="P67" s="1289" t="s">
        <v>433</v>
      </c>
    </row>
    <row r="68">
      <c r="A68" s="1290" t="s">
        <v>855</v>
      </c>
      <c r="B68" s="1291" t="s">
        <v>439</v>
      </c>
      <c r="C68" s="1292" t="s">
        <v>828</v>
      </c>
      <c r="D68" s="1293" t="s">
        <v>435</v>
      </c>
      <c r="E68" s="1294" t="s">
        <v>829</v>
      </c>
      <c r="F68" s="1295" t="n">
        <v>48.45</v>
      </c>
      <c r="G68" s="1296" t="s">
        <v>434</v>
      </c>
      <c r="H68" s="1297" t="n">
        <v>48.45</v>
      </c>
      <c r="I68" s="1298" t="s">
        <v>434</v>
      </c>
      <c r="J68" s="1299" t="s">
        <v>830</v>
      </c>
      <c r="K68" s="1300" t="s">
        <v>433</v>
      </c>
      <c r="L68" s="1301" t="s">
        <v>433</v>
      </c>
      <c r="M68" s="1302" t="s">
        <v>433</v>
      </c>
      <c r="N68" s="1303" t="s">
        <v>433</v>
      </c>
      <c r="O68" s="1304" t="s">
        <v>833</v>
      </c>
      <c r="P68" s="1305" t="s">
        <v>433</v>
      </c>
    </row>
    <row r="69">
      <c r="A69" s="1306" t="s">
        <v>855</v>
      </c>
      <c r="B69" s="1307" t="s">
        <v>439</v>
      </c>
      <c r="C69" s="1308" t="s">
        <v>828</v>
      </c>
      <c r="D69" s="1309" t="s">
        <v>435</v>
      </c>
      <c r="E69" s="1310" t="s">
        <v>829</v>
      </c>
      <c r="F69" s="1311" t="n">
        <v>100.8</v>
      </c>
      <c r="G69" s="1312" t="s">
        <v>434</v>
      </c>
      <c r="H69" s="1313" t="n">
        <v>100.8</v>
      </c>
      <c r="I69" s="1314" t="s">
        <v>434</v>
      </c>
      <c r="J69" s="1315" t="s">
        <v>830</v>
      </c>
      <c r="K69" s="1316" t="s">
        <v>433</v>
      </c>
      <c r="L69" s="1317" t="s">
        <v>433</v>
      </c>
      <c r="M69" s="1318" t="s">
        <v>433</v>
      </c>
      <c r="N69" s="1319" t="s">
        <v>433</v>
      </c>
      <c r="O69" s="1320" t="s">
        <v>833</v>
      </c>
      <c r="P69" s="1321" t="s">
        <v>433</v>
      </c>
    </row>
    <row r="70">
      <c r="A70" s="1322" t="s">
        <v>855</v>
      </c>
      <c r="B70" s="1323" t="s">
        <v>439</v>
      </c>
      <c r="C70" s="1324" t="s">
        <v>828</v>
      </c>
      <c r="D70" s="1325" t="s">
        <v>435</v>
      </c>
      <c r="E70" s="1326" t="s">
        <v>829</v>
      </c>
      <c r="F70" s="1327" t="n">
        <v>48.0</v>
      </c>
      <c r="G70" s="1328" t="s">
        <v>434</v>
      </c>
      <c r="H70" s="1329" t="n">
        <v>48.0</v>
      </c>
      <c r="I70" s="1330" t="s">
        <v>434</v>
      </c>
      <c r="J70" s="1331" t="s">
        <v>830</v>
      </c>
      <c r="K70" s="1332" t="s">
        <v>433</v>
      </c>
      <c r="L70" s="1333" t="s">
        <v>433</v>
      </c>
      <c r="M70" s="1334" t="s">
        <v>433</v>
      </c>
      <c r="N70" s="1335" t="s">
        <v>433</v>
      </c>
      <c r="O70" s="1336" t="s">
        <v>833</v>
      </c>
      <c r="P70" s="1337" t="s">
        <v>433</v>
      </c>
    </row>
    <row r="71">
      <c r="A71" s="1338" t="s">
        <v>855</v>
      </c>
      <c r="B71" s="1339" t="s">
        <v>441</v>
      </c>
      <c r="C71" s="1340" t="s">
        <v>836</v>
      </c>
      <c r="D71" s="1341" t="s">
        <v>435</v>
      </c>
      <c r="E71" s="1342" t="s">
        <v>829</v>
      </c>
      <c r="F71" s="1343" t="n">
        <v>20.0</v>
      </c>
      <c r="G71" s="1344" t="s">
        <v>434</v>
      </c>
      <c r="H71" s="1345" t="n">
        <v>20.0</v>
      </c>
      <c r="I71" s="1346" t="s">
        <v>434</v>
      </c>
      <c r="J71" s="1347" t="s">
        <v>830</v>
      </c>
      <c r="K71" s="1348" t="s">
        <v>433</v>
      </c>
      <c r="L71" s="1349" t="s">
        <v>433</v>
      </c>
      <c r="M71" s="1350" t="s">
        <v>433</v>
      </c>
      <c r="N71" s="1351" t="s">
        <v>433</v>
      </c>
      <c r="O71" s="1352" t="s">
        <v>833</v>
      </c>
      <c r="P71" s="1353" t="s">
        <v>433</v>
      </c>
    </row>
    <row r="72">
      <c r="A72" s="1354" t="s">
        <v>856</v>
      </c>
      <c r="B72" s="1355" t="s">
        <v>505</v>
      </c>
      <c r="C72" s="1356" t="s">
        <v>832</v>
      </c>
      <c r="D72" s="1357" t="s">
        <v>435</v>
      </c>
      <c r="E72" s="1358" t="s">
        <v>829</v>
      </c>
      <c r="F72" s="1359" t="n">
        <v>250.0</v>
      </c>
      <c r="G72" s="1360" t="s">
        <v>434</v>
      </c>
      <c r="H72" s="1361" t="n">
        <v>250.0</v>
      </c>
      <c r="I72" s="1362" t="s">
        <v>434</v>
      </c>
      <c r="J72" s="1363" t="s">
        <v>830</v>
      </c>
      <c r="K72" s="1364" t="s">
        <v>433</v>
      </c>
      <c r="L72" s="1365" t="s">
        <v>433</v>
      </c>
      <c r="M72" s="1366" t="s">
        <v>433</v>
      </c>
      <c r="N72" s="1367" t="s">
        <v>433</v>
      </c>
      <c r="O72" s="1368" t="s">
        <v>833</v>
      </c>
      <c r="P72" s="1369" t="s">
        <v>433</v>
      </c>
    </row>
    <row r="73">
      <c r="A73" s="1370" t="s">
        <v>856</v>
      </c>
      <c r="B73" s="1371" t="s">
        <v>439</v>
      </c>
      <c r="C73" s="1372" t="s">
        <v>828</v>
      </c>
      <c r="D73" s="1373" t="s">
        <v>435</v>
      </c>
      <c r="E73" s="1374" t="s">
        <v>829</v>
      </c>
      <c r="F73" s="1375" t="n">
        <v>94.5</v>
      </c>
      <c r="G73" s="1376" t="s">
        <v>434</v>
      </c>
      <c r="H73" s="1377" t="n">
        <v>94.5</v>
      </c>
      <c r="I73" s="1378" t="s">
        <v>434</v>
      </c>
      <c r="J73" s="1379" t="s">
        <v>830</v>
      </c>
      <c r="K73" s="1380" t="s">
        <v>433</v>
      </c>
      <c r="L73" s="1381" t="s">
        <v>433</v>
      </c>
      <c r="M73" s="1382" t="s">
        <v>433</v>
      </c>
      <c r="N73" s="1383" t="s">
        <v>433</v>
      </c>
      <c r="O73" s="1384" t="s">
        <v>833</v>
      </c>
      <c r="P73" s="1385" t="s">
        <v>433</v>
      </c>
    </row>
    <row r="74">
      <c r="A74" s="1386" t="s">
        <v>857</v>
      </c>
      <c r="B74" s="1387" t="s">
        <v>456</v>
      </c>
      <c r="C74" s="1388" t="s">
        <v>836</v>
      </c>
      <c r="D74" s="1389" t="s">
        <v>435</v>
      </c>
      <c r="E74" s="1390" t="s">
        <v>829</v>
      </c>
      <c r="F74" s="1391" t="n">
        <v>30.0</v>
      </c>
      <c r="G74" s="1392" t="s">
        <v>434</v>
      </c>
      <c r="H74" s="1393" t="n">
        <v>30.0</v>
      </c>
      <c r="I74" s="1394" t="s">
        <v>434</v>
      </c>
      <c r="J74" s="1395" t="s">
        <v>830</v>
      </c>
      <c r="K74" s="1396" t="s">
        <v>433</v>
      </c>
      <c r="L74" s="1397" t="s">
        <v>433</v>
      </c>
      <c r="M74" s="1398" t="s">
        <v>433</v>
      </c>
      <c r="N74" s="1399" t="s">
        <v>433</v>
      </c>
      <c r="O74" s="1400" t="s">
        <v>833</v>
      </c>
      <c r="P74" s="1401" t="s">
        <v>433</v>
      </c>
    </row>
    <row r="75">
      <c r="A75" s="1402" t="s">
        <v>857</v>
      </c>
      <c r="B75" s="1403" t="s">
        <v>456</v>
      </c>
      <c r="C75" s="1404" t="s">
        <v>836</v>
      </c>
      <c r="D75" s="1405" t="s">
        <v>435</v>
      </c>
      <c r="E75" s="1406" t="s">
        <v>829</v>
      </c>
      <c r="F75" s="1407" t="n">
        <v>-30.0</v>
      </c>
      <c r="G75" s="1408" t="s">
        <v>434</v>
      </c>
      <c r="H75" s="1409" t="n">
        <v>30.0</v>
      </c>
      <c r="I75" s="1410" t="s">
        <v>434</v>
      </c>
      <c r="J75" s="1411" t="s">
        <v>830</v>
      </c>
      <c r="K75" s="1412" t="s">
        <v>479</v>
      </c>
      <c r="L75" s="1413" t="s">
        <v>433</v>
      </c>
      <c r="M75" s="1414" t="s">
        <v>433</v>
      </c>
      <c r="N75" s="1415" t="s">
        <v>433</v>
      </c>
      <c r="O75" s="1416" t="s">
        <v>833</v>
      </c>
      <c r="P75" s="1417" t="s">
        <v>433</v>
      </c>
    </row>
    <row r="76">
      <c r="A76" s="1418" t="s">
        <v>857</v>
      </c>
      <c r="B76" s="1419" t="s">
        <v>508</v>
      </c>
      <c r="C76" s="1420" t="s">
        <v>841</v>
      </c>
      <c r="D76" s="1421" t="s">
        <v>435</v>
      </c>
      <c r="E76" s="1422" t="s">
        <v>829</v>
      </c>
      <c r="F76" s="1423" t="n">
        <v>136.0</v>
      </c>
      <c r="G76" s="1424" t="s">
        <v>434</v>
      </c>
      <c r="H76" s="1425" t="n">
        <v>136.0</v>
      </c>
      <c r="I76" s="1426" t="s">
        <v>434</v>
      </c>
      <c r="J76" s="1427" t="s">
        <v>830</v>
      </c>
      <c r="K76" s="1428" t="s">
        <v>433</v>
      </c>
      <c r="L76" s="1429" t="s">
        <v>433</v>
      </c>
      <c r="M76" s="1430" t="s">
        <v>433</v>
      </c>
      <c r="N76" s="1431" t="s">
        <v>433</v>
      </c>
      <c r="O76" s="1432" t="s">
        <v>433</v>
      </c>
      <c r="P76" s="1433" t="s">
        <v>433</v>
      </c>
    </row>
    <row r="77">
      <c r="A77" s="1434" t="s">
        <v>857</v>
      </c>
      <c r="B77" s="1435" t="s">
        <v>439</v>
      </c>
      <c r="C77" s="1436" t="s">
        <v>828</v>
      </c>
      <c r="D77" s="1437" t="s">
        <v>435</v>
      </c>
      <c r="E77" s="1438" t="s">
        <v>829</v>
      </c>
      <c r="F77" s="1439" t="n">
        <v>94.45</v>
      </c>
      <c r="G77" s="1440" t="s">
        <v>434</v>
      </c>
      <c r="H77" s="1441" t="n">
        <v>94.45</v>
      </c>
      <c r="I77" s="1442" t="s">
        <v>434</v>
      </c>
      <c r="J77" s="1443" t="s">
        <v>830</v>
      </c>
      <c r="K77" s="1444" t="s">
        <v>433</v>
      </c>
      <c r="L77" s="1445" t="s">
        <v>433</v>
      </c>
      <c r="M77" s="1446" t="s">
        <v>433</v>
      </c>
      <c r="N77" s="1447" t="s">
        <v>433</v>
      </c>
      <c r="O77" s="1448" t="s">
        <v>833</v>
      </c>
      <c r="P77" s="1449" t="s">
        <v>433</v>
      </c>
    </row>
    <row r="78">
      <c r="A78" s="1450" t="s">
        <v>857</v>
      </c>
      <c r="B78" s="1451" t="s">
        <v>441</v>
      </c>
      <c r="C78" s="1452" t="s">
        <v>836</v>
      </c>
      <c r="D78" s="1453" t="s">
        <v>435</v>
      </c>
      <c r="E78" s="1454" t="s">
        <v>829</v>
      </c>
      <c r="F78" s="1455" t="n">
        <v>14.0</v>
      </c>
      <c r="G78" s="1456" t="s">
        <v>434</v>
      </c>
      <c r="H78" s="1457" t="n">
        <v>14.0</v>
      </c>
      <c r="I78" s="1458" t="s">
        <v>434</v>
      </c>
      <c r="J78" s="1459" t="s">
        <v>830</v>
      </c>
      <c r="K78" s="1460" t="s">
        <v>433</v>
      </c>
      <c r="L78" s="1461" t="s">
        <v>433</v>
      </c>
      <c r="M78" s="1462" t="s">
        <v>433</v>
      </c>
      <c r="N78" s="1463" t="s">
        <v>433</v>
      </c>
      <c r="O78" s="1464" t="s">
        <v>833</v>
      </c>
      <c r="P78" s="1465" t="s">
        <v>433</v>
      </c>
    </row>
    <row r="79">
      <c r="A79" s="1466" t="s">
        <v>858</v>
      </c>
      <c r="B79" s="1467" t="s">
        <v>510</v>
      </c>
      <c r="C79" s="1468" t="s">
        <v>832</v>
      </c>
      <c r="D79" s="1469" t="s">
        <v>435</v>
      </c>
      <c r="E79" s="1470" t="s">
        <v>829</v>
      </c>
      <c r="F79" s="1471" t="n">
        <v>30.0</v>
      </c>
      <c r="G79" s="1472" t="s">
        <v>434</v>
      </c>
      <c r="H79" s="1473" t="n">
        <v>30.0</v>
      </c>
      <c r="I79" s="1474" t="s">
        <v>434</v>
      </c>
      <c r="J79" s="1475" t="s">
        <v>830</v>
      </c>
      <c r="K79" s="1476" t="s">
        <v>433</v>
      </c>
      <c r="L79" s="1477" t="s">
        <v>433</v>
      </c>
      <c r="M79" s="1478" t="s">
        <v>433</v>
      </c>
      <c r="N79" s="1479" t="s">
        <v>433</v>
      </c>
      <c r="O79" s="1480" t="s">
        <v>835</v>
      </c>
      <c r="P79" s="1481" t="s">
        <v>433</v>
      </c>
    </row>
    <row r="80">
      <c r="A80" s="1482" t="s">
        <v>858</v>
      </c>
      <c r="B80" s="1483" t="s">
        <v>511</v>
      </c>
      <c r="C80" s="1484" t="s">
        <v>828</v>
      </c>
      <c r="D80" s="1485" t="s">
        <v>435</v>
      </c>
      <c r="E80" s="1486" t="s">
        <v>829</v>
      </c>
      <c r="F80" s="1487" t="n">
        <v>155.0</v>
      </c>
      <c r="G80" s="1488" t="s">
        <v>434</v>
      </c>
      <c r="H80" s="1489" t="n">
        <v>155.0</v>
      </c>
      <c r="I80" s="1490" t="s">
        <v>434</v>
      </c>
      <c r="J80" s="1491" t="s">
        <v>830</v>
      </c>
      <c r="K80" s="1492" t="s">
        <v>433</v>
      </c>
      <c r="L80" s="1493" t="s">
        <v>433</v>
      </c>
      <c r="M80" s="1494" t="s">
        <v>433</v>
      </c>
      <c r="N80" s="1495" t="s">
        <v>433</v>
      </c>
      <c r="O80" s="1496" t="s">
        <v>433</v>
      </c>
      <c r="P80" s="1497" t="s">
        <v>433</v>
      </c>
    </row>
    <row r="81">
      <c r="A81" s="1498" t="s">
        <v>858</v>
      </c>
      <c r="B81" s="1499" t="s">
        <v>439</v>
      </c>
      <c r="C81" s="1500" t="s">
        <v>828</v>
      </c>
      <c r="D81" s="1501" t="s">
        <v>435</v>
      </c>
      <c r="E81" s="1502" t="s">
        <v>829</v>
      </c>
      <c r="F81" s="1503" t="n">
        <v>25.9</v>
      </c>
      <c r="G81" s="1504" t="s">
        <v>434</v>
      </c>
      <c r="H81" s="1505" t="n">
        <v>25.9</v>
      </c>
      <c r="I81" s="1506" t="s">
        <v>434</v>
      </c>
      <c r="J81" s="1507" t="s">
        <v>830</v>
      </c>
      <c r="K81" s="1508" t="s">
        <v>433</v>
      </c>
      <c r="L81" s="1509" t="s">
        <v>433</v>
      </c>
      <c r="M81" s="1510" t="s">
        <v>433</v>
      </c>
      <c r="N81" s="1511" t="s">
        <v>433</v>
      </c>
      <c r="O81" s="1512" t="s">
        <v>833</v>
      </c>
      <c r="P81" s="1513" t="s">
        <v>433</v>
      </c>
    </row>
    <row r="82">
      <c r="A82" s="1514" t="s">
        <v>858</v>
      </c>
      <c r="B82" s="1515" t="s">
        <v>439</v>
      </c>
      <c r="C82" s="1516" t="s">
        <v>828</v>
      </c>
      <c r="D82" s="1517" t="s">
        <v>435</v>
      </c>
      <c r="E82" s="1518" t="s">
        <v>829</v>
      </c>
      <c r="F82" s="1519" t="n">
        <v>52.9</v>
      </c>
      <c r="G82" s="1520" t="s">
        <v>434</v>
      </c>
      <c r="H82" s="1521" t="n">
        <v>52.9</v>
      </c>
      <c r="I82" s="1522" t="s">
        <v>434</v>
      </c>
      <c r="J82" s="1523" t="s">
        <v>830</v>
      </c>
      <c r="K82" s="1524" t="s">
        <v>433</v>
      </c>
      <c r="L82" s="1525" t="s">
        <v>433</v>
      </c>
      <c r="M82" s="1526" t="s">
        <v>433</v>
      </c>
      <c r="N82" s="1527" t="s">
        <v>433</v>
      </c>
      <c r="O82" s="1528" t="s">
        <v>833</v>
      </c>
      <c r="P82" s="1529" t="s">
        <v>433</v>
      </c>
    </row>
    <row r="83">
      <c r="A83" s="1530" t="s">
        <v>858</v>
      </c>
      <c r="B83" s="1531" t="s">
        <v>442</v>
      </c>
      <c r="C83" s="1532" t="s">
        <v>836</v>
      </c>
      <c r="D83" s="1533" t="s">
        <v>435</v>
      </c>
      <c r="E83" s="1534" t="s">
        <v>829</v>
      </c>
      <c r="F83" s="1535" t="n">
        <v>190.0</v>
      </c>
      <c r="G83" s="1536" t="s">
        <v>434</v>
      </c>
      <c r="H83" s="1537" t="n">
        <v>190.0</v>
      </c>
      <c r="I83" s="1538" t="s">
        <v>434</v>
      </c>
      <c r="J83" s="1539" t="s">
        <v>830</v>
      </c>
      <c r="K83" s="1540" t="s">
        <v>433</v>
      </c>
      <c r="L83" s="1541" t="s">
        <v>433</v>
      </c>
      <c r="M83" s="1542" t="s">
        <v>433</v>
      </c>
      <c r="N83" s="1543" t="s">
        <v>433</v>
      </c>
      <c r="O83" s="1544" t="s">
        <v>835</v>
      </c>
      <c r="P83" s="1545" t="s">
        <v>433</v>
      </c>
    </row>
    <row r="84">
      <c r="A84" s="1546" t="s">
        <v>859</v>
      </c>
      <c r="B84" s="1547" t="s">
        <v>442</v>
      </c>
      <c r="C84" s="1548" t="s">
        <v>836</v>
      </c>
      <c r="D84" s="1549" t="s">
        <v>435</v>
      </c>
      <c r="E84" s="1550" t="s">
        <v>829</v>
      </c>
      <c r="F84" s="1551" t="n">
        <v>190.0</v>
      </c>
      <c r="G84" s="1552" t="s">
        <v>434</v>
      </c>
      <c r="H84" s="1553" t="n">
        <v>190.0</v>
      </c>
      <c r="I84" s="1554" t="s">
        <v>434</v>
      </c>
      <c r="J84" s="1555" t="s">
        <v>830</v>
      </c>
      <c r="K84" s="1556" t="s">
        <v>433</v>
      </c>
      <c r="L84" s="1557" t="s">
        <v>433</v>
      </c>
      <c r="M84" s="1558" t="s">
        <v>433</v>
      </c>
      <c r="N84" s="1559" t="s">
        <v>433</v>
      </c>
      <c r="O84" s="1560" t="s">
        <v>835</v>
      </c>
      <c r="P84" s="1561" t="s">
        <v>433</v>
      </c>
    </row>
    <row r="85">
      <c r="A85" s="1562" t="s">
        <v>859</v>
      </c>
      <c r="B85" s="1563" t="s">
        <v>439</v>
      </c>
      <c r="C85" s="1564" t="s">
        <v>828</v>
      </c>
      <c r="D85" s="1565" t="s">
        <v>435</v>
      </c>
      <c r="E85" s="1566" t="s">
        <v>829</v>
      </c>
      <c r="F85" s="1567" t="n">
        <v>36.98</v>
      </c>
      <c r="G85" s="1568" t="s">
        <v>434</v>
      </c>
      <c r="H85" s="1569" t="n">
        <v>36.98</v>
      </c>
      <c r="I85" s="1570" t="s">
        <v>434</v>
      </c>
      <c r="J85" s="1571" t="s">
        <v>830</v>
      </c>
      <c r="K85" s="1572" t="s">
        <v>433</v>
      </c>
      <c r="L85" s="1573" t="s">
        <v>433</v>
      </c>
      <c r="M85" s="1574" t="s">
        <v>433</v>
      </c>
      <c r="N85" s="1575" t="s">
        <v>433</v>
      </c>
      <c r="O85" s="1576" t="s">
        <v>833</v>
      </c>
      <c r="P85" s="1577" t="s">
        <v>433</v>
      </c>
    </row>
    <row r="86">
      <c r="A86" s="1578" t="s">
        <v>859</v>
      </c>
      <c r="B86" s="1579" t="s">
        <v>439</v>
      </c>
      <c r="C86" s="1580" t="s">
        <v>828</v>
      </c>
      <c r="D86" s="1581" t="s">
        <v>435</v>
      </c>
      <c r="E86" s="1582" t="s">
        <v>829</v>
      </c>
      <c r="F86" s="1583" t="n">
        <v>67.0</v>
      </c>
      <c r="G86" s="1584" t="s">
        <v>434</v>
      </c>
      <c r="H86" s="1585" t="n">
        <v>67.0</v>
      </c>
      <c r="I86" s="1586" t="s">
        <v>434</v>
      </c>
      <c r="J86" s="1587" t="s">
        <v>830</v>
      </c>
      <c r="K86" s="1588" t="s">
        <v>433</v>
      </c>
      <c r="L86" s="1589" t="s">
        <v>433</v>
      </c>
      <c r="M86" s="1590" t="s">
        <v>433</v>
      </c>
      <c r="N86" s="1591" t="s">
        <v>433</v>
      </c>
      <c r="O86" s="1592" t="s">
        <v>833</v>
      </c>
      <c r="P86" s="1593" t="s">
        <v>433</v>
      </c>
    </row>
    <row r="87">
      <c r="A87" s="1594" t="s">
        <v>859</v>
      </c>
      <c r="B87" s="1595" t="s">
        <v>513</v>
      </c>
      <c r="C87" s="1596" t="s">
        <v>860</v>
      </c>
      <c r="D87" s="1597" t="s">
        <v>435</v>
      </c>
      <c r="E87" s="1598" t="s">
        <v>829</v>
      </c>
      <c r="F87" s="1599" t="n">
        <v>150.0</v>
      </c>
      <c r="G87" s="1600" t="s">
        <v>434</v>
      </c>
      <c r="H87" s="1601" t="n">
        <v>150.0</v>
      </c>
      <c r="I87" s="1602" t="s">
        <v>434</v>
      </c>
      <c r="J87" s="1603" t="s">
        <v>830</v>
      </c>
      <c r="K87" s="1604" t="s">
        <v>514</v>
      </c>
      <c r="L87" s="1605" t="s">
        <v>433</v>
      </c>
      <c r="M87" s="1606" t="s">
        <v>433</v>
      </c>
      <c r="N87" s="1607" t="s">
        <v>433</v>
      </c>
      <c r="O87" s="1608" t="s">
        <v>835</v>
      </c>
      <c r="P87" s="1609" t="s">
        <v>433</v>
      </c>
    </row>
    <row r="88">
      <c r="A88" s="1610" t="s">
        <v>859</v>
      </c>
      <c r="B88" s="1611" t="s">
        <v>513</v>
      </c>
      <c r="C88" s="1612" t="s">
        <v>860</v>
      </c>
      <c r="D88" s="1613" t="s">
        <v>435</v>
      </c>
      <c r="E88" s="1614" t="s">
        <v>829</v>
      </c>
      <c r="F88" s="1615" t="n">
        <v>90.0</v>
      </c>
      <c r="G88" s="1616" t="s">
        <v>434</v>
      </c>
      <c r="H88" s="1617" t="n">
        <v>90.0</v>
      </c>
      <c r="I88" s="1618" t="s">
        <v>434</v>
      </c>
      <c r="J88" s="1619" t="s">
        <v>830</v>
      </c>
      <c r="K88" s="1620" t="s">
        <v>515</v>
      </c>
      <c r="L88" s="1621" t="s">
        <v>433</v>
      </c>
      <c r="M88" s="1622" t="s">
        <v>433</v>
      </c>
      <c r="N88" s="1623" t="s">
        <v>433</v>
      </c>
      <c r="O88" s="1624" t="s">
        <v>835</v>
      </c>
      <c r="P88" s="1625" t="s">
        <v>433</v>
      </c>
    </row>
    <row r="89">
      <c r="A89" s="1626" t="s">
        <v>861</v>
      </c>
      <c r="B89" s="1627" t="s">
        <v>518</v>
      </c>
      <c r="C89" s="1628" t="s">
        <v>860</v>
      </c>
      <c r="D89" s="1629" t="s">
        <v>435</v>
      </c>
      <c r="E89" s="1630" t="s">
        <v>829</v>
      </c>
      <c r="F89" s="1631" t="n">
        <v>150.0</v>
      </c>
      <c r="G89" s="1632" t="s">
        <v>434</v>
      </c>
      <c r="H89" s="1633" t="n">
        <v>150.0</v>
      </c>
      <c r="I89" s="1634" t="s">
        <v>434</v>
      </c>
      <c r="J89" s="1635" t="s">
        <v>830</v>
      </c>
      <c r="K89" s="1636" t="s">
        <v>519</v>
      </c>
      <c r="L89" s="1637" t="s">
        <v>433</v>
      </c>
      <c r="M89" s="1638" t="s">
        <v>433</v>
      </c>
      <c r="N89" s="1639" t="s">
        <v>433</v>
      </c>
      <c r="O89" s="1640" t="s">
        <v>833</v>
      </c>
      <c r="P89" s="1641" t="s">
        <v>433</v>
      </c>
    </row>
    <row r="90">
      <c r="A90" s="1642" t="s">
        <v>861</v>
      </c>
      <c r="B90" s="1643" t="s">
        <v>439</v>
      </c>
      <c r="C90" s="1644" t="s">
        <v>828</v>
      </c>
      <c r="D90" s="1645" t="s">
        <v>435</v>
      </c>
      <c r="E90" s="1646" t="s">
        <v>829</v>
      </c>
      <c r="F90" s="1647" t="n">
        <v>80.25</v>
      </c>
      <c r="G90" s="1648" t="s">
        <v>434</v>
      </c>
      <c r="H90" s="1649" t="n">
        <v>80.25</v>
      </c>
      <c r="I90" s="1650" t="s">
        <v>434</v>
      </c>
      <c r="J90" s="1651" t="s">
        <v>830</v>
      </c>
      <c r="K90" s="1652" t="s">
        <v>433</v>
      </c>
      <c r="L90" s="1653" t="s">
        <v>433</v>
      </c>
      <c r="M90" s="1654" t="s">
        <v>433</v>
      </c>
      <c r="N90" s="1655" t="s">
        <v>433</v>
      </c>
      <c r="O90" s="1656" t="s">
        <v>833</v>
      </c>
      <c r="P90" s="1657" t="s">
        <v>433</v>
      </c>
    </row>
    <row r="91">
      <c r="A91" s="1658" t="s">
        <v>861</v>
      </c>
      <c r="B91" s="1659" t="s">
        <v>439</v>
      </c>
      <c r="C91" s="1660" t="s">
        <v>828</v>
      </c>
      <c r="D91" s="1661" t="s">
        <v>435</v>
      </c>
      <c r="E91" s="1662" t="s">
        <v>829</v>
      </c>
      <c r="F91" s="1663" t="n">
        <v>72.45</v>
      </c>
      <c r="G91" s="1664" t="s">
        <v>434</v>
      </c>
      <c r="H91" s="1665" t="n">
        <v>72.45</v>
      </c>
      <c r="I91" s="1666" t="s">
        <v>434</v>
      </c>
      <c r="J91" s="1667" t="s">
        <v>830</v>
      </c>
      <c r="K91" s="1668" t="s">
        <v>433</v>
      </c>
      <c r="L91" s="1669" t="s">
        <v>433</v>
      </c>
      <c r="M91" s="1670" t="s">
        <v>433</v>
      </c>
      <c r="N91" s="1671" t="s">
        <v>433</v>
      </c>
      <c r="O91" s="1672" t="s">
        <v>833</v>
      </c>
      <c r="P91" s="1673" t="s">
        <v>433</v>
      </c>
    </row>
    <row r="92">
      <c r="A92" s="1674" t="s">
        <v>862</v>
      </c>
      <c r="B92" s="1675" t="s">
        <v>521</v>
      </c>
      <c r="C92" s="1676" t="s">
        <v>828</v>
      </c>
      <c r="D92" s="1677" t="s">
        <v>435</v>
      </c>
      <c r="E92" s="1678" t="s">
        <v>829</v>
      </c>
      <c r="F92" s="1679" t="n">
        <v>18.5</v>
      </c>
      <c r="G92" s="1680" t="s">
        <v>434</v>
      </c>
      <c r="H92" s="1681" t="n">
        <v>18.5</v>
      </c>
      <c r="I92" s="1682" t="s">
        <v>434</v>
      </c>
      <c r="J92" s="1683" t="s">
        <v>830</v>
      </c>
      <c r="K92" s="1684" t="s">
        <v>433</v>
      </c>
      <c r="L92" s="1685" t="s">
        <v>433</v>
      </c>
      <c r="M92" s="1686" t="s">
        <v>433</v>
      </c>
      <c r="N92" s="1687" t="s">
        <v>433</v>
      </c>
      <c r="O92" s="1688" t="s">
        <v>831</v>
      </c>
      <c r="P92" s="1689" t="s">
        <v>433</v>
      </c>
    </row>
    <row r="93">
      <c r="A93" s="1690" t="s">
        <v>862</v>
      </c>
      <c r="B93" s="1691" t="s">
        <v>475</v>
      </c>
      <c r="C93" s="1692" t="s">
        <v>838</v>
      </c>
      <c r="D93" s="1693" t="s">
        <v>435</v>
      </c>
      <c r="E93" s="1694" t="s">
        <v>829</v>
      </c>
      <c r="F93" s="1695" t="n">
        <v>29.9</v>
      </c>
      <c r="G93" s="1696" t="s">
        <v>434</v>
      </c>
      <c r="H93" s="1697" t="n">
        <v>29.9</v>
      </c>
      <c r="I93" s="1698" t="s">
        <v>434</v>
      </c>
      <c r="J93" s="1699" t="s">
        <v>830</v>
      </c>
      <c r="K93" s="1700" t="s">
        <v>433</v>
      </c>
      <c r="L93" s="1701" t="s">
        <v>433</v>
      </c>
      <c r="M93" s="1702" t="s">
        <v>433</v>
      </c>
      <c r="N93" s="1703" t="s">
        <v>433</v>
      </c>
      <c r="O93" s="1704" t="s">
        <v>433</v>
      </c>
      <c r="P93" s="1705" t="s">
        <v>433</v>
      </c>
    </row>
    <row r="94">
      <c r="A94" s="1706" t="s">
        <v>862</v>
      </c>
      <c r="B94" s="1707" t="s">
        <v>522</v>
      </c>
      <c r="C94" s="1708" t="s">
        <v>838</v>
      </c>
      <c r="D94" s="1709" t="s">
        <v>435</v>
      </c>
      <c r="E94" s="1710" t="s">
        <v>829</v>
      </c>
      <c r="F94" s="1711" t="n">
        <v>57.0</v>
      </c>
      <c r="G94" s="1712" t="s">
        <v>434</v>
      </c>
      <c r="H94" s="1713" t="n">
        <v>57.0</v>
      </c>
      <c r="I94" s="1714" t="s">
        <v>434</v>
      </c>
      <c r="J94" s="1715" t="s">
        <v>830</v>
      </c>
      <c r="K94" s="1716" t="s">
        <v>433</v>
      </c>
      <c r="L94" s="1717" t="s">
        <v>433</v>
      </c>
      <c r="M94" s="1718" t="s">
        <v>433</v>
      </c>
      <c r="N94" s="1719" t="s">
        <v>433</v>
      </c>
      <c r="O94" s="1720" t="s">
        <v>433</v>
      </c>
      <c r="P94" s="1721" t="s">
        <v>433</v>
      </c>
    </row>
    <row r="95">
      <c r="A95" s="1722" t="s">
        <v>862</v>
      </c>
      <c r="B95" s="1723" t="s">
        <v>471</v>
      </c>
      <c r="C95" s="1724" t="s">
        <v>838</v>
      </c>
      <c r="D95" s="1725" t="s">
        <v>435</v>
      </c>
      <c r="E95" s="1726" t="s">
        <v>829</v>
      </c>
      <c r="F95" s="1727" t="n">
        <v>10.8</v>
      </c>
      <c r="G95" s="1728" t="s">
        <v>434</v>
      </c>
      <c r="H95" s="1729" t="n">
        <v>10.8</v>
      </c>
      <c r="I95" s="1730" t="s">
        <v>434</v>
      </c>
      <c r="J95" s="1731" t="s">
        <v>830</v>
      </c>
      <c r="K95" s="1732" t="s">
        <v>433</v>
      </c>
      <c r="L95" s="1733" t="s">
        <v>433</v>
      </c>
      <c r="M95" s="1734" t="s">
        <v>433</v>
      </c>
      <c r="N95" s="1735" t="s">
        <v>433</v>
      </c>
      <c r="O95" s="1736" t="s">
        <v>433</v>
      </c>
      <c r="P95" s="1737" t="s">
        <v>433</v>
      </c>
    </row>
    <row r="96">
      <c r="A96" s="1738" t="s">
        <v>862</v>
      </c>
      <c r="B96" s="1739" t="s">
        <v>432</v>
      </c>
      <c r="C96" s="1740" t="s">
        <v>828</v>
      </c>
      <c r="D96" s="1741" t="s">
        <v>435</v>
      </c>
      <c r="E96" s="1742" t="s">
        <v>829</v>
      </c>
      <c r="F96" s="1743" t="n">
        <v>22.0</v>
      </c>
      <c r="G96" s="1744" t="s">
        <v>434</v>
      </c>
      <c r="H96" s="1745" t="n">
        <v>22.0</v>
      </c>
      <c r="I96" s="1746" t="s">
        <v>434</v>
      </c>
      <c r="J96" s="1747" t="s">
        <v>830</v>
      </c>
      <c r="K96" s="1748" t="s">
        <v>433</v>
      </c>
      <c r="L96" s="1749" t="s">
        <v>433</v>
      </c>
      <c r="M96" s="1750" t="s">
        <v>433</v>
      </c>
      <c r="N96" s="1751" t="s">
        <v>433</v>
      </c>
      <c r="O96" s="1752" t="s">
        <v>831</v>
      </c>
      <c r="P96" s="1753" t="s">
        <v>433</v>
      </c>
    </row>
    <row r="97">
      <c r="A97" s="1754" t="s">
        <v>862</v>
      </c>
      <c r="B97" s="1755" t="s">
        <v>439</v>
      </c>
      <c r="C97" s="1756" t="s">
        <v>828</v>
      </c>
      <c r="D97" s="1757" t="s">
        <v>435</v>
      </c>
      <c r="E97" s="1758" t="s">
        <v>829</v>
      </c>
      <c r="F97" s="1759" t="n">
        <v>163.58</v>
      </c>
      <c r="G97" s="1760" t="s">
        <v>434</v>
      </c>
      <c r="H97" s="1761" t="n">
        <v>163.58</v>
      </c>
      <c r="I97" s="1762" t="s">
        <v>434</v>
      </c>
      <c r="J97" s="1763" t="s">
        <v>830</v>
      </c>
      <c r="K97" s="1764" t="s">
        <v>433</v>
      </c>
      <c r="L97" s="1765" t="s">
        <v>433</v>
      </c>
      <c r="M97" s="1766" t="s">
        <v>433</v>
      </c>
      <c r="N97" s="1767" t="s">
        <v>433</v>
      </c>
      <c r="O97" s="1768" t="s">
        <v>833</v>
      </c>
      <c r="P97" s="1769" t="s">
        <v>433</v>
      </c>
    </row>
    <row r="98">
      <c r="A98" s="1770" t="s">
        <v>862</v>
      </c>
      <c r="B98" s="1771" t="s">
        <v>439</v>
      </c>
      <c r="C98" s="1772" t="s">
        <v>828</v>
      </c>
      <c r="D98" s="1773" t="s">
        <v>435</v>
      </c>
      <c r="E98" s="1774" t="s">
        <v>829</v>
      </c>
      <c r="F98" s="1775" t="n">
        <v>67.2</v>
      </c>
      <c r="G98" s="1776" t="s">
        <v>434</v>
      </c>
      <c r="H98" s="1777" t="n">
        <v>67.2</v>
      </c>
      <c r="I98" s="1778" t="s">
        <v>434</v>
      </c>
      <c r="J98" s="1779" t="s">
        <v>830</v>
      </c>
      <c r="K98" s="1780" t="s">
        <v>433</v>
      </c>
      <c r="L98" s="1781" t="s">
        <v>433</v>
      </c>
      <c r="M98" s="1782" t="s">
        <v>433</v>
      </c>
      <c r="N98" s="1783" t="s">
        <v>433</v>
      </c>
      <c r="O98" s="1784" t="s">
        <v>833</v>
      </c>
      <c r="P98" s="1785" t="s">
        <v>433</v>
      </c>
    </row>
    <row r="99">
      <c r="A99" s="1786" t="s">
        <v>862</v>
      </c>
      <c r="B99" s="1787" t="s">
        <v>440</v>
      </c>
      <c r="C99" s="1788" t="s">
        <v>836</v>
      </c>
      <c r="D99" s="1789" t="s">
        <v>435</v>
      </c>
      <c r="E99" s="1790" t="s">
        <v>829</v>
      </c>
      <c r="F99" s="1791" t="n">
        <v>37.5</v>
      </c>
      <c r="G99" s="1792" t="s">
        <v>434</v>
      </c>
      <c r="H99" s="1793" t="n">
        <v>37.5</v>
      </c>
      <c r="I99" s="1794" t="s">
        <v>434</v>
      </c>
      <c r="J99" s="1795" t="s">
        <v>830</v>
      </c>
      <c r="K99" s="1796" t="s">
        <v>433</v>
      </c>
      <c r="L99" s="1797" t="s">
        <v>433</v>
      </c>
      <c r="M99" s="1798" t="s">
        <v>433</v>
      </c>
      <c r="N99" s="1799" t="s">
        <v>433</v>
      </c>
      <c r="O99" s="1800" t="s">
        <v>833</v>
      </c>
      <c r="P99" s="1801" t="s">
        <v>433</v>
      </c>
    </row>
    <row r="100">
      <c r="A100" s="1802" t="s">
        <v>862</v>
      </c>
      <c r="B100" s="1803" t="s">
        <v>440</v>
      </c>
      <c r="C100" s="1804" t="s">
        <v>836</v>
      </c>
      <c r="D100" s="1805" t="s">
        <v>435</v>
      </c>
      <c r="E100" s="1806" t="s">
        <v>829</v>
      </c>
      <c r="F100" s="1807" t="n">
        <v>150.0</v>
      </c>
      <c r="G100" s="1808" t="s">
        <v>434</v>
      </c>
      <c r="H100" s="1809" t="n">
        <v>150.0</v>
      </c>
      <c r="I100" s="1810" t="s">
        <v>434</v>
      </c>
      <c r="J100" s="1811" t="s">
        <v>830</v>
      </c>
      <c r="K100" s="1812" t="s">
        <v>433</v>
      </c>
      <c r="L100" s="1813" t="s">
        <v>433</v>
      </c>
      <c r="M100" s="1814" t="s">
        <v>433</v>
      </c>
      <c r="N100" s="1815" t="s">
        <v>433</v>
      </c>
      <c r="O100" s="1816" t="s">
        <v>833</v>
      </c>
      <c r="P100" s="1817" t="s">
        <v>433</v>
      </c>
    </row>
    <row r="101">
      <c r="A101" s="1818" t="s">
        <v>862</v>
      </c>
      <c r="B101" s="1819" t="s">
        <v>513</v>
      </c>
      <c r="C101" s="1820" t="s">
        <v>860</v>
      </c>
      <c r="D101" s="1821" t="s">
        <v>435</v>
      </c>
      <c r="E101" s="1822" t="s">
        <v>829</v>
      </c>
      <c r="F101" s="1823" t="n">
        <v>150.0</v>
      </c>
      <c r="G101" s="1824" t="s">
        <v>434</v>
      </c>
      <c r="H101" s="1825" t="n">
        <v>150.0</v>
      </c>
      <c r="I101" s="1826" t="s">
        <v>434</v>
      </c>
      <c r="J101" s="1827" t="s">
        <v>830</v>
      </c>
      <c r="K101" s="1828" t="s">
        <v>514</v>
      </c>
      <c r="L101" s="1829" t="s">
        <v>433</v>
      </c>
      <c r="M101" s="1830" t="s">
        <v>433</v>
      </c>
      <c r="N101" s="1831" t="s">
        <v>433</v>
      </c>
      <c r="O101" s="1832" t="s">
        <v>835</v>
      </c>
      <c r="P101" s="1833" t="s">
        <v>433</v>
      </c>
    </row>
    <row r="102">
      <c r="A102" s="1834" t="s">
        <v>863</v>
      </c>
      <c r="B102" s="1835" t="s">
        <v>525</v>
      </c>
      <c r="C102" s="1836" t="s">
        <v>841</v>
      </c>
      <c r="D102" s="1837" t="s">
        <v>435</v>
      </c>
      <c r="E102" s="1838" t="s">
        <v>829</v>
      </c>
      <c r="F102" s="1839" t="n">
        <v>21.9</v>
      </c>
      <c r="G102" s="1840" t="s">
        <v>434</v>
      </c>
      <c r="H102" s="1841" t="n">
        <v>21.9</v>
      </c>
      <c r="I102" s="1842" t="s">
        <v>434</v>
      </c>
      <c r="J102" s="1843" t="s">
        <v>830</v>
      </c>
      <c r="K102" s="1844" t="s">
        <v>433</v>
      </c>
      <c r="L102" s="1845" t="s">
        <v>433</v>
      </c>
      <c r="M102" s="1846" t="s">
        <v>433</v>
      </c>
      <c r="N102" s="1847" t="s">
        <v>433</v>
      </c>
      <c r="O102" s="1848" t="s">
        <v>433</v>
      </c>
      <c r="P102" s="1849" t="s">
        <v>433</v>
      </c>
    </row>
    <row r="103">
      <c r="A103" s="1850" t="s">
        <v>863</v>
      </c>
      <c r="B103" s="1851" t="s">
        <v>494</v>
      </c>
      <c r="C103" s="1852" t="s">
        <v>828</v>
      </c>
      <c r="D103" s="1853" t="s">
        <v>435</v>
      </c>
      <c r="E103" s="1854" t="s">
        <v>829</v>
      </c>
      <c r="F103" s="1855" t="n">
        <v>18.0</v>
      </c>
      <c r="G103" s="1856" t="s">
        <v>434</v>
      </c>
      <c r="H103" s="1857" t="n">
        <v>18.0</v>
      </c>
      <c r="I103" s="1858" t="s">
        <v>434</v>
      </c>
      <c r="J103" s="1859" t="s">
        <v>830</v>
      </c>
      <c r="K103" s="1860" t="s">
        <v>433</v>
      </c>
      <c r="L103" s="1861" t="s">
        <v>433</v>
      </c>
      <c r="M103" s="1862" t="s">
        <v>433</v>
      </c>
      <c r="N103" s="1863" t="s">
        <v>433</v>
      </c>
      <c r="O103" s="1864" t="s">
        <v>433</v>
      </c>
      <c r="P103" s="1865" t="s">
        <v>433</v>
      </c>
    </row>
    <row r="104">
      <c r="A104" s="1866" t="s">
        <v>863</v>
      </c>
      <c r="B104" s="1867" t="s">
        <v>495</v>
      </c>
      <c r="C104" s="1868" t="s">
        <v>841</v>
      </c>
      <c r="D104" s="1869" t="s">
        <v>435</v>
      </c>
      <c r="E104" s="1870" t="s">
        <v>829</v>
      </c>
      <c r="F104" s="1871" t="n">
        <v>63.7</v>
      </c>
      <c r="G104" s="1872" t="s">
        <v>434</v>
      </c>
      <c r="H104" s="1873" t="n">
        <v>63.7</v>
      </c>
      <c r="I104" s="1874" t="s">
        <v>434</v>
      </c>
      <c r="J104" s="1875" t="s">
        <v>830</v>
      </c>
      <c r="K104" s="1876" t="s">
        <v>433</v>
      </c>
      <c r="L104" s="1877" t="s">
        <v>433</v>
      </c>
      <c r="M104" s="1878" t="s">
        <v>433</v>
      </c>
      <c r="N104" s="1879" t="s">
        <v>433</v>
      </c>
      <c r="O104" s="1880" t="s">
        <v>433</v>
      </c>
      <c r="P104" s="1881" t="s">
        <v>433</v>
      </c>
    </row>
    <row r="105">
      <c r="A105" s="1882" t="s">
        <v>863</v>
      </c>
      <c r="B105" s="1883" t="s">
        <v>439</v>
      </c>
      <c r="C105" s="1884" t="s">
        <v>828</v>
      </c>
      <c r="D105" s="1885" t="s">
        <v>435</v>
      </c>
      <c r="E105" s="1886" t="s">
        <v>829</v>
      </c>
      <c r="F105" s="1887" t="n">
        <v>67.0</v>
      </c>
      <c r="G105" s="1888" t="s">
        <v>434</v>
      </c>
      <c r="H105" s="1889" t="n">
        <v>67.0</v>
      </c>
      <c r="I105" s="1890" t="s">
        <v>434</v>
      </c>
      <c r="J105" s="1891" t="s">
        <v>830</v>
      </c>
      <c r="K105" s="1892" t="s">
        <v>433</v>
      </c>
      <c r="L105" s="1893" t="s">
        <v>433</v>
      </c>
      <c r="M105" s="1894" t="s">
        <v>433</v>
      </c>
      <c r="N105" s="1895" t="s">
        <v>433</v>
      </c>
      <c r="O105" s="1896" t="s">
        <v>833</v>
      </c>
      <c r="P105" s="1897" t="s">
        <v>433</v>
      </c>
    </row>
    <row r="106">
      <c r="A106" s="1898" t="s">
        <v>863</v>
      </c>
      <c r="B106" s="1899" t="s">
        <v>439</v>
      </c>
      <c r="C106" s="1900" t="s">
        <v>828</v>
      </c>
      <c r="D106" s="1901" t="s">
        <v>435</v>
      </c>
      <c r="E106" s="1902" t="s">
        <v>829</v>
      </c>
      <c r="F106" s="1903" t="n">
        <v>75.6</v>
      </c>
      <c r="G106" s="1904" t="s">
        <v>434</v>
      </c>
      <c r="H106" s="1905" t="n">
        <v>75.6</v>
      </c>
      <c r="I106" s="1906" t="s">
        <v>434</v>
      </c>
      <c r="J106" s="1907" t="s">
        <v>830</v>
      </c>
      <c r="K106" s="1908" t="s">
        <v>433</v>
      </c>
      <c r="L106" s="1909" t="s">
        <v>433</v>
      </c>
      <c r="M106" s="1910" t="s">
        <v>433</v>
      </c>
      <c r="N106" s="1911" t="s">
        <v>433</v>
      </c>
      <c r="O106" s="1912" t="s">
        <v>833</v>
      </c>
      <c r="P106" s="1913" t="s">
        <v>433</v>
      </c>
    </row>
    <row r="107">
      <c r="A107" s="1914" t="s">
        <v>863</v>
      </c>
      <c r="B107" s="1915" t="s">
        <v>439</v>
      </c>
      <c r="C107" s="1916" t="s">
        <v>828</v>
      </c>
      <c r="D107" s="1917" t="s">
        <v>435</v>
      </c>
      <c r="E107" s="1918" t="s">
        <v>829</v>
      </c>
      <c r="F107" s="1919" t="n">
        <v>65.1</v>
      </c>
      <c r="G107" s="1920" t="s">
        <v>434</v>
      </c>
      <c r="H107" s="1921" t="n">
        <v>65.1</v>
      </c>
      <c r="I107" s="1922" t="s">
        <v>434</v>
      </c>
      <c r="J107" s="1923" t="s">
        <v>830</v>
      </c>
      <c r="K107" s="1924" t="s">
        <v>433</v>
      </c>
      <c r="L107" s="1925" t="s">
        <v>433</v>
      </c>
      <c r="M107" s="1926" t="s">
        <v>433</v>
      </c>
      <c r="N107" s="1927" t="s">
        <v>433</v>
      </c>
      <c r="O107" s="1928" t="s">
        <v>833</v>
      </c>
      <c r="P107" s="1929" t="s">
        <v>433</v>
      </c>
    </row>
    <row r="108">
      <c r="A108" s="1930" t="s">
        <v>864</v>
      </c>
      <c r="B108" s="1931" t="s">
        <v>432</v>
      </c>
      <c r="C108" s="1932" t="s">
        <v>828</v>
      </c>
      <c r="D108" s="1933" t="s">
        <v>435</v>
      </c>
      <c r="E108" s="1934" t="s">
        <v>829</v>
      </c>
      <c r="F108" s="1935" t="n">
        <v>12.0</v>
      </c>
      <c r="G108" s="1936" t="s">
        <v>434</v>
      </c>
      <c r="H108" s="1937" t="n">
        <v>12.0</v>
      </c>
      <c r="I108" s="1938" t="s">
        <v>434</v>
      </c>
      <c r="J108" s="1939" t="s">
        <v>830</v>
      </c>
      <c r="K108" s="1940" t="s">
        <v>433</v>
      </c>
      <c r="L108" s="1941" t="s">
        <v>433</v>
      </c>
      <c r="M108" s="1942" t="s">
        <v>433</v>
      </c>
      <c r="N108" s="1943" t="s">
        <v>433</v>
      </c>
      <c r="O108" s="1944" t="s">
        <v>831</v>
      </c>
      <c r="P108" s="1945" t="s">
        <v>433</v>
      </c>
    </row>
    <row r="109">
      <c r="A109" s="1946" t="s">
        <v>864</v>
      </c>
      <c r="B109" s="1947" t="s">
        <v>439</v>
      </c>
      <c r="C109" s="1948" t="s">
        <v>828</v>
      </c>
      <c r="D109" s="1949" t="s">
        <v>435</v>
      </c>
      <c r="E109" s="1950" t="s">
        <v>829</v>
      </c>
      <c r="F109" s="1951" t="n">
        <v>156.9</v>
      </c>
      <c r="G109" s="1952" t="s">
        <v>434</v>
      </c>
      <c r="H109" s="1953" t="n">
        <v>156.9</v>
      </c>
      <c r="I109" s="1954" t="s">
        <v>434</v>
      </c>
      <c r="J109" s="1955" t="s">
        <v>830</v>
      </c>
      <c r="K109" s="1956" t="s">
        <v>433</v>
      </c>
      <c r="L109" s="1957" t="s">
        <v>433</v>
      </c>
      <c r="M109" s="1958" t="s">
        <v>433</v>
      </c>
      <c r="N109" s="1959" t="s">
        <v>433</v>
      </c>
      <c r="O109" s="1960" t="s">
        <v>833</v>
      </c>
      <c r="P109" s="1961" t="s">
        <v>433</v>
      </c>
    </row>
    <row r="110">
      <c r="A110" s="1962" t="s">
        <v>865</v>
      </c>
      <c r="B110" s="1963" t="s">
        <v>521</v>
      </c>
      <c r="C110" s="1964" t="s">
        <v>828</v>
      </c>
      <c r="D110" s="1965" t="s">
        <v>435</v>
      </c>
      <c r="E110" s="1966" t="s">
        <v>829</v>
      </c>
      <c r="F110" s="1967" t="n">
        <v>18.5</v>
      </c>
      <c r="G110" s="1968" t="s">
        <v>434</v>
      </c>
      <c r="H110" s="1969" t="n">
        <v>18.5</v>
      </c>
      <c r="I110" s="1970" t="s">
        <v>434</v>
      </c>
      <c r="J110" s="1971" t="s">
        <v>830</v>
      </c>
      <c r="K110" s="1972" t="s">
        <v>433</v>
      </c>
      <c r="L110" s="1973" t="s">
        <v>433</v>
      </c>
      <c r="M110" s="1974" t="s">
        <v>433</v>
      </c>
      <c r="N110" s="1975" t="s">
        <v>433</v>
      </c>
      <c r="O110" s="1976" t="s">
        <v>831</v>
      </c>
      <c r="P110" s="1977" t="s">
        <v>433</v>
      </c>
    </row>
    <row r="111">
      <c r="A111" s="1978" t="s">
        <v>865</v>
      </c>
      <c r="B111" s="1979" t="s">
        <v>439</v>
      </c>
      <c r="C111" s="1980" t="s">
        <v>828</v>
      </c>
      <c r="D111" s="1981" t="s">
        <v>435</v>
      </c>
      <c r="E111" s="1982" t="s">
        <v>829</v>
      </c>
      <c r="F111" s="1983" t="n">
        <v>69.0</v>
      </c>
      <c r="G111" s="1984" t="s">
        <v>434</v>
      </c>
      <c r="H111" s="1985" t="n">
        <v>69.0</v>
      </c>
      <c r="I111" s="1986" t="s">
        <v>434</v>
      </c>
      <c r="J111" s="1987" t="s">
        <v>830</v>
      </c>
      <c r="K111" s="1988" t="s">
        <v>433</v>
      </c>
      <c r="L111" s="1989" t="s">
        <v>433</v>
      </c>
      <c r="M111" s="1990" t="s">
        <v>433</v>
      </c>
      <c r="N111" s="1991" t="s">
        <v>433</v>
      </c>
      <c r="O111" s="1992" t="s">
        <v>833</v>
      </c>
      <c r="P111" s="1993" t="s">
        <v>433</v>
      </c>
    </row>
    <row r="112">
      <c r="A112" s="1994" t="s">
        <v>865</v>
      </c>
      <c r="B112" s="1995" t="s">
        <v>439</v>
      </c>
      <c r="C112" s="1996" t="s">
        <v>828</v>
      </c>
      <c r="D112" s="1997" t="s">
        <v>435</v>
      </c>
      <c r="E112" s="1998" t="s">
        <v>829</v>
      </c>
      <c r="F112" s="1999" t="n">
        <v>59.0</v>
      </c>
      <c r="G112" s="2000" t="s">
        <v>434</v>
      </c>
      <c r="H112" s="2001" t="n">
        <v>59.0</v>
      </c>
      <c r="I112" s="2002" t="s">
        <v>434</v>
      </c>
      <c r="J112" s="2003" t="s">
        <v>830</v>
      </c>
      <c r="K112" s="2004" t="s">
        <v>433</v>
      </c>
      <c r="L112" s="2005" t="s">
        <v>433</v>
      </c>
      <c r="M112" s="2006" t="s">
        <v>433</v>
      </c>
      <c r="N112" s="2007" t="s">
        <v>433</v>
      </c>
      <c r="O112" s="2008" t="s">
        <v>833</v>
      </c>
      <c r="P112" s="2009" t="s">
        <v>433</v>
      </c>
    </row>
    <row r="113">
      <c r="A113" s="2010" t="s">
        <v>866</v>
      </c>
      <c r="B113" s="2011" t="s">
        <v>456</v>
      </c>
      <c r="C113" s="2012" t="s">
        <v>836</v>
      </c>
      <c r="D113" s="2013" t="s">
        <v>435</v>
      </c>
      <c r="E113" s="2014" t="s">
        <v>829</v>
      </c>
      <c r="F113" s="2015" t="n">
        <v>76.0</v>
      </c>
      <c r="G113" s="2016" t="s">
        <v>434</v>
      </c>
      <c r="H113" s="2017" t="n">
        <v>76.0</v>
      </c>
      <c r="I113" s="2018" t="s">
        <v>434</v>
      </c>
      <c r="J113" s="2019" t="s">
        <v>830</v>
      </c>
      <c r="K113" s="2020" t="s">
        <v>433</v>
      </c>
      <c r="L113" s="2021" t="s">
        <v>433</v>
      </c>
      <c r="M113" s="2022" t="s">
        <v>433</v>
      </c>
      <c r="N113" s="2023" t="s">
        <v>433</v>
      </c>
      <c r="O113" s="2024" t="s">
        <v>833</v>
      </c>
      <c r="P113" s="2025" t="s">
        <v>433</v>
      </c>
    </row>
    <row r="114">
      <c r="A114" s="2026" t="s">
        <v>866</v>
      </c>
      <c r="B114" s="2027" t="s">
        <v>456</v>
      </c>
      <c r="C114" s="2028" t="s">
        <v>836</v>
      </c>
      <c r="D114" s="2029" t="s">
        <v>435</v>
      </c>
      <c r="E114" s="2030" t="s">
        <v>829</v>
      </c>
      <c r="F114" s="2031" t="n">
        <v>199.0</v>
      </c>
      <c r="G114" s="2032" t="s">
        <v>434</v>
      </c>
      <c r="H114" s="2033" t="n">
        <v>199.0</v>
      </c>
      <c r="I114" s="2034" t="s">
        <v>434</v>
      </c>
      <c r="J114" s="2035" t="s">
        <v>830</v>
      </c>
      <c r="K114" s="2036" t="s">
        <v>433</v>
      </c>
      <c r="L114" s="2037" t="s">
        <v>433</v>
      </c>
      <c r="M114" s="2038" t="s">
        <v>433</v>
      </c>
      <c r="N114" s="2039" t="s">
        <v>433</v>
      </c>
      <c r="O114" s="2040" t="s">
        <v>833</v>
      </c>
      <c r="P114" s="2041" t="s">
        <v>433</v>
      </c>
    </row>
    <row r="115">
      <c r="A115" s="2042" t="s">
        <v>866</v>
      </c>
      <c r="B115" s="2043" t="s">
        <v>530</v>
      </c>
      <c r="C115" s="2044" t="s">
        <v>832</v>
      </c>
      <c r="D115" s="2045" t="s">
        <v>435</v>
      </c>
      <c r="E115" s="2046" t="s">
        <v>829</v>
      </c>
      <c r="F115" s="2047" t="n">
        <v>25.0</v>
      </c>
      <c r="G115" s="2048" t="s">
        <v>434</v>
      </c>
      <c r="H115" s="2049" t="n">
        <v>25.0</v>
      </c>
      <c r="I115" s="2050" t="s">
        <v>434</v>
      </c>
      <c r="J115" s="2051" t="s">
        <v>830</v>
      </c>
      <c r="K115" s="2052" t="s">
        <v>433</v>
      </c>
      <c r="L115" s="2053" t="s">
        <v>433</v>
      </c>
      <c r="M115" s="2054" t="s">
        <v>433</v>
      </c>
      <c r="N115" s="2055" t="s">
        <v>433</v>
      </c>
      <c r="O115" s="2056" t="s">
        <v>833</v>
      </c>
      <c r="P115" s="2057" t="s">
        <v>433</v>
      </c>
    </row>
    <row r="116">
      <c r="A116" s="2058" t="s">
        <v>866</v>
      </c>
      <c r="B116" s="2059" t="s">
        <v>531</v>
      </c>
      <c r="C116" s="2060" t="s">
        <v>836</v>
      </c>
      <c r="D116" s="2061" t="s">
        <v>435</v>
      </c>
      <c r="E116" s="2062" t="s">
        <v>829</v>
      </c>
      <c r="F116" s="2063" t="n">
        <v>69.0</v>
      </c>
      <c r="G116" s="2064" t="s">
        <v>434</v>
      </c>
      <c r="H116" s="2065" t="n">
        <v>69.0</v>
      </c>
      <c r="I116" s="2066" t="s">
        <v>434</v>
      </c>
      <c r="J116" s="2067" t="s">
        <v>830</v>
      </c>
      <c r="K116" s="2068" t="s">
        <v>433</v>
      </c>
      <c r="L116" s="2069" t="s">
        <v>433</v>
      </c>
      <c r="M116" s="2070" t="s">
        <v>433</v>
      </c>
      <c r="N116" s="2071" t="s">
        <v>433</v>
      </c>
      <c r="O116" s="2072" t="s">
        <v>833</v>
      </c>
      <c r="P116" s="2073" t="s">
        <v>433</v>
      </c>
    </row>
    <row r="117">
      <c r="A117" s="2074" t="s">
        <v>866</v>
      </c>
      <c r="B117" s="2075" t="s">
        <v>439</v>
      </c>
      <c r="C117" s="2076" t="s">
        <v>828</v>
      </c>
      <c r="D117" s="2077" t="s">
        <v>435</v>
      </c>
      <c r="E117" s="2078" t="s">
        <v>829</v>
      </c>
      <c r="F117" s="2079" t="n">
        <v>68.25</v>
      </c>
      <c r="G117" s="2080" t="s">
        <v>434</v>
      </c>
      <c r="H117" s="2081" t="n">
        <v>68.25</v>
      </c>
      <c r="I117" s="2082" t="s">
        <v>434</v>
      </c>
      <c r="J117" s="2083" t="s">
        <v>830</v>
      </c>
      <c r="K117" s="2084" t="s">
        <v>433</v>
      </c>
      <c r="L117" s="2085" t="s">
        <v>433</v>
      </c>
      <c r="M117" s="2086" t="s">
        <v>433</v>
      </c>
      <c r="N117" s="2087" t="s">
        <v>433</v>
      </c>
      <c r="O117" s="2088" t="s">
        <v>833</v>
      </c>
      <c r="P117" s="2089" t="s">
        <v>433</v>
      </c>
    </row>
    <row r="118">
      <c r="A118" s="2090" t="s">
        <v>866</v>
      </c>
      <c r="B118" s="2091" t="s">
        <v>439</v>
      </c>
      <c r="C118" s="2092" t="s">
        <v>828</v>
      </c>
      <c r="D118" s="2093" t="s">
        <v>435</v>
      </c>
      <c r="E118" s="2094" t="s">
        <v>829</v>
      </c>
      <c r="F118" s="2095" t="n">
        <v>66.15</v>
      </c>
      <c r="G118" s="2096" t="s">
        <v>434</v>
      </c>
      <c r="H118" s="2097" t="n">
        <v>66.15</v>
      </c>
      <c r="I118" s="2098" t="s">
        <v>434</v>
      </c>
      <c r="J118" s="2099" t="s">
        <v>830</v>
      </c>
      <c r="K118" s="2100" t="s">
        <v>433</v>
      </c>
      <c r="L118" s="2101" t="s">
        <v>433</v>
      </c>
      <c r="M118" s="2102" t="s">
        <v>433</v>
      </c>
      <c r="N118" s="2103" t="s">
        <v>433</v>
      </c>
      <c r="O118" s="2104" t="s">
        <v>833</v>
      </c>
      <c r="P118" s="2105" t="s">
        <v>433</v>
      </c>
    </row>
    <row r="119">
      <c r="A119" s="2106" t="s">
        <v>866</v>
      </c>
      <c r="B119" s="2107" t="s">
        <v>513</v>
      </c>
      <c r="C119" s="2108" t="s">
        <v>860</v>
      </c>
      <c r="D119" s="2109" t="s">
        <v>435</v>
      </c>
      <c r="E119" s="2110" t="s">
        <v>829</v>
      </c>
      <c r="F119" s="2111" t="n">
        <v>150.0</v>
      </c>
      <c r="G119" s="2112" t="s">
        <v>434</v>
      </c>
      <c r="H119" s="2113" t="n">
        <v>150.0</v>
      </c>
      <c r="I119" s="2114" t="s">
        <v>434</v>
      </c>
      <c r="J119" s="2115" t="s">
        <v>830</v>
      </c>
      <c r="K119" s="2116" t="s">
        <v>514</v>
      </c>
      <c r="L119" s="2117" t="s">
        <v>433</v>
      </c>
      <c r="M119" s="2118" t="s">
        <v>433</v>
      </c>
      <c r="N119" s="2119" t="s">
        <v>433</v>
      </c>
      <c r="O119" s="2120" t="s">
        <v>835</v>
      </c>
      <c r="P119" s="2121" t="s">
        <v>433</v>
      </c>
    </row>
    <row r="120">
      <c r="A120" s="2122" t="s">
        <v>867</v>
      </c>
      <c r="B120" s="2123" t="s">
        <v>475</v>
      </c>
      <c r="C120" s="2124" t="s">
        <v>838</v>
      </c>
      <c r="D120" s="2125" t="s">
        <v>435</v>
      </c>
      <c r="E120" s="2126" t="s">
        <v>829</v>
      </c>
      <c r="F120" s="2127" t="n">
        <v>37.8</v>
      </c>
      <c r="G120" s="2128" t="s">
        <v>434</v>
      </c>
      <c r="H120" s="2129" t="n">
        <v>37.8</v>
      </c>
      <c r="I120" s="2130" t="s">
        <v>434</v>
      </c>
      <c r="J120" s="2131" t="s">
        <v>830</v>
      </c>
      <c r="K120" s="2132" t="s">
        <v>433</v>
      </c>
      <c r="L120" s="2133" t="s">
        <v>433</v>
      </c>
      <c r="M120" s="2134" t="s">
        <v>433</v>
      </c>
      <c r="N120" s="2135" t="s">
        <v>433</v>
      </c>
      <c r="O120" s="2136" t="s">
        <v>433</v>
      </c>
      <c r="P120" s="2137" t="s">
        <v>433</v>
      </c>
    </row>
    <row r="121">
      <c r="A121" s="2138" t="s">
        <v>867</v>
      </c>
      <c r="B121" s="2139" t="s">
        <v>460</v>
      </c>
      <c r="C121" s="2140" t="s">
        <v>841</v>
      </c>
      <c r="D121" s="2141" t="s">
        <v>435</v>
      </c>
      <c r="E121" s="2142" t="s">
        <v>829</v>
      </c>
      <c r="F121" s="2143" t="n">
        <v>108.89</v>
      </c>
      <c r="G121" s="2144" t="s">
        <v>434</v>
      </c>
      <c r="H121" s="2145" t="n">
        <v>108.89</v>
      </c>
      <c r="I121" s="2146" t="s">
        <v>434</v>
      </c>
      <c r="J121" s="2147" t="s">
        <v>830</v>
      </c>
      <c r="K121" s="2148" t="s">
        <v>433</v>
      </c>
      <c r="L121" s="2149" t="s">
        <v>433</v>
      </c>
      <c r="M121" s="2150" t="s">
        <v>433</v>
      </c>
      <c r="N121" s="2151" t="s">
        <v>433</v>
      </c>
      <c r="O121" s="2152" t="s">
        <v>833</v>
      </c>
      <c r="P121" s="2153" t="s">
        <v>433</v>
      </c>
    </row>
    <row r="122">
      <c r="A122" s="2154" t="s">
        <v>867</v>
      </c>
      <c r="B122" s="2155" t="s">
        <v>533</v>
      </c>
      <c r="C122" s="2156" t="s">
        <v>836</v>
      </c>
      <c r="D122" s="2157" t="s">
        <v>435</v>
      </c>
      <c r="E122" s="2158" t="s">
        <v>829</v>
      </c>
      <c r="F122" s="2159" t="n">
        <v>10.0</v>
      </c>
      <c r="G122" s="2160" t="s">
        <v>434</v>
      </c>
      <c r="H122" s="2161" t="n">
        <v>10.0</v>
      </c>
      <c r="I122" s="2162" t="s">
        <v>434</v>
      </c>
      <c r="J122" s="2163" t="s">
        <v>830</v>
      </c>
      <c r="K122" s="2164" t="s">
        <v>433</v>
      </c>
      <c r="L122" s="2165" t="s">
        <v>433</v>
      </c>
      <c r="M122" s="2166" t="s">
        <v>433</v>
      </c>
      <c r="N122" s="2167" t="s">
        <v>433</v>
      </c>
      <c r="O122" s="2168" t="s">
        <v>433</v>
      </c>
      <c r="P122" s="2169" t="s">
        <v>433</v>
      </c>
    </row>
    <row r="123">
      <c r="A123" s="2170" t="s">
        <v>867</v>
      </c>
      <c r="B123" s="2171" t="s">
        <v>534</v>
      </c>
      <c r="C123" s="2172" t="s">
        <v>828</v>
      </c>
      <c r="D123" s="2173" t="s">
        <v>435</v>
      </c>
      <c r="E123" s="2174" t="s">
        <v>829</v>
      </c>
      <c r="F123" s="2175" t="n">
        <v>15.0</v>
      </c>
      <c r="G123" s="2176" t="s">
        <v>434</v>
      </c>
      <c r="H123" s="2177" t="n">
        <v>15.0</v>
      </c>
      <c r="I123" s="2178" t="s">
        <v>434</v>
      </c>
      <c r="J123" s="2179" t="s">
        <v>830</v>
      </c>
      <c r="K123" s="2180" t="s">
        <v>433</v>
      </c>
      <c r="L123" s="2181" t="s">
        <v>433</v>
      </c>
      <c r="M123" s="2182" t="s">
        <v>433</v>
      </c>
      <c r="N123" s="2183" t="s">
        <v>433</v>
      </c>
      <c r="O123" s="2184" t="s">
        <v>831</v>
      </c>
      <c r="P123" s="2185" t="s">
        <v>433</v>
      </c>
    </row>
    <row r="124">
      <c r="A124" s="2186" t="s">
        <v>867</v>
      </c>
      <c r="B124" s="2187" t="s">
        <v>535</v>
      </c>
      <c r="C124" s="2188" t="s">
        <v>868</v>
      </c>
      <c r="D124" s="2189" t="s">
        <v>435</v>
      </c>
      <c r="E124" s="2190" t="s">
        <v>829</v>
      </c>
      <c r="F124" s="2191" t="n">
        <v>5.0</v>
      </c>
      <c r="G124" s="2192" t="s">
        <v>434</v>
      </c>
      <c r="H124" s="2193" t="n">
        <v>5.0</v>
      </c>
      <c r="I124" s="2194" t="s">
        <v>434</v>
      </c>
      <c r="J124" s="2195" t="s">
        <v>830</v>
      </c>
      <c r="K124" s="2196" t="s">
        <v>433</v>
      </c>
      <c r="L124" s="2197" t="s">
        <v>433</v>
      </c>
      <c r="M124" s="2198" t="s">
        <v>433</v>
      </c>
      <c r="N124" s="2199" t="s">
        <v>433</v>
      </c>
      <c r="O124" s="2200" t="s">
        <v>433</v>
      </c>
      <c r="P124" s="2201" t="s">
        <v>433</v>
      </c>
    </row>
    <row r="125">
      <c r="A125" s="2202" t="s">
        <v>869</v>
      </c>
      <c r="B125" s="2203" t="s">
        <v>537</v>
      </c>
      <c r="C125" s="2204" t="s">
        <v>836</v>
      </c>
      <c r="D125" s="2205" t="s">
        <v>435</v>
      </c>
      <c r="E125" s="2206" t="s">
        <v>829</v>
      </c>
      <c r="F125" s="2207" t="n">
        <v>120.0</v>
      </c>
      <c r="G125" s="2208" t="s">
        <v>434</v>
      </c>
      <c r="H125" s="2209" t="n">
        <v>120.0</v>
      </c>
      <c r="I125" s="2210" t="s">
        <v>434</v>
      </c>
      <c r="J125" s="2211" t="s">
        <v>830</v>
      </c>
      <c r="K125" s="2212" t="s">
        <v>437</v>
      </c>
      <c r="L125" s="2213" t="s">
        <v>433</v>
      </c>
      <c r="M125" s="2214" t="s">
        <v>433</v>
      </c>
      <c r="N125" s="2215" t="s">
        <v>433</v>
      </c>
      <c r="O125" s="2216" t="s">
        <v>833</v>
      </c>
      <c r="P125" s="2217" t="s">
        <v>433</v>
      </c>
    </row>
    <row r="126">
      <c r="A126" s="2218" t="s">
        <v>869</v>
      </c>
      <c r="B126" s="2219" t="s">
        <v>538</v>
      </c>
      <c r="C126" s="2220" t="s">
        <v>838</v>
      </c>
      <c r="D126" s="2221" t="s">
        <v>435</v>
      </c>
      <c r="E126" s="2222" t="s">
        <v>829</v>
      </c>
      <c r="F126" s="2223" t="n">
        <v>139.6</v>
      </c>
      <c r="G126" s="2224" t="s">
        <v>434</v>
      </c>
      <c r="H126" s="2225" t="n">
        <v>139.6</v>
      </c>
      <c r="I126" s="2226" t="s">
        <v>434</v>
      </c>
      <c r="J126" s="2227" t="s">
        <v>830</v>
      </c>
      <c r="K126" s="2228" t="s">
        <v>433</v>
      </c>
      <c r="L126" s="2229" t="s">
        <v>433</v>
      </c>
      <c r="M126" s="2230" t="s">
        <v>433</v>
      </c>
      <c r="N126" s="2231" t="s">
        <v>433</v>
      </c>
      <c r="O126" s="2232" t="s">
        <v>433</v>
      </c>
      <c r="P126" s="2233" t="s">
        <v>433</v>
      </c>
    </row>
    <row r="127">
      <c r="A127" s="2234" t="s">
        <v>869</v>
      </c>
      <c r="B127" s="2235" t="s">
        <v>494</v>
      </c>
      <c r="C127" s="2236" t="s">
        <v>828</v>
      </c>
      <c r="D127" s="2237" t="s">
        <v>435</v>
      </c>
      <c r="E127" s="2238" t="s">
        <v>829</v>
      </c>
      <c r="F127" s="2239" t="n">
        <v>18.0</v>
      </c>
      <c r="G127" s="2240" t="s">
        <v>434</v>
      </c>
      <c r="H127" s="2241" t="n">
        <v>18.0</v>
      </c>
      <c r="I127" s="2242" t="s">
        <v>434</v>
      </c>
      <c r="J127" s="2243" t="s">
        <v>830</v>
      </c>
      <c r="K127" s="2244" t="s">
        <v>433</v>
      </c>
      <c r="L127" s="2245" t="s">
        <v>433</v>
      </c>
      <c r="M127" s="2246" t="s">
        <v>433</v>
      </c>
      <c r="N127" s="2247" t="s">
        <v>433</v>
      </c>
      <c r="O127" s="2248" t="s">
        <v>433</v>
      </c>
      <c r="P127" s="2249" t="s">
        <v>433</v>
      </c>
    </row>
    <row r="128">
      <c r="A128" s="2250" t="s">
        <v>869</v>
      </c>
      <c r="B128" s="2251" t="s">
        <v>539</v>
      </c>
      <c r="C128" s="2252" t="s">
        <v>870</v>
      </c>
      <c r="D128" s="2253" t="s">
        <v>435</v>
      </c>
      <c r="E128" s="2254" t="s">
        <v>829</v>
      </c>
      <c r="F128" s="2255" t="n">
        <v>3092.68</v>
      </c>
      <c r="G128" s="2256" t="s">
        <v>434</v>
      </c>
      <c r="H128" s="2257" t="n">
        <v>3092.68</v>
      </c>
      <c r="I128" s="2258" t="s">
        <v>434</v>
      </c>
      <c r="J128" s="2259" t="s">
        <v>830</v>
      </c>
      <c r="K128" s="2260" t="s">
        <v>433</v>
      </c>
      <c r="L128" s="2261" t="s">
        <v>433</v>
      </c>
      <c r="M128" s="2262" t="s">
        <v>433</v>
      </c>
      <c r="N128" s="2263" t="s">
        <v>433</v>
      </c>
      <c r="O128" s="2264" t="s">
        <v>835</v>
      </c>
      <c r="P128" s="2265" t="s">
        <v>433</v>
      </c>
    </row>
    <row r="129">
      <c r="A129" s="2266" t="s">
        <v>871</v>
      </c>
      <c r="B129" s="2267" t="s">
        <v>541</v>
      </c>
      <c r="C129" s="2268" t="s">
        <v>841</v>
      </c>
      <c r="D129" s="2269" t="s">
        <v>435</v>
      </c>
      <c r="E129" s="2270" t="s">
        <v>829</v>
      </c>
      <c r="F129" s="2271" t="n">
        <v>180.14</v>
      </c>
      <c r="G129" s="2272" t="s">
        <v>434</v>
      </c>
      <c r="H129" s="2273" t="n">
        <v>180.14</v>
      </c>
      <c r="I129" s="2274" t="s">
        <v>434</v>
      </c>
      <c r="J129" s="2275" t="s">
        <v>830</v>
      </c>
      <c r="K129" s="2276" t="s">
        <v>437</v>
      </c>
      <c r="L129" s="2277" t="s">
        <v>433</v>
      </c>
      <c r="M129" s="2278" t="s">
        <v>433</v>
      </c>
      <c r="N129" s="2279" t="s">
        <v>433</v>
      </c>
      <c r="O129" s="2280" t="s">
        <v>833</v>
      </c>
      <c r="P129" s="2281" t="s">
        <v>433</v>
      </c>
    </row>
    <row r="130">
      <c r="A130" s="2282" t="s">
        <v>871</v>
      </c>
      <c r="B130" s="2283" t="s">
        <v>432</v>
      </c>
      <c r="C130" s="2284" t="s">
        <v>828</v>
      </c>
      <c r="D130" s="2285" t="s">
        <v>435</v>
      </c>
      <c r="E130" s="2286" t="s">
        <v>829</v>
      </c>
      <c r="F130" s="2287" t="n">
        <v>12.0</v>
      </c>
      <c r="G130" s="2288" t="s">
        <v>434</v>
      </c>
      <c r="H130" s="2289" t="n">
        <v>12.0</v>
      </c>
      <c r="I130" s="2290" t="s">
        <v>434</v>
      </c>
      <c r="J130" s="2291" t="s">
        <v>830</v>
      </c>
      <c r="K130" s="2292" t="s">
        <v>433</v>
      </c>
      <c r="L130" s="2293" t="s">
        <v>433</v>
      </c>
      <c r="M130" s="2294" t="s">
        <v>433</v>
      </c>
      <c r="N130" s="2295" t="s">
        <v>433</v>
      </c>
      <c r="O130" s="2296" t="s">
        <v>831</v>
      </c>
      <c r="P130" s="2297" t="s">
        <v>433</v>
      </c>
    </row>
    <row r="131">
      <c r="A131" s="2298" t="s">
        <v>871</v>
      </c>
      <c r="B131" s="2299" t="s">
        <v>439</v>
      </c>
      <c r="C131" s="2300" t="s">
        <v>828</v>
      </c>
      <c r="D131" s="2301" t="s">
        <v>435</v>
      </c>
      <c r="E131" s="2302" t="s">
        <v>829</v>
      </c>
      <c r="F131" s="2303" t="n">
        <v>65.0</v>
      </c>
      <c r="G131" s="2304" t="s">
        <v>434</v>
      </c>
      <c r="H131" s="2305" t="n">
        <v>65.0</v>
      </c>
      <c r="I131" s="2306" t="s">
        <v>434</v>
      </c>
      <c r="J131" s="2307" t="s">
        <v>830</v>
      </c>
      <c r="K131" s="2308" t="s">
        <v>433</v>
      </c>
      <c r="L131" s="2309" t="s">
        <v>433</v>
      </c>
      <c r="M131" s="2310" t="s">
        <v>433</v>
      </c>
      <c r="N131" s="2311" t="s">
        <v>433</v>
      </c>
      <c r="O131" s="2312" t="s">
        <v>833</v>
      </c>
      <c r="P131" s="2313" t="s">
        <v>433</v>
      </c>
    </row>
    <row r="132">
      <c r="A132" s="2314" t="s">
        <v>871</v>
      </c>
      <c r="B132" s="2315" t="s">
        <v>439</v>
      </c>
      <c r="C132" s="2316" t="s">
        <v>828</v>
      </c>
      <c r="D132" s="2317" t="s">
        <v>435</v>
      </c>
      <c r="E132" s="2318" t="s">
        <v>829</v>
      </c>
      <c r="F132" s="2319" t="n">
        <v>157.98</v>
      </c>
      <c r="G132" s="2320" t="s">
        <v>434</v>
      </c>
      <c r="H132" s="2321" t="n">
        <v>157.98</v>
      </c>
      <c r="I132" s="2322" t="s">
        <v>434</v>
      </c>
      <c r="J132" s="2323" t="s">
        <v>830</v>
      </c>
      <c r="K132" s="2324" t="s">
        <v>433</v>
      </c>
      <c r="L132" s="2325" t="s">
        <v>433</v>
      </c>
      <c r="M132" s="2326" t="s">
        <v>433</v>
      </c>
      <c r="N132" s="2327" t="s">
        <v>433</v>
      </c>
      <c r="O132" s="2328" t="s">
        <v>833</v>
      </c>
      <c r="P132" s="2329" t="s">
        <v>433</v>
      </c>
    </row>
    <row r="133">
      <c r="A133" s="2330" t="s">
        <v>871</v>
      </c>
      <c r="B133" s="2331" t="s">
        <v>439</v>
      </c>
      <c r="C133" s="2332" t="s">
        <v>828</v>
      </c>
      <c r="D133" s="2333" t="s">
        <v>435</v>
      </c>
      <c r="E133" s="2334" t="s">
        <v>829</v>
      </c>
      <c r="F133" s="2335" t="n">
        <v>67.0</v>
      </c>
      <c r="G133" s="2336" t="s">
        <v>434</v>
      </c>
      <c r="H133" s="2337" t="n">
        <v>67.0</v>
      </c>
      <c r="I133" s="2338" t="s">
        <v>434</v>
      </c>
      <c r="J133" s="2339" t="s">
        <v>830</v>
      </c>
      <c r="K133" s="2340" t="s">
        <v>433</v>
      </c>
      <c r="L133" s="2341" t="s">
        <v>433</v>
      </c>
      <c r="M133" s="2342" t="s">
        <v>433</v>
      </c>
      <c r="N133" s="2343" t="s">
        <v>433</v>
      </c>
      <c r="O133" s="2344" t="s">
        <v>833</v>
      </c>
      <c r="P133" s="2345" t="s">
        <v>433</v>
      </c>
    </row>
    <row r="134">
      <c r="A134" s="2346" t="s">
        <v>871</v>
      </c>
      <c r="B134" s="2347" t="s">
        <v>439</v>
      </c>
      <c r="C134" s="2348" t="s">
        <v>828</v>
      </c>
      <c r="D134" s="2349" t="s">
        <v>435</v>
      </c>
      <c r="E134" s="2350" t="s">
        <v>829</v>
      </c>
      <c r="F134" s="2351" t="n">
        <v>32.0</v>
      </c>
      <c r="G134" s="2352" t="s">
        <v>434</v>
      </c>
      <c r="H134" s="2353" t="n">
        <v>32.0</v>
      </c>
      <c r="I134" s="2354" t="s">
        <v>434</v>
      </c>
      <c r="J134" s="2355" t="s">
        <v>830</v>
      </c>
      <c r="K134" s="2356" t="s">
        <v>433</v>
      </c>
      <c r="L134" s="2357" t="s">
        <v>433</v>
      </c>
      <c r="M134" s="2358" t="s">
        <v>433</v>
      </c>
      <c r="N134" s="2359" t="s">
        <v>433</v>
      </c>
      <c r="O134" s="2360" t="s">
        <v>833</v>
      </c>
      <c r="P134" s="2361" t="s">
        <v>433</v>
      </c>
    </row>
    <row r="135">
      <c r="A135" s="2362" t="s">
        <v>872</v>
      </c>
      <c r="B135" s="2363" t="s">
        <v>456</v>
      </c>
      <c r="C135" s="2364" t="s">
        <v>836</v>
      </c>
      <c r="D135" s="2365" t="s">
        <v>435</v>
      </c>
      <c r="E135" s="2366" t="s">
        <v>829</v>
      </c>
      <c r="F135" s="2367" t="n">
        <v>127.0</v>
      </c>
      <c r="G135" s="2368" t="s">
        <v>434</v>
      </c>
      <c r="H135" s="2369" t="n">
        <v>127.0</v>
      </c>
      <c r="I135" s="2370" t="s">
        <v>434</v>
      </c>
      <c r="J135" s="2371" t="s">
        <v>830</v>
      </c>
      <c r="K135" s="2372" t="s">
        <v>433</v>
      </c>
      <c r="L135" s="2373" t="s">
        <v>433</v>
      </c>
      <c r="M135" s="2374" t="s">
        <v>433</v>
      </c>
      <c r="N135" s="2375" t="s">
        <v>433</v>
      </c>
      <c r="O135" s="2376" t="s">
        <v>833</v>
      </c>
      <c r="P135" s="2377" t="s">
        <v>433</v>
      </c>
    </row>
    <row r="136">
      <c r="A136" s="2378" t="s">
        <v>872</v>
      </c>
      <c r="B136" s="2379" t="s">
        <v>543</v>
      </c>
      <c r="C136" s="2380" t="s">
        <v>870</v>
      </c>
      <c r="D136" s="2381" t="s">
        <v>435</v>
      </c>
      <c r="E136" s="2382" t="s">
        <v>829</v>
      </c>
      <c r="F136" s="2383" t="n">
        <v>164.0</v>
      </c>
      <c r="G136" s="2384" t="s">
        <v>434</v>
      </c>
      <c r="H136" s="2385" t="n">
        <v>164.0</v>
      </c>
      <c r="I136" s="2386" t="s">
        <v>434</v>
      </c>
      <c r="J136" s="2387" t="s">
        <v>830</v>
      </c>
      <c r="K136" s="2388" t="s">
        <v>433</v>
      </c>
      <c r="L136" s="2389" t="s">
        <v>433</v>
      </c>
      <c r="M136" s="2390" t="s">
        <v>433</v>
      </c>
      <c r="N136" s="2391" t="s">
        <v>433</v>
      </c>
      <c r="O136" s="2392" t="s">
        <v>833</v>
      </c>
      <c r="P136" s="2393" t="s">
        <v>433</v>
      </c>
    </row>
    <row r="137">
      <c r="A137" s="2394" t="s">
        <v>872</v>
      </c>
      <c r="B137" s="2395" t="s">
        <v>774</v>
      </c>
      <c r="C137" s="2396" t="s">
        <v>873</v>
      </c>
      <c r="D137" s="2397" t="s">
        <v>435</v>
      </c>
      <c r="E137" s="2398" t="s">
        <v>874</v>
      </c>
      <c r="F137" s="2399" t="n">
        <v>137.0</v>
      </c>
      <c r="G137" s="2400" t="s">
        <v>434</v>
      </c>
      <c r="H137" s="2401" t="n">
        <v>1343.0</v>
      </c>
      <c r="I137" s="2402" t="s">
        <v>434</v>
      </c>
      <c r="J137" s="2403" t="s">
        <v>830</v>
      </c>
      <c r="K137" s="2404" t="s">
        <v>776</v>
      </c>
      <c r="L137" s="2405" t="s">
        <v>433</v>
      </c>
      <c r="M137" s="2406" t="s">
        <v>433</v>
      </c>
      <c r="N137" s="2407" t="s">
        <v>433</v>
      </c>
      <c r="O137" s="2408" t="s">
        <v>833</v>
      </c>
      <c r="P137" s="2409" t="s">
        <v>433</v>
      </c>
    </row>
    <row r="138">
      <c r="A138" s="2410" t="s">
        <v>872</v>
      </c>
      <c r="B138" s="2411" t="s">
        <v>439</v>
      </c>
      <c r="C138" s="2412" t="s">
        <v>828</v>
      </c>
      <c r="D138" s="2413" t="s">
        <v>435</v>
      </c>
      <c r="E138" s="2414" t="s">
        <v>829</v>
      </c>
      <c r="F138" s="2415" t="n">
        <v>107.55</v>
      </c>
      <c r="G138" s="2416" t="s">
        <v>434</v>
      </c>
      <c r="H138" s="2417" t="n">
        <v>107.55</v>
      </c>
      <c r="I138" s="2418" t="s">
        <v>434</v>
      </c>
      <c r="J138" s="2419" t="s">
        <v>830</v>
      </c>
      <c r="K138" s="2420" t="s">
        <v>433</v>
      </c>
      <c r="L138" s="2421" t="s">
        <v>433</v>
      </c>
      <c r="M138" s="2422" t="s">
        <v>433</v>
      </c>
      <c r="N138" s="2423" t="s">
        <v>433</v>
      </c>
      <c r="O138" s="2424" t="s">
        <v>833</v>
      </c>
      <c r="P138" s="2425" t="s">
        <v>433</v>
      </c>
    </row>
    <row r="139">
      <c r="A139" s="2426" t="s">
        <v>875</v>
      </c>
      <c r="B139" s="2427" t="s">
        <v>552</v>
      </c>
      <c r="C139" s="2428" t="s">
        <v>828</v>
      </c>
      <c r="D139" s="2429" t="s">
        <v>435</v>
      </c>
      <c r="E139" s="2430" t="s">
        <v>829</v>
      </c>
      <c r="F139" s="2431" t="n">
        <v>19.0</v>
      </c>
      <c r="G139" s="2432" t="s">
        <v>434</v>
      </c>
      <c r="H139" s="2433" t="n">
        <v>19.0</v>
      </c>
      <c r="I139" s="2434" t="s">
        <v>434</v>
      </c>
      <c r="J139" s="2435" t="s">
        <v>830</v>
      </c>
      <c r="K139" s="2436" t="s">
        <v>433</v>
      </c>
      <c r="L139" s="2437" t="s">
        <v>433</v>
      </c>
      <c r="M139" s="2438" t="s">
        <v>433</v>
      </c>
      <c r="N139" s="2439" t="s">
        <v>433</v>
      </c>
      <c r="O139" s="2440" t="s">
        <v>433</v>
      </c>
      <c r="P139" s="2441" t="s">
        <v>433</v>
      </c>
    </row>
    <row r="140">
      <c r="A140" s="2442" t="s">
        <v>875</v>
      </c>
      <c r="B140" s="2443" t="s">
        <v>777</v>
      </c>
      <c r="C140" s="2444" t="s">
        <v>843</v>
      </c>
      <c r="D140" s="2445" t="s">
        <v>435</v>
      </c>
      <c r="E140" s="2446" t="s">
        <v>874</v>
      </c>
      <c r="F140" s="2447" t="n">
        <v>115.9</v>
      </c>
      <c r="G140" s="2448" t="s">
        <v>434</v>
      </c>
      <c r="H140" s="2449" t="n">
        <v>229.9</v>
      </c>
      <c r="I140" s="2450" t="s">
        <v>434</v>
      </c>
      <c r="J140" s="2451" t="s">
        <v>830</v>
      </c>
      <c r="K140" s="2452" t="s">
        <v>779</v>
      </c>
      <c r="L140" s="2453" t="s">
        <v>433</v>
      </c>
      <c r="M140" s="2454" t="s">
        <v>433</v>
      </c>
      <c r="N140" s="2455" t="s">
        <v>433</v>
      </c>
      <c r="O140" s="2456" t="s">
        <v>433</v>
      </c>
      <c r="P140" s="2457" t="s">
        <v>433</v>
      </c>
    </row>
    <row r="141">
      <c r="A141" s="2458" t="s">
        <v>875</v>
      </c>
      <c r="B141" s="2459" t="s">
        <v>439</v>
      </c>
      <c r="C141" s="2460" t="s">
        <v>828</v>
      </c>
      <c r="D141" s="2461" t="s">
        <v>435</v>
      </c>
      <c r="E141" s="2462" t="s">
        <v>829</v>
      </c>
      <c r="F141" s="2463" t="n">
        <v>98.1</v>
      </c>
      <c r="G141" s="2464" t="s">
        <v>434</v>
      </c>
      <c r="H141" s="2465" t="n">
        <v>98.1</v>
      </c>
      <c r="I141" s="2466" t="s">
        <v>434</v>
      </c>
      <c r="J141" s="2467" t="s">
        <v>830</v>
      </c>
      <c r="K141" s="2468" t="s">
        <v>433</v>
      </c>
      <c r="L141" s="2469" t="s">
        <v>433</v>
      </c>
      <c r="M141" s="2470" t="s">
        <v>433</v>
      </c>
      <c r="N141" s="2471" t="s">
        <v>433</v>
      </c>
      <c r="O141" s="2472" t="s">
        <v>833</v>
      </c>
      <c r="P141" s="2473" t="s">
        <v>433</v>
      </c>
    </row>
    <row r="142">
      <c r="A142" s="2474" t="s">
        <v>875</v>
      </c>
      <c r="B142" s="2475" t="s">
        <v>440</v>
      </c>
      <c r="C142" s="2476" t="s">
        <v>836</v>
      </c>
      <c r="D142" s="2477" t="s">
        <v>435</v>
      </c>
      <c r="E142" s="2478" t="s">
        <v>829</v>
      </c>
      <c r="F142" s="2479" t="n">
        <v>37.5</v>
      </c>
      <c r="G142" s="2480" t="s">
        <v>434</v>
      </c>
      <c r="H142" s="2481" t="n">
        <v>37.5</v>
      </c>
      <c r="I142" s="2482" t="s">
        <v>434</v>
      </c>
      <c r="J142" s="2483" t="s">
        <v>830</v>
      </c>
      <c r="K142" s="2484" t="s">
        <v>433</v>
      </c>
      <c r="L142" s="2485" t="s">
        <v>433</v>
      </c>
      <c r="M142" s="2486" t="s">
        <v>433</v>
      </c>
      <c r="N142" s="2487" t="s">
        <v>433</v>
      </c>
      <c r="O142" s="2488" t="s">
        <v>833</v>
      </c>
      <c r="P142" s="2489" t="s">
        <v>433</v>
      </c>
    </row>
    <row r="143">
      <c r="A143" s="2490" t="s">
        <v>875</v>
      </c>
      <c r="B143" s="2491" t="s">
        <v>553</v>
      </c>
      <c r="C143" s="2492" t="s">
        <v>843</v>
      </c>
      <c r="D143" s="2493" t="s">
        <v>435</v>
      </c>
      <c r="E143" s="2494" t="s">
        <v>829</v>
      </c>
      <c r="F143" s="2495" t="n">
        <v>100.0</v>
      </c>
      <c r="G143" s="2496" t="s">
        <v>434</v>
      </c>
      <c r="H143" s="2497" t="n">
        <v>100.0</v>
      </c>
      <c r="I143" s="2498" t="s">
        <v>434</v>
      </c>
      <c r="J143" s="2499" t="s">
        <v>830</v>
      </c>
      <c r="K143" s="2500" t="s">
        <v>433</v>
      </c>
      <c r="L143" s="2501" t="s">
        <v>433</v>
      </c>
      <c r="M143" s="2502" t="s">
        <v>433</v>
      </c>
      <c r="N143" s="2503" t="s">
        <v>433</v>
      </c>
      <c r="O143" s="2504" t="s">
        <v>831</v>
      </c>
      <c r="P143" s="2505" t="s">
        <v>433</v>
      </c>
    </row>
    <row r="144">
      <c r="A144" s="2506" t="s">
        <v>875</v>
      </c>
      <c r="B144" s="2507" t="s">
        <v>554</v>
      </c>
      <c r="C144" s="2508" t="s">
        <v>870</v>
      </c>
      <c r="D144" s="2509" t="s">
        <v>435</v>
      </c>
      <c r="E144" s="2510" t="s">
        <v>829</v>
      </c>
      <c r="F144" s="2511" t="n">
        <v>270.0</v>
      </c>
      <c r="G144" s="2512" t="s">
        <v>434</v>
      </c>
      <c r="H144" s="2513" t="n">
        <v>270.0</v>
      </c>
      <c r="I144" s="2514" t="s">
        <v>434</v>
      </c>
      <c r="J144" s="2515" t="s">
        <v>830</v>
      </c>
      <c r="K144" s="2516" t="s">
        <v>433</v>
      </c>
      <c r="L144" s="2517" t="s">
        <v>433</v>
      </c>
      <c r="M144" s="2518" t="s">
        <v>433</v>
      </c>
      <c r="N144" s="2519" t="s">
        <v>433</v>
      </c>
      <c r="O144" s="2520" t="s">
        <v>833</v>
      </c>
      <c r="P144" s="2521" t="s">
        <v>433</v>
      </c>
    </row>
    <row r="145">
      <c r="A145" s="2522" t="s">
        <v>875</v>
      </c>
      <c r="B145" s="2523" t="s">
        <v>555</v>
      </c>
      <c r="C145" s="2524" t="s">
        <v>843</v>
      </c>
      <c r="D145" s="2525" t="s">
        <v>435</v>
      </c>
      <c r="E145" s="2526" t="s">
        <v>829</v>
      </c>
      <c r="F145" s="2527" t="n">
        <v>89.9</v>
      </c>
      <c r="G145" s="2528" t="s">
        <v>434</v>
      </c>
      <c r="H145" s="2529" t="n">
        <v>89.9</v>
      </c>
      <c r="I145" s="2530" t="s">
        <v>434</v>
      </c>
      <c r="J145" s="2531" t="s">
        <v>830</v>
      </c>
      <c r="K145" s="2532" t="s">
        <v>433</v>
      </c>
      <c r="L145" s="2533" t="s">
        <v>433</v>
      </c>
      <c r="M145" s="2534" t="s">
        <v>433</v>
      </c>
      <c r="N145" s="2535" t="s">
        <v>433</v>
      </c>
      <c r="O145" s="2536" t="s">
        <v>433</v>
      </c>
      <c r="P145" s="2537" t="s">
        <v>433</v>
      </c>
    </row>
    <row r="146">
      <c r="A146" s="2538" t="s">
        <v>876</v>
      </c>
      <c r="B146" s="2539" t="s">
        <v>558</v>
      </c>
      <c r="C146" s="2540" t="s">
        <v>836</v>
      </c>
      <c r="D146" s="2541" t="s">
        <v>435</v>
      </c>
      <c r="E146" s="2542" t="s">
        <v>829</v>
      </c>
      <c r="F146" s="2543" t="n">
        <v>170.0</v>
      </c>
      <c r="G146" s="2544" t="s">
        <v>434</v>
      </c>
      <c r="H146" s="2545" t="n">
        <v>170.0</v>
      </c>
      <c r="I146" s="2546" t="s">
        <v>434</v>
      </c>
      <c r="J146" s="2547" t="s">
        <v>830</v>
      </c>
      <c r="K146" s="2548" t="s">
        <v>433</v>
      </c>
      <c r="L146" s="2549" t="s">
        <v>433</v>
      </c>
      <c r="M146" s="2550" t="s">
        <v>433</v>
      </c>
      <c r="N146" s="2551" t="s">
        <v>433</v>
      </c>
      <c r="O146" s="2552" t="s">
        <v>833</v>
      </c>
      <c r="P146" s="2553" t="s">
        <v>433</v>
      </c>
    </row>
    <row r="147">
      <c r="A147" s="2554" t="s">
        <v>876</v>
      </c>
      <c r="B147" s="2555" t="s">
        <v>439</v>
      </c>
      <c r="C147" s="2556" t="s">
        <v>828</v>
      </c>
      <c r="D147" s="2557" t="s">
        <v>435</v>
      </c>
      <c r="E147" s="2558" t="s">
        <v>829</v>
      </c>
      <c r="F147" s="2559" t="n">
        <v>67.0</v>
      </c>
      <c r="G147" s="2560" t="s">
        <v>434</v>
      </c>
      <c r="H147" s="2561" t="n">
        <v>67.0</v>
      </c>
      <c r="I147" s="2562" t="s">
        <v>434</v>
      </c>
      <c r="J147" s="2563" t="s">
        <v>830</v>
      </c>
      <c r="K147" s="2564" t="s">
        <v>433</v>
      </c>
      <c r="L147" s="2565" t="s">
        <v>433</v>
      </c>
      <c r="M147" s="2566" t="s">
        <v>433</v>
      </c>
      <c r="N147" s="2567" t="s">
        <v>433</v>
      </c>
      <c r="O147" s="2568" t="s">
        <v>833</v>
      </c>
      <c r="P147" s="2569" t="s">
        <v>433</v>
      </c>
    </row>
    <row r="148">
      <c r="A148" s="2570" t="s">
        <v>877</v>
      </c>
      <c r="B148" s="2571" t="s">
        <v>560</v>
      </c>
      <c r="C148" s="2572" t="s">
        <v>836</v>
      </c>
      <c r="D148" s="2573" t="s">
        <v>435</v>
      </c>
      <c r="E148" s="2574" t="s">
        <v>829</v>
      </c>
      <c r="F148" s="2575" t="n">
        <v>10.0</v>
      </c>
      <c r="G148" s="2576" t="s">
        <v>434</v>
      </c>
      <c r="H148" s="2577" t="n">
        <v>10.0</v>
      </c>
      <c r="I148" s="2578" t="s">
        <v>434</v>
      </c>
      <c r="J148" s="2579" t="s">
        <v>830</v>
      </c>
      <c r="K148" s="2580" t="s">
        <v>433</v>
      </c>
      <c r="L148" s="2581" t="s">
        <v>433</v>
      </c>
      <c r="M148" s="2582" t="s">
        <v>433</v>
      </c>
      <c r="N148" s="2583" t="s">
        <v>433</v>
      </c>
      <c r="O148" s="2584" t="s">
        <v>833</v>
      </c>
      <c r="P148" s="2585" t="s">
        <v>433</v>
      </c>
    </row>
    <row r="149">
      <c r="A149" s="2586" t="s">
        <v>877</v>
      </c>
      <c r="B149" s="2587" t="s">
        <v>561</v>
      </c>
      <c r="C149" s="2588" t="s">
        <v>870</v>
      </c>
      <c r="D149" s="2589" t="s">
        <v>435</v>
      </c>
      <c r="E149" s="2590" t="s">
        <v>829</v>
      </c>
      <c r="F149" s="2591" t="n">
        <v>98.0</v>
      </c>
      <c r="G149" s="2592" t="s">
        <v>434</v>
      </c>
      <c r="H149" s="2593" t="n">
        <v>98.0</v>
      </c>
      <c r="I149" s="2594" t="s">
        <v>434</v>
      </c>
      <c r="J149" s="2595" t="s">
        <v>830</v>
      </c>
      <c r="K149" s="2596" t="s">
        <v>433</v>
      </c>
      <c r="L149" s="2597" t="s">
        <v>433</v>
      </c>
      <c r="M149" s="2598" t="s">
        <v>433</v>
      </c>
      <c r="N149" s="2599" t="s">
        <v>433</v>
      </c>
      <c r="O149" s="2600" t="s">
        <v>835</v>
      </c>
      <c r="P149" s="2601" t="s">
        <v>433</v>
      </c>
    </row>
    <row r="150">
      <c r="A150" s="2602" t="s">
        <v>877</v>
      </c>
      <c r="B150" s="2603" t="s">
        <v>511</v>
      </c>
      <c r="C150" s="2604" t="s">
        <v>828</v>
      </c>
      <c r="D150" s="2605" t="s">
        <v>435</v>
      </c>
      <c r="E150" s="2606" t="s">
        <v>829</v>
      </c>
      <c r="F150" s="2607" t="n">
        <v>136.0</v>
      </c>
      <c r="G150" s="2608" t="s">
        <v>434</v>
      </c>
      <c r="H150" s="2609" t="n">
        <v>136.0</v>
      </c>
      <c r="I150" s="2610" t="s">
        <v>434</v>
      </c>
      <c r="J150" s="2611" t="s">
        <v>830</v>
      </c>
      <c r="K150" s="2612" t="s">
        <v>433</v>
      </c>
      <c r="L150" s="2613" t="s">
        <v>433</v>
      </c>
      <c r="M150" s="2614" t="s">
        <v>433</v>
      </c>
      <c r="N150" s="2615" t="s">
        <v>433</v>
      </c>
      <c r="O150" s="2616" t="s">
        <v>433</v>
      </c>
      <c r="P150" s="2617" t="s">
        <v>433</v>
      </c>
    </row>
    <row r="151">
      <c r="A151" s="2618" t="s">
        <v>877</v>
      </c>
      <c r="B151" s="2619" t="s">
        <v>562</v>
      </c>
      <c r="C151" s="2620" t="s">
        <v>832</v>
      </c>
      <c r="D151" s="2621" t="s">
        <v>435</v>
      </c>
      <c r="E151" s="2622" t="s">
        <v>829</v>
      </c>
      <c r="F151" s="2623" t="n">
        <v>14.0</v>
      </c>
      <c r="G151" s="2624" t="s">
        <v>434</v>
      </c>
      <c r="H151" s="2625" t="n">
        <v>14.0</v>
      </c>
      <c r="I151" s="2626" t="s">
        <v>434</v>
      </c>
      <c r="J151" s="2627" t="s">
        <v>830</v>
      </c>
      <c r="K151" s="2628" t="s">
        <v>433</v>
      </c>
      <c r="L151" s="2629" t="s">
        <v>433</v>
      </c>
      <c r="M151" s="2630" t="s">
        <v>433</v>
      </c>
      <c r="N151" s="2631" t="s">
        <v>433</v>
      </c>
      <c r="O151" s="2632" t="s">
        <v>433</v>
      </c>
      <c r="P151" s="2633" t="s">
        <v>433</v>
      </c>
    </row>
    <row r="152">
      <c r="A152" s="2634" t="s">
        <v>877</v>
      </c>
      <c r="B152" s="2635" t="s">
        <v>562</v>
      </c>
      <c r="C152" s="2636" t="s">
        <v>832</v>
      </c>
      <c r="D152" s="2637" t="s">
        <v>435</v>
      </c>
      <c r="E152" s="2638" t="s">
        <v>829</v>
      </c>
      <c r="F152" s="2639" t="n">
        <v>7.0</v>
      </c>
      <c r="G152" s="2640" t="s">
        <v>434</v>
      </c>
      <c r="H152" s="2641" t="n">
        <v>7.0</v>
      </c>
      <c r="I152" s="2642" t="s">
        <v>434</v>
      </c>
      <c r="J152" s="2643" t="s">
        <v>830</v>
      </c>
      <c r="K152" s="2644" t="s">
        <v>433</v>
      </c>
      <c r="L152" s="2645" t="s">
        <v>433</v>
      </c>
      <c r="M152" s="2646" t="s">
        <v>433</v>
      </c>
      <c r="N152" s="2647" t="s">
        <v>433</v>
      </c>
      <c r="O152" s="2648" t="s">
        <v>433</v>
      </c>
      <c r="P152" s="2649" t="s">
        <v>433</v>
      </c>
    </row>
    <row r="153">
      <c r="A153" s="2650" t="s">
        <v>877</v>
      </c>
      <c r="B153" s="2651" t="s">
        <v>531</v>
      </c>
      <c r="C153" s="2652" t="s">
        <v>836</v>
      </c>
      <c r="D153" s="2653" t="s">
        <v>435</v>
      </c>
      <c r="E153" s="2654" t="s">
        <v>829</v>
      </c>
      <c r="F153" s="2655" t="n">
        <v>98.0</v>
      </c>
      <c r="G153" s="2656" t="s">
        <v>434</v>
      </c>
      <c r="H153" s="2657" t="n">
        <v>98.0</v>
      </c>
      <c r="I153" s="2658" t="s">
        <v>434</v>
      </c>
      <c r="J153" s="2659" t="s">
        <v>830</v>
      </c>
      <c r="K153" s="2660" t="s">
        <v>433</v>
      </c>
      <c r="L153" s="2661" t="s">
        <v>433</v>
      </c>
      <c r="M153" s="2662" t="s">
        <v>433</v>
      </c>
      <c r="N153" s="2663" t="s">
        <v>433</v>
      </c>
      <c r="O153" s="2664" t="s">
        <v>833</v>
      </c>
      <c r="P153" s="2665" t="s">
        <v>433</v>
      </c>
    </row>
    <row r="154">
      <c r="A154" s="2666" t="s">
        <v>877</v>
      </c>
      <c r="B154" s="2667" t="s">
        <v>563</v>
      </c>
      <c r="C154" s="2668" t="s">
        <v>849</v>
      </c>
      <c r="D154" s="2669" t="s">
        <v>435</v>
      </c>
      <c r="E154" s="2670" t="s">
        <v>829</v>
      </c>
      <c r="F154" s="2671" t="n">
        <v>198.98</v>
      </c>
      <c r="G154" s="2672" t="s">
        <v>434</v>
      </c>
      <c r="H154" s="2673" t="n">
        <v>198.98</v>
      </c>
      <c r="I154" s="2674" t="s">
        <v>434</v>
      </c>
      <c r="J154" s="2675" t="s">
        <v>830</v>
      </c>
      <c r="K154" s="2676" t="s">
        <v>433</v>
      </c>
      <c r="L154" s="2677" t="s">
        <v>433</v>
      </c>
      <c r="M154" s="2678" t="s">
        <v>433</v>
      </c>
      <c r="N154" s="2679" t="s">
        <v>433</v>
      </c>
      <c r="O154" s="2680" t="s">
        <v>878</v>
      </c>
      <c r="P154" s="2681" t="s">
        <v>433</v>
      </c>
    </row>
    <row r="155">
      <c r="A155" s="2682" t="s">
        <v>877</v>
      </c>
      <c r="B155" s="2683" t="s">
        <v>439</v>
      </c>
      <c r="C155" s="2684" t="s">
        <v>828</v>
      </c>
      <c r="D155" s="2685" t="s">
        <v>435</v>
      </c>
      <c r="E155" s="2686" t="s">
        <v>829</v>
      </c>
      <c r="F155" s="2687" t="n">
        <v>80.85</v>
      </c>
      <c r="G155" s="2688" t="s">
        <v>434</v>
      </c>
      <c r="H155" s="2689" t="n">
        <v>80.85</v>
      </c>
      <c r="I155" s="2690" t="s">
        <v>434</v>
      </c>
      <c r="J155" s="2691" t="s">
        <v>830</v>
      </c>
      <c r="K155" s="2692" t="s">
        <v>433</v>
      </c>
      <c r="L155" s="2693" t="s">
        <v>433</v>
      </c>
      <c r="M155" s="2694" t="s">
        <v>433</v>
      </c>
      <c r="N155" s="2695" t="s">
        <v>433</v>
      </c>
      <c r="O155" s="2696" t="s">
        <v>833</v>
      </c>
      <c r="P155" s="2697" t="s">
        <v>433</v>
      </c>
    </row>
    <row r="156">
      <c r="A156" s="2698" t="s">
        <v>877</v>
      </c>
      <c r="B156" s="2699" t="s">
        <v>564</v>
      </c>
      <c r="C156" s="2700" t="s">
        <v>879</v>
      </c>
      <c r="D156" s="2701" t="s">
        <v>435</v>
      </c>
      <c r="E156" s="2702" t="s">
        <v>829</v>
      </c>
      <c r="F156" s="2703" t="n">
        <v>95.0</v>
      </c>
      <c r="G156" s="2704" t="s">
        <v>434</v>
      </c>
      <c r="H156" s="2705" t="n">
        <v>100.0</v>
      </c>
      <c r="I156" s="2706" t="s">
        <v>434</v>
      </c>
      <c r="J156" s="2707" t="s">
        <v>830</v>
      </c>
      <c r="K156" s="2708" t="s">
        <v>433</v>
      </c>
      <c r="L156" s="2709" t="s">
        <v>433</v>
      </c>
      <c r="M156" s="2710" t="s">
        <v>880</v>
      </c>
      <c r="N156" s="2711" t="s">
        <v>433</v>
      </c>
      <c r="O156" s="2712" t="s">
        <v>433</v>
      </c>
      <c r="P156" s="2713" t="s">
        <v>433</v>
      </c>
    </row>
    <row r="157">
      <c r="A157" s="2714" t="s">
        <v>881</v>
      </c>
    </row>
    <row r="158">
      <c r="A158" s="2715" t="s">
        <v>882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P13"/>
  <sheetViews>
    <sheetView workbookViewId="0" rightToLeft="true"/>
  </sheetViews>
  <sheetFormatPr defaultRowHeight="15.0"/>
  <sheetData>
    <row r="1">
      <c r="A1" s="2716" t="s">
        <v>809</v>
      </c>
      <c r="C1" s="2717" t="s">
        <v>433</v>
      </c>
    </row>
    <row r="2">
      <c r="A2" s="2718" t="s">
        <v>810</v>
      </c>
      <c r="C2" s="2719" t="s">
        <v>433</v>
      </c>
    </row>
    <row r="3">
      <c r="A3" s="2720" t="s">
        <v>811</v>
      </c>
      <c r="C3" s="2721" t="s">
        <v>433</v>
      </c>
    </row>
    <row r="4">
      <c r="A4" s="2722" t="s">
        <v>812</v>
      </c>
      <c r="B4" s="2723" t="s">
        <v>813</v>
      </c>
      <c r="C4" s="2724" t="s">
        <v>814</v>
      </c>
      <c r="D4" s="2725" t="s">
        <v>815</v>
      </c>
      <c r="E4" s="2726" t="s">
        <v>816</v>
      </c>
      <c r="F4" s="2727" t="s">
        <v>817</v>
      </c>
      <c r="G4" s="2728" t="s">
        <v>818</v>
      </c>
      <c r="H4" s="2729" t="s">
        <v>819</v>
      </c>
      <c r="I4" s="2730" t="s">
        <v>820</v>
      </c>
      <c r="J4" s="2731" t="s">
        <v>821</v>
      </c>
      <c r="K4" s="2732" t="s">
        <v>10</v>
      </c>
      <c r="L4" s="2733" t="s">
        <v>822</v>
      </c>
      <c r="M4" s="2734" t="s">
        <v>823</v>
      </c>
      <c r="N4" s="2735" t="s">
        <v>824</v>
      </c>
      <c r="O4" s="2736" t="s">
        <v>825</v>
      </c>
      <c r="P4" s="2737" t="s">
        <v>826</v>
      </c>
    </row>
    <row r="5">
      <c r="A5" s="2738" t="s">
        <v>842</v>
      </c>
      <c r="B5" s="2739" t="s">
        <v>463</v>
      </c>
      <c r="C5" s="2740" t="s">
        <v>845</v>
      </c>
      <c r="D5" s="2741" t="s">
        <v>435</v>
      </c>
      <c r="E5" s="2742" t="s">
        <v>883</v>
      </c>
      <c r="F5" s="2743" t="n">
        <v>32.9</v>
      </c>
      <c r="G5" s="2744" t="s">
        <v>434</v>
      </c>
      <c r="H5" s="2745" t="n">
        <v>32.9</v>
      </c>
      <c r="I5" s="2746" t="s">
        <v>434</v>
      </c>
      <c r="J5" s="2747" t="s">
        <v>846</v>
      </c>
      <c r="K5" s="2748" t="s">
        <v>464</v>
      </c>
      <c r="L5" s="2749" t="s">
        <v>433</v>
      </c>
      <c r="M5" s="2750" t="s">
        <v>433</v>
      </c>
      <c r="N5" s="2751" t="s">
        <v>433</v>
      </c>
      <c r="O5" s="2752" t="s">
        <v>835</v>
      </c>
      <c r="P5" s="2753" t="s">
        <v>433</v>
      </c>
    </row>
    <row r="6">
      <c r="A6" s="2754" t="s">
        <v>846</v>
      </c>
      <c r="B6" s="2755" t="s">
        <v>473</v>
      </c>
      <c r="C6" s="2756" t="s">
        <v>884</v>
      </c>
      <c r="D6" s="2757" t="s">
        <v>435</v>
      </c>
      <c r="E6" s="2758" t="s">
        <v>883</v>
      </c>
      <c r="F6" s="2759" t="n">
        <v>141.33</v>
      </c>
      <c r="G6" s="2760" t="s">
        <v>434</v>
      </c>
      <c r="H6" s="2761" t="n">
        <v>141.33</v>
      </c>
      <c r="I6" s="2762" t="s">
        <v>434</v>
      </c>
      <c r="J6" s="2763" t="s">
        <v>852</v>
      </c>
      <c r="K6" s="2764" t="s">
        <v>464</v>
      </c>
      <c r="L6" s="2765" t="s">
        <v>433</v>
      </c>
      <c r="M6" s="2766" t="s">
        <v>433</v>
      </c>
      <c r="N6" s="2767" t="s">
        <v>433</v>
      </c>
      <c r="O6" s="2768" t="s">
        <v>835</v>
      </c>
      <c r="P6" s="2769" t="s">
        <v>433</v>
      </c>
    </row>
    <row r="7">
      <c r="A7" s="2770" t="s">
        <v>847</v>
      </c>
      <c r="B7" s="2771" t="s">
        <v>477</v>
      </c>
      <c r="C7" s="2772" t="s">
        <v>845</v>
      </c>
      <c r="D7" s="2773" t="s">
        <v>435</v>
      </c>
      <c r="E7" s="2774" t="s">
        <v>883</v>
      </c>
      <c r="F7" s="2775" t="n">
        <v>49.9</v>
      </c>
      <c r="G7" s="2776" t="s">
        <v>434</v>
      </c>
      <c r="H7" s="2777" t="n">
        <v>49.9</v>
      </c>
      <c r="I7" s="2778" t="s">
        <v>434</v>
      </c>
      <c r="J7" s="2779" t="s">
        <v>850</v>
      </c>
      <c r="K7" s="2780" t="s">
        <v>464</v>
      </c>
      <c r="L7" s="2781" t="s">
        <v>433</v>
      </c>
      <c r="M7" s="2782" t="s">
        <v>433</v>
      </c>
      <c r="N7" s="2783" t="s">
        <v>433</v>
      </c>
      <c r="O7" s="2784" t="s">
        <v>835</v>
      </c>
      <c r="P7" s="2785" t="s">
        <v>433</v>
      </c>
    </row>
    <row r="8">
      <c r="A8" s="2786" t="s">
        <v>853</v>
      </c>
      <c r="B8" s="2787" t="s">
        <v>496</v>
      </c>
      <c r="C8" s="2788" t="s">
        <v>836</v>
      </c>
      <c r="D8" s="2789" t="s">
        <v>435</v>
      </c>
      <c r="E8" s="2790" t="s">
        <v>883</v>
      </c>
      <c r="F8" s="2791" t="n">
        <v>50.0</v>
      </c>
      <c r="G8" s="2792" t="s">
        <v>434</v>
      </c>
      <c r="H8" s="2793" t="n">
        <v>50.0</v>
      </c>
      <c r="I8" s="2794" t="s">
        <v>434</v>
      </c>
      <c r="J8" s="2795" t="s">
        <v>855</v>
      </c>
      <c r="K8" s="2796" t="s">
        <v>464</v>
      </c>
      <c r="L8" s="2797" t="s">
        <v>433</v>
      </c>
      <c r="M8" s="2798" t="s">
        <v>433</v>
      </c>
      <c r="N8" s="2799" t="s">
        <v>433</v>
      </c>
      <c r="O8" s="2800" t="s">
        <v>835</v>
      </c>
      <c r="P8" s="2801" t="s">
        <v>433</v>
      </c>
    </row>
    <row r="9">
      <c r="A9" s="2802" t="s">
        <v>859</v>
      </c>
      <c r="B9" s="2803" t="s">
        <v>516</v>
      </c>
      <c r="C9" s="2804" t="s">
        <v>836</v>
      </c>
      <c r="D9" s="2805" t="s">
        <v>435</v>
      </c>
      <c r="E9" s="2806" t="s">
        <v>883</v>
      </c>
      <c r="F9" s="2807" t="n">
        <v>49.9</v>
      </c>
      <c r="G9" s="2808" t="s">
        <v>434</v>
      </c>
      <c r="H9" s="2809" t="n">
        <v>49.9</v>
      </c>
      <c r="I9" s="2810" t="s">
        <v>434</v>
      </c>
      <c r="J9" s="2811" t="s">
        <v>862</v>
      </c>
      <c r="K9" s="2812" t="s">
        <v>464</v>
      </c>
      <c r="L9" s="2813" t="s">
        <v>433</v>
      </c>
      <c r="M9" s="2814" t="s">
        <v>433</v>
      </c>
      <c r="N9" s="2815" t="s">
        <v>433</v>
      </c>
      <c r="O9" s="2816" t="s">
        <v>835</v>
      </c>
      <c r="P9" s="2817" t="s">
        <v>433</v>
      </c>
    </row>
    <row r="10">
      <c r="A10" s="2818" t="s">
        <v>862</v>
      </c>
      <c r="B10" s="2819" t="s">
        <v>523</v>
      </c>
      <c r="C10" s="2820" t="s">
        <v>836</v>
      </c>
      <c r="D10" s="2821" t="s">
        <v>435</v>
      </c>
      <c r="E10" s="2822" t="s">
        <v>883</v>
      </c>
      <c r="F10" s="2823" t="n">
        <v>3.9</v>
      </c>
      <c r="G10" s="2824" t="s">
        <v>434</v>
      </c>
      <c r="H10" s="2825" t="n">
        <v>3.9</v>
      </c>
      <c r="I10" s="2826" t="s">
        <v>434</v>
      </c>
      <c r="J10" s="2827" t="s">
        <v>863</v>
      </c>
      <c r="K10" s="2828" t="s">
        <v>464</v>
      </c>
      <c r="L10" s="2829" t="s">
        <v>433</v>
      </c>
      <c r="M10" s="2830" t="s">
        <v>433</v>
      </c>
      <c r="N10" s="2831" t="s">
        <v>433</v>
      </c>
      <c r="O10" s="2832" t="s">
        <v>835</v>
      </c>
      <c r="P10" s="2833" t="s">
        <v>433</v>
      </c>
    </row>
    <row r="11">
      <c r="A11" s="2834" t="s">
        <v>875</v>
      </c>
      <c r="B11" s="2835" t="s">
        <v>556</v>
      </c>
      <c r="C11" s="2836" t="s">
        <v>836</v>
      </c>
      <c r="D11" s="2837" t="s">
        <v>435</v>
      </c>
      <c r="E11" s="2838" t="s">
        <v>883</v>
      </c>
      <c r="F11" s="2839" t="n">
        <v>45.9</v>
      </c>
      <c r="G11" s="2840" t="s">
        <v>434</v>
      </c>
      <c r="H11" s="2841" t="n">
        <v>45.9</v>
      </c>
      <c r="I11" s="2842" t="s">
        <v>434</v>
      </c>
      <c r="J11" s="2843" t="s">
        <v>885</v>
      </c>
      <c r="K11" s="2844" t="s">
        <v>464</v>
      </c>
      <c r="L11" s="2845" t="s">
        <v>433</v>
      </c>
      <c r="M11" s="2846" t="s">
        <v>433</v>
      </c>
      <c r="N11" s="2847" t="s">
        <v>433</v>
      </c>
      <c r="O11" s="2848" t="s">
        <v>835</v>
      </c>
      <c r="P11" s="2849" t="s">
        <v>433</v>
      </c>
    </row>
    <row r="12">
      <c r="A12" s="2850" t="s">
        <v>881</v>
      </c>
    </row>
    <row r="13">
      <c r="A13" s="2851" t="s">
        <v>886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P8"/>
  <sheetViews>
    <sheetView workbookViewId="0" rightToLeft="true"/>
  </sheetViews>
  <sheetFormatPr defaultRowHeight="15.0"/>
  <sheetData>
    <row r="1">
      <c r="A1" s="2852" t="s">
        <v>809</v>
      </c>
      <c r="C1" s="2853" t="s">
        <v>433</v>
      </c>
    </row>
    <row r="2">
      <c r="A2" s="2854" t="s">
        <v>810</v>
      </c>
      <c r="C2" s="2855" t="s">
        <v>433</v>
      </c>
    </row>
    <row r="3">
      <c r="A3" s="2856" t="s">
        <v>811</v>
      </c>
      <c r="C3" s="2857" t="s">
        <v>433</v>
      </c>
    </row>
    <row r="4">
      <c r="A4" s="2858" t="s">
        <v>812</v>
      </c>
      <c r="B4" s="2859" t="s">
        <v>813</v>
      </c>
      <c r="C4" s="2860" t="s">
        <v>814</v>
      </c>
      <c r="D4" s="2861" t="s">
        <v>815</v>
      </c>
      <c r="E4" s="2862" t="s">
        <v>816</v>
      </c>
      <c r="F4" s="2863" t="s">
        <v>817</v>
      </c>
      <c r="G4" s="2864" t="s">
        <v>818</v>
      </c>
      <c r="H4" s="2865" t="s">
        <v>819</v>
      </c>
      <c r="I4" s="2866" t="s">
        <v>820</v>
      </c>
      <c r="J4" s="2867" t="s">
        <v>821</v>
      </c>
      <c r="K4" s="2868" t="s">
        <v>10</v>
      </c>
      <c r="L4" s="2869" t="s">
        <v>822</v>
      </c>
      <c r="M4" s="2870" t="s">
        <v>823</v>
      </c>
      <c r="N4" s="2871" t="s">
        <v>824</v>
      </c>
      <c r="O4" s="2872" t="s">
        <v>825</v>
      </c>
      <c r="P4" s="2873" t="s">
        <v>826</v>
      </c>
    </row>
    <row r="5">
      <c r="A5" s="2874" t="s">
        <v>855</v>
      </c>
      <c r="B5" s="2875" t="s">
        <v>503</v>
      </c>
      <c r="C5" s="2876" t="s">
        <v>887</v>
      </c>
      <c r="D5" s="2877" t="s">
        <v>435</v>
      </c>
      <c r="E5" s="2878" t="s">
        <v>883</v>
      </c>
      <c r="F5" s="2879" t="n">
        <v>207.9</v>
      </c>
      <c r="G5" s="2880" t="s">
        <v>434</v>
      </c>
      <c r="H5" s="2881" t="n">
        <v>207.9</v>
      </c>
      <c r="I5" s="2882" t="s">
        <v>434</v>
      </c>
      <c r="J5" s="2883" t="s">
        <v>856</v>
      </c>
      <c r="K5" s="2884" t="s">
        <v>433</v>
      </c>
      <c r="L5" s="2885" t="s">
        <v>433</v>
      </c>
      <c r="M5" s="2886" t="s">
        <v>433</v>
      </c>
      <c r="N5" s="2887" t="s">
        <v>433</v>
      </c>
      <c r="O5" s="2888" t="s">
        <v>888</v>
      </c>
      <c r="P5" s="2889" t="s">
        <v>433</v>
      </c>
    </row>
    <row r="6">
      <c r="A6" s="2890" t="s">
        <v>863</v>
      </c>
      <c r="B6" s="2891" t="s">
        <v>526</v>
      </c>
      <c r="C6" s="2892" t="s">
        <v>887</v>
      </c>
      <c r="D6" s="2893" t="s">
        <v>435</v>
      </c>
      <c r="E6" s="2894" t="s">
        <v>883</v>
      </c>
      <c r="F6" s="2895" t="n">
        <v>156.95</v>
      </c>
      <c r="G6" s="2896" t="s">
        <v>434</v>
      </c>
      <c r="H6" s="2897" t="n">
        <v>156.95</v>
      </c>
      <c r="I6" s="2898" t="s">
        <v>434</v>
      </c>
      <c r="J6" s="2899" t="s">
        <v>864</v>
      </c>
      <c r="K6" s="2900" t="s">
        <v>433</v>
      </c>
      <c r="L6" s="2901" t="s">
        <v>433</v>
      </c>
      <c r="M6" s="2902" t="s">
        <v>433</v>
      </c>
      <c r="N6" s="2903" t="s">
        <v>433</v>
      </c>
      <c r="O6" s="2904" t="s">
        <v>888</v>
      </c>
      <c r="P6" s="2905" t="s">
        <v>433</v>
      </c>
    </row>
    <row r="7">
      <c r="A7" s="2906" t="s">
        <v>881</v>
      </c>
    </row>
    <row r="8">
      <c r="A8" s="2907" t="s">
        <v>889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P139"/>
  <sheetViews>
    <sheetView workbookViewId="0" rightToLeft="true"/>
  </sheetViews>
  <sheetFormatPr defaultRowHeight="15.0"/>
  <sheetData>
    <row r="1">
      <c r="A1" s="2908" t="s">
        <v>809</v>
      </c>
      <c r="C1" s="2909" t="s">
        <v>433</v>
      </c>
    </row>
    <row r="2">
      <c r="A2" s="2910" t="s">
        <v>810</v>
      </c>
      <c r="C2" s="2911" t="s">
        <v>433</v>
      </c>
    </row>
    <row r="3">
      <c r="A3" s="2912" t="s">
        <v>890</v>
      </c>
      <c r="C3" s="2913" t="s">
        <v>433</v>
      </c>
    </row>
    <row r="4">
      <c r="A4" s="2914" t="s">
        <v>812</v>
      </c>
      <c r="B4" s="2915" t="s">
        <v>813</v>
      </c>
      <c r="C4" s="2916" t="s">
        <v>814</v>
      </c>
      <c r="D4" s="2917" t="s">
        <v>815</v>
      </c>
      <c r="E4" s="2918" t="s">
        <v>816</v>
      </c>
      <c r="F4" s="2919" t="s">
        <v>817</v>
      </c>
      <c r="G4" s="2920" t="s">
        <v>818</v>
      </c>
      <c r="H4" s="2921" t="s">
        <v>819</v>
      </c>
      <c r="I4" s="2922" t="s">
        <v>820</v>
      </c>
      <c r="J4" s="2923" t="s">
        <v>821</v>
      </c>
      <c r="K4" s="2924" t="s">
        <v>10</v>
      </c>
      <c r="L4" s="2925" t="s">
        <v>822</v>
      </c>
      <c r="M4" s="2926" t="s">
        <v>823</v>
      </c>
      <c r="N4" s="2927" t="s">
        <v>824</v>
      </c>
      <c r="O4" s="2928" t="s">
        <v>825</v>
      </c>
      <c r="P4" s="2929" t="s">
        <v>826</v>
      </c>
    </row>
    <row r="5">
      <c r="A5" s="2930" t="s">
        <v>872</v>
      </c>
      <c r="B5" s="2931" t="s">
        <v>774</v>
      </c>
      <c r="C5" s="2932" t="s">
        <v>873</v>
      </c>
      <c r="D5" s="2933" t="s">
        <v>435</v>
      </c>
      <c r="E5" s="2934" t="s">
        <v>874</v>
      </c>
      <c r="F5" s="2935" t="n">
        <v>134.0</v>
      </c>
      <c r="G5" s="2936" t="s">
        <v>434</v>
      </c>
      <c r="H5" s="2937" t="n">
        <v>1343.0</v>
      </c>
      <c r="I5" s="2938" t="s">
        <v>434</v>
      </c>
      <c r="J5" s="2939" t="s">
        <v>891</v>
      </c>
      <c r="K5" s="2940" t="s">
        <v>782</v>
      </c>
      <c r="L5" s="2941" t="s">
        <v>433</v>
      </c>
      <c r="M5" s="2942" t="s">
        <v>433</v>
      </c>
      <c r="N5" s="2943" t="s">
        <v>433</v>
      </c>
      <c r="O5" s="2944" t="s">
        <v>833</v>
      </c>
      <c r="P5" s="2945" t="s">
        <v>433</v>
      </c>
    </row>
    <row r="6">
      <c r="A6" s="2946" t="s">
        <v>892</v>
      </c>
      <c r="B6" s="2947" t="s">
        <v>681</v>
      </c>
      <c r="C6" s="2948" t="s">
        <v>870</v>
      </c>
      <c r="D6" s="2949" t="s">
        <v>435</v>
      </c>
      <c r="E6" s="2950" t="s">
        <v>874</v>
      </c>
      <c r="F6" s="2951" t="n">
        <v>304.83</v>
      </c>
      <c r="G6" s="2952" t="s">
        <v>434</v>
      </c>
      <c r="H6" s="2953" t="n">
        <v>3658.0</v>
      </c>
      <c r="I6" s="2954" t="s">
        <v>434</v>
      </c>
      <c r="J6" s="2955" t="s">
        <v>891</v>
      </c>
      <c r="K6" s="2956" t="s">
        <v>783</v>
      </c>
      <c r="L6" s="2957" t="s">
        <v>433</v>
      </c>
      <c r="M6" s="2958" t="s">
        <v>433</v>
      </c>
      <c r="N6" s="2959" t="s">
        <v>433</v>
      </c>
      <c r="O6" s="2960" t="s">
        <v>833</v>
      </c>
      <c r="P6" s="2961" t="s">
        <v>433</v>
      </c>
    </row>
    <row r="7">
      <c r="A7" s="2962" t="s">
        <v>893</v>
      </c>
      <c r="B7" s="2963" t="s">
        <v>786</v>
      </c>
      <c r="C7" s="2964" t="s">
        <v>894</v>
      </c>
      <c r="D7" s="2965" t="s">
        <v>435</v>
      </c>
      <c r="E7" s="2966" t="s">
        <v>874</v>
      </c>
      <c r="F7" s="2967" t="n">
        <v>580.0</v>
      </c>
      <c r="G7" s="2968" t="s">
        <v>434</v>
      </c>
      <c r="H7" s="2969" t="n">
        <v>5800.0</v>
      </c>
      <c r="I7" s="2970" t="s">
        <v>434</v>
      </c>
      <c r="J7" s="2971" t="s">
        <v>891</v>
      </c>
      <c r="K7" s="2972" t="s">
        <v>780</v>
      </c>
      <c r="L7" s="2973" t="s">
        <v>433</v>
      </c>
      <c r="M7" s="2974" t="s">
        <v>433</v>
      </c>
      <c r="N7" s="2975" t="s">
        <v>433</v>
      </c>
      <c r="O7" s="2976" t="s">
        <v>833</v>
      </c>
      <c r="P7" s="2977" t="s">
        <v>433</v>
      </c>
    </row>
    <row r="8">
      <c r="A8" s="2978" t="s">
        <v>895</v>
      </c>
      <c r="B8" s="2979" t="s">
        <v>439</v>
      </c>
      <c r="C8" s="2980" t="s">
        <v>828</v>
      </c>
      <c r="D8" s="2981" t="s">
        <v>435</v>
      </c>
      <c r="E8" s="2982" t="s">
        <v>829</v>
      </c>
      <c r="F8" s="2983" t="n">
        <v>55.35</v>
      </c>
      <c r="G8" s="2984" t="s">
        <v>434</v>
      </c>
      <c r="H8" s="2985" t="n">
        <v>55.35</v>
      </c>
      <c r="I8" s="2986" t="s">
        <v>434</v>
      </c>
      <c r="J8" s="2987" t="s">
        <v>891</v>
      </c>
      <c r="K8" s="2988" t="s">
        <v>433</v>
      </c>
      <c r="L8" s="2989" t="s">
        <v>433</v>
      </c>
      <c r="M8" s="2990" t="s">
        <v>433</v>
      </c>
      <c r="N8" s="2991" t="s">
        <v>433</v>
      </c>
      <c r="O8" s="2992" t="s">
        <v>833</v>
      </c>
      <c r="P8" s="2993" t="s">
        <v>433</v>
      </c>
    </row>
    <row r="9">
      <c r="A9" s="2994" t="s">
        <v>895</v>
      </c>
      <c r="B9" s="2995" t="s">
        <v>439</v>
      </c>
      <c r="C9" s="2996" t="s">
        <v>828</v>
      </c>
      <c r="D9" s="2997" t="s">
        <v>435</v>
      </c>
      <c r="E9" s="2998" t="s">
        <v>829</v>
      </c>
      <c r="F9" s="2999" t="n">
        <v>29.0</v>
      </c>
      <c r="G9" s="3000" t="s">
        <v>434</v>
      </c>
      <c r="H9" s="3001" t="n">
        <v>29.0</v>
      </c>
      <c r="I9" s="3002" t="s">
        <v>434</v>
      </c>
      <c r="J9" s="3003" t="s">
        <v>891</v>
      </c>
      <c r="K9" s="3004" t="s">
        <v>433</v>
      </c>
      <c r="L9" s="3005" t="s">
        <v>433</v>
      </c>
      <c r="M9" s="3006" t="s">
        <v>433</v>
      </c>
      <c r="N9" s="3007" t="s">
        <v>433</v>
      </c>
      <c r="O9" s="3008" t="s">
        <v>833</v>
      </c>
      <c r="P9" s="3009" t="s">
        <v>433</v>
      </c>
    </row>
    <row r="10">
      <c r="A10" s="3010" t="s">
        <v>895</v>
      </c>
      <c r="B10" s="3011" t="s">
        <v>441</v>
      </c>
      <c r="C10" s="3012" t="s">
        <v>836</v>
      </c>
      <c r="D10" s="3013" t="s">
        <v>435</v>
      </c>
      <c r="E10" s="3014" t="s">
        <v>829</v>
      </c>
      <c r="F10" s="3015" t="n">
        <v>15.0</v>
      </c>
      <c r="G10" s="3016" t="s">
        <v>434</v>
      </c>
      <c r="H10" s="3017" t="n">
        <v>15.0</v>
      </c>
      <c r="I10" s="3018" t="s">
        <v>434</v>
      </c>
      <c r="J10" s="3019" t="s">
        <v>891</v>
      </c>
      <c r="K10" s="3020" t="s">
        <v>433</v>
      </c>
      <c r="L10" s="3021" t="s">
        <v>433</v>
      </c>
      <c r="M10" s="3022" t="s">
        <v>433</v>
      </c>
      <c r="N10" s="3023" t="s">
        <v>433</v>
      </c>
      <c r="O10" s="3024" t="s">
        <v>835</v>
      </c>
      <c r="P10" s="3025" t="s">
        <v>433</v>
      </c>
    </row>
    <row r="11">
      <c r="A11" s="3026" t="s">
        <v>895</v>
      </c>
      <c r="B11" s="3027" t="s">
        <v>441</v>
      </c>
      <c r="C11" s="3028" t="s">
        <v>836</v>
      </c>
      <c r="D11" s="3029" t="s">
        <v>435</v>
      </c>
      <c r="E11" s="3030" t="s">
        <v>829</v>
      </c>
      <c r="F11" s="3031" t="n">
        <v>11.0</v>
      </c>
      <c r="G11" s="3032" t="s">
        <v>434</v>
      </c>
      <c r="H11" s="3033" t="n">
        <v>11.0</v>
      </c>
      <c r="I11" s="3034" t="s">
        <v>434</v>
      </c>
      <c r="J11" s="3035" t="s">
        <v>891</v>
      </c>
      <c r="K11" s="3036" t="s">
        <v>433</v>
      </c>
      <c r="L11" s="3037" t="s">
        <v>433</v>
      </c>
      <c r="M11" s="3038" t="s">
        <v>433</v>
      </c>
      <c r="N11" s="3039" t="s">
        <v>433</v>
      </c>
      <c r="O11" s="3040" t="s">
        <v>835</v>
      </c>
      <c r="P11" s="3041" t="s">
        <v>433</v>
      </c>
    </row>
    <row r="12">
      <c r="A12" s="3042" t="s">
        <v>895</v>
      </c>
      <c r="B12" s="3043" t="s">
        <v>442</v>
      </c>
      <c r="C12" s="3044" t="s">
        <v>836</v>
      </c>
      <c r="D12" s="3045" t="s">
        <v>435</v>
      </c>
      <c r="E12" s="3046" t="s">
        <v>829</v>
      </c>
      <c r="F12" s="3047" t="n">
        <v>150.0</v>
      </c>
      <c r="G12" s="3048" t="s">
        <v>434</v>
      </c>
      <c r="H12" s="3049" t="n">
        <v>150.0</v>
      </c>
      <c r="I12" s="3050" t="s">
        <v>434</v>
      </c>
      <c r="J12" s="3051" t="s">
        <v>891</v>
      </c>
      <c r="K12" s="3052" t="s">
        <v>433</v>
      </c>
      <c r="L12" s="3053" t="s">
        <v>433</v>
      </c>
      <c r="M12" s="3054" t="s">
        <v>433</v>
      </c>
      <c r="N12" s="3055" t="s">
        <v>433</v>
      </c>
      <c r="O12" s="3056" t="s">
        <v>835</v>
      </c>
      <c r="P12" s="3057" t="s">
        <v>433</v>
      </c>
    </row>
    <row r="13">
      <c r="A13" s="3058" t="s">
        <v>896</v>
      </c>
      <c r="B13" s="3059" t="s">
        <v>709</v>
      </c>
      <c r="C13" s="3060" t="s">
        <v>828</v>
      </c>
      <c r="D13" s="3061" t="s">
        <v>435</v>
      </c>
      <c r="E13" s="3062" t="s">
        <v>829</v>
      </c>
      <c r="F13" s="3063" t="n">
        <v>107.7</v>
      </c>
      <c r="G13" s="3064" t="s">
        <v>434</v>
      </c>
      <c r="H13" s="3065" t="n">
        <v>107.7</v>
      </c>
      <c r="I13" s="3066" t="s">
        <v>434</v>
      </c>
      <c r="J13" s="3067" t="s">
        <v>891</v>
      </c>
      <c r="K13" s="3068" t="s">
        <v>433</v>
      </c>
      <c r="L13" s="3069" t="s">
        <v>433</v>
      </c>
      <c r="M13" s="3070" t="s">
        <v>433</v>
      </c>
      <c r="N13" s="3071" t="s">
        <v>433</v>
      </c>
      <c r="O13" s="3072" t="s">
        <v>833</v>
      </c>
      <c r="P13" s="3073" t="s">
        <v>433</v>
      </c>
    </row>
    <row r="14">
      <c r="A14" s="3074" t="s">
        <v>896</v>
      </c>
      <c r="B14" s="3075" t="s">
        <v>649</v>
      </c>
      <c r="C14" s="3076" t="s">
        <v>860</v>
      </c>
      <c r="D14" s="3077" t="s">
        <v>435</v>
      </c>
      <c r="E14" s="3078" t="s">
        <v>829</v>
      </c>
      <c r="F14" s="3079" t="n">
        <v>49.0</v>
      </c>
      <c r="G14" s="3080" t="s">
        <v>434</v>
      </c>
      <c r="H14" s="3081" t="n">
        <v>49.0</v>
      </c>
      <c r="I14" s="3082" t="s">
        <v>434</v>
      </c>
      <c r="J14" s="3083" t="s">
        <v>891</v>
      </c>
      <c r="K14" s="3084" t="s">
        <v>437</v>
      </c>
      <c r="L14" s="3085" t="s">
        <v>433</v>
      </c>
      <c r="M14" s="3086" t="s">
        <v>433</v>
      </c>
      <c r="N14" s="3087" t="s">
        <v>433</v>
      </c>
      <c r="O14" s="3088" t="s">
        <v>833</v>
      </c>
      <c r="P14" s="3089" t="s">
        <v>433</v>
      </c>
    </row>
    <row r="15">
      <c r="A15" s="3090" t="s">
        <v>896</v>
      </c>
      <c r="B15" s="3091" t="s">
        <v>441</v>
      </c>
      <c r="C15" s="3092" t="s">
        <v>836</v>
      </c>
      <c r="D15" s="3093" t="s">
        <v>435</v>
      </c>
      <c r="E15" s="3094" t="s">
        <v>829</v>
      </c>
      <c r="F15" s="3095" t="n">
        <v>48.0</v>
      </c>
      <c r="G15" s="3096" t="s">
        <v>434</v>
      </c>
      <c r="H15" s="3097" t="n">
        <v>48.0</v>
      </c>
      <c r="I15" s="3098" t="s">
        <v>434</v>
      </c>
      <c r="J15" s="3099" t="s">
        <v>891</v>
      </c>
      <c r="K15" s="3100" t="s">
        <v>433</v>
      </c>
      <c r="L15" s="3101" t="s">
        <v>433</v>
      </c>
      <c r="M15" s="3102" t="s">
        <v>433</v>
      </c>
      <c r="N15" s="3103" t="s">
        <v>433</v>
      </c>
      <c r="O15" s="3104" t="s">
        <v>835</v>
      </c>
      <c r="P15" s="3105" t="s">
        <v>433</v>
      </c>
    </row>
    <row r="16">
      <c r="A16" s="3106" t="s">
        <v>896</v>
      </c>
      <c r="B16" s="3107" t="s">
        <v>710</v>
      </c>
      <c r="C16" s="3108" t="s">
        <v>838</v>
      </c>
      <c r="D16" s="3109" t="s">
        <v>435</v>
      </c>
      <c r="E16" s="3110" t="s">
        <v>829</v>
      </c>
      <c r="F16" s="3111" t="n">
        <v>9.0</v>
      </c>
      <c r="G16" s="3112" t="s">
        <v>434</v>
      </c>
      <c r="H16" s="3113" t="n">
        <v>9.0</v>
      </c>
      <c r="I16" s="3114" t="s">
        <v>434</v>
      </c>
      <c r="J16" s="3115" t="s">
        <v>891</v>
      </c>
      <c r="K16" s="3116" t="s">
        <v>433</v>
      </c>
      <c r="L16" s="3117" t="s">
        <v>433</v>
      </c>
      <c r="M16" s="3118" t="s">
        <v>433</v>
      </c>
      <c r="N16" s="3119" t="s">
        <v>433</v>
      </c>
      <c r="O16" s="3120" t="s">
        <v>433</v>
      </c>
      <c r="P16" s="3121" t="s">
        <v>433</v>
      </c>
    </row>
    <row r="17">
      <c r="A17" s="3122" t="s">
        <v>896</v>
      </c>
      <c r="B17" s="3123" t="s">
        <v>711</v>
      </c>
      <c r="C17" s="3124" t="s">
        <v>836</v>
      </c>
      <c r="D17" s="3125" t="s">
        <v>435</v>
      </c>
      <c r="E17" s="3126" t="s">
        <v>829</v>
      </c>
      <c r="F17" s="3127" t="n">
        <v>9.0</v>
      </c>
      <c r="G17" s="3128" t="s">
        <v>434</v>
      </c>
      <c r="H17" s="3129" t="n">
        <v>9.0</v>
      </c>
      <c r="I17" s="3130" t="s">
        <v>434</v>
      </c>
      <c r="J17" s="3131" t="s">
        <v>891</v>
      </c>
      <c r="K17" s="3132" t="s">
        <v>433</v>
      </c>
      <c r="L17" s="3133" t="s">
        <v>433</v>
      </c>
      <c r="M17" s="3134" t="s">
        <v>433</v>
      </c>
      <c r="N17" s="3135" t="s">
        <v>433</v>
      </c>
      <c r="O17" s="3136" t="s">
        <v>833</v>
      </c>
      <c r="P17" s="3137" t="s">
        <v>433</v>
      </c>
    </row>
    <row r="18">
      <c r="A18" s="3138" t="s">
        <v>897</v>
      </c>
      <c r="B18" s="3139" t="s">
        <v>713</v>
      </c>
      <c r="C18" s="3140" t="s">
        <v>868</v>
      </c>
      <c r="D18" s="3141" t="s">
        <v>435</v>
      </c>
      <c r="E18" s="3142" t="s">
        <v>829</v>
      </c>
      <c r="F18" s="3143" t="n">
        <v>28.81</v>
      </c>
      <c r="G18" s="3144" t="s">
        <v>434</v>
      </c>
      <c r="H18" s="3145" t="n">
        <v>28.81</v>
      </c>
      <c r="I18" s="3146" t="s">
        <v>434</v>
      </c>
      <c r="J18" s="3147" t="s">
        <v>891</v>
      </c>
      <c r="K18" s="3148" t="s">
        <v>433</v>
      </c>
      <c r="L18" s="3149" t="s">
        <v>433</v>
      </c>
      <c r="M18" s="3150" t="s">
        <v>433</v>
      </c>
      <c r="N18" s="3151" t="s">
        <v>433</v>
      </c>
      <c r="O18" s="3152" t="s">
        <v>433</v>
      </c>
      <c r="P18" s="3153" t="s">
        <v>433</v>
      </c>
    </row>
    <row r="19">
      <c r="A19" s="3154" t="s">
        <v>897</v>
      </c>
      <c r="B19" s="3155" t="s">
        <v>714</v>
      </c>
      <c r="C19" s="3156" t="s">
        <v>838</v>
      </c>
      <c r="D19" s="3157" t="s">
        <v>435</v>
      </c>
      <c r="E19" s="3158" t="s">
        <v>829</v>
      </c>
      <c r="F19" s="3159" t="n">
        <v>20.0</v>
      </c>
      <c r="G19" s="3160" t="s">
        <v>434</v>
      </c>
      <c r="H19" s="3161" t="n">
        <v>20.0</v>
      </c>
      <c r="I19" s="3162" t="s">
        <v>434</v>
      </c>
      <c r="J19" s="3163" t="s">
        <v>891</v>
      </c>
      <c r="K19" s="3164" t="s">
        <v>433</v>
      </c>
      <c r="L19" s="3165" t="s">
        <v>433</v>
      </c>
      <c r="M19" s="3166" t="s">
        <v>433</v>
      </c>
      <c r="N19" s="3167" t="s">
        <v>433</v>
      </c>
      <c r="O19" s="3168" t="s">
        <v>433</v>
      </c>
      <c r="P19" s="3169" t="s">
        <v>433</v>
      </c>
    </row>
    <row r="20">
      <c r="A20" s="3170" t="s">
        <v>897</v>
      </c>
      <c r="B20" s="3171" t="s">
        <v>518</v>
      </c>
      <c r="C20" s="3172" t="s">
        <v>860</v>
      </c>
      <c r="D20" s="3173" t="s">
        <v>435</v>
      </c>
      <c r="E20" s="3174" t="s">
        <v>829</v>
      </c>
      <c r="F20" s="3175" t="n">
        <v>17.5</v>
      </c>
      <c r="G20" s="3176" t="s">
        <v>434</v>
      </c>
      <c r="H20" s="3177" t="n">
        <v>17.5</v>
      </c>
      <c r="I20" s="3178" t="s">
        <v>434</v>
      </c>
      <c r="J20" s="3179" t="s">
        <v>891</v>
      </c>
      <c r="K20" s="3180" t="s">
        <v>715</v>
      </c>
      <c r="L20" s="3181" t="s">
        <v>433</v>
      </c>
      <c r="M20" s="3182" t="s">
        <v>433</v>
      </c>
      <c r="N20" s="3183" t="s">
        <v>433</v>
      </c>
      <c r="O20" s="3184" t="s">
        <v>833</v>
      </c>
      <c r="P20" s="3185" t="s">
        <v>433</v>
      </c>
    </row>
    <row r="21">
      <c r="A21" s="3186" t="s">
        <v>897</v>
      </c>
      <c r="B21" s="3187" t="s">
        <v>716</v>
      </c>
      <c r="C21" s="3188" t="s">
        <v>843</v>
      </c>
      <c r="D21" s="3189" t="s">
        <v>435</v>
      </c>
      <c r="E21" s="3190" t="s">
        <v>829</v>
      </c>
      <c r="F21" s="3191" t="n">
        <v>18.99</v>
      </c>
      <c r="G21" s="3192" t="s">
        <v>434</v>
      </c>
      <c r="H21" s="3193" t="n">
        <v>18.99</v>
      </c>
      <c r="I21" s="3194" t="s">
        <v>434</v>
      </c>
      <c r="J21" s="3195" t="s">
        <v>891</v>
      </c>
      <c r="K21" s="3196" t="s">
        <v>433</v>
      </c>
      <c r="L21" s="3197" t="s">
        <v>433</v>
      </c>
      <c r="M21" s="3198" t="s">
        <v>433</v>
      </c>
      <c r="N21" s="3199" t="s">
        <v>433</v>
      </c>
      <c r="O21" s="3200" t="s">
        <v>433</v>
      </c>
      <c r="P21" s="3201" t="s">
        <v>433</v>
      </c>
    </row>
    <row r="22">
      <c r="A22" s="3202" t="s">
        <v>897</v>
      </c>
      <c r="B22" s="3203" t="s">
        <v>711</v>
      </c>
      <c r="C22" s="3204" t="s">
        <v>836</v>
      </c>
      <c r="D22" s="3205" t="s">
        <v>435</v>
      </c>
      <c r="E22" s="3206" t="s">
        <v>829</v>
      </c>
      <c r="F22" s="3207" t="n">
        <v>13.0</v>
      </c>
      <c r="G22" s="3208" t="s">
        <v>434</v>
      </c>
      <c r="H22" s="3209" t="n">
        <v>13.0</v>
      </c>
      <c r="I22" s="3210" t="s">
        <v>434</v>
      </c>
      <c r="J22" s="3211" t="s">
        <v>891</v>
      </c>
      <c r="K22" s="3212" t="s">
        <v>433</v>
      </c>
      <c r="L22" s="3213" t="s">
        <v>433</v>
      </c>
      <c r="M22" s="3214" t="s">
        <v>433</v>
      </c>
      <c r="N22" s="3215" t="s">
        <v>433</v>
      </c>
      <c r="O22" s="3216" t="s">
        <v>433</v>
      </c>
      <c r="P22" s="3217" t="s">
        <v>433</v>
      </c>
    </row>
    <row r="23">
      <c r="A23" s="3218" t="s">
        <v>897</v>
      </c>
      <c r="B23" s="3219" t="s">
        <v>439</v>
      </c>
      <c r="C23" s="3220" t="s">
        <v>828</v>
      </c>
      <c r="D23" s="3221" t="s">
        <v>435</v>
      </c>
      <c r="E23" s="3222" t="s">
        <v>829</v>
      </c>
      <c r="F23" s="3223" t="n">
        <v>57.54</v>
      </c>
      <c r="G23" s="3224" t="s">
        <v>434</v>
      </c>
      <c r="H23" s="3225" t="n">
        <v>57.54</v>
      </c>
      <c r="I23" s="3226" t="s">
        <v>434</v>
      </c>
      <c r="J23" s="3227" t="s">
        <v>891</v>
      </c>
      <c r="K23" s="3228" t="s">
        <v>433</v>
      </c>
      <c r="L23" s="3229" t="s">
        <v>433</v>
      </c>
      <c r="M23" s="3230" t="s">
        <v>433</v>
      </c>
      <c r="N23" s="3231" t="s">
        <v>433</v>
      </c>
      <c r="O23" s="3232" t="s">
        <v>833</v>
      </c>
      <c r="P23" s="3233" t="s">
        <v>433</v>
      </c>
    </row>
    <row r="24">
      <c r="A24" s="3234" t="s">
        <v>897</v>
      </c>
      <c r="B24" s="3235" t="s">
        <v>441</v>
      </c>
      <c r="C24" s="3236" t="s">
        <v>836</v>
      </c>
      <c r="D24" s="3237" t="s">
        <v>435</v>
      </c>
      <c r="E24" s="3238" t="s">
        <v>829</v>
      </c>
      <c r="F24" s="3239" t="n">
        <v>15.0</v>
      </c>
      <c r="G24" s="3240" t="s">
        <v>434</v>
      </c>
      <c r="H24" s="3241" t="n">
        <v>15.0</v>
      </c>
      <c r="I24" s="3242" t="s">
        <v>434</v>
      </c>
      <c r="J24" s="3243" t="s">
        <v>891</v>
      </c>
      <c r="K24" s="3244" t="s">
        <v>433</v>
      </c>
      <c r="L24" s="3245" t="s">
        <v>433</v>
      </c>
      <c r="M24" s="3246" t="s">
        <v>433</v>
      </c>
      <c r="N24" s="3247" t="s">
        <v>433</v>
      </c>
      <c r="O24" s="3248" t="s">
        <v>835</v>
      </c>
      <c r="P24" s="3249" t="s">
        <v>433</v>
      </c>
    </row>
    <row r="25">
      <c r="A25" s="3250" t="s">
        <v>897</v>
      </c>
      <c r="B25" s="3251" t="s">
        <v>717</v>
      </c>
      <c r="C25" s="3252" t="s">
        <v>838</v>
      </c>
      <c r="D25" s="3253" t="s">
        <v>435</v>
      </c>
      <c r="E25" s="3254" t="s">
        <v>829</v>
      </c>
      <c r="F25" s="3255" t="n">
        <v>22.0</v>
      </c>
      <c r="G25" s="3256" t="s">
        <v>434</v>
      </c>
      <c r="H25" s="3257" t="n">
        <v>22.0</v>
      </c>
      <c r="I25" s="3258" t="s">
        <v>434</v>
      </c>
      <c r="J25" s="3259" t="s">
        <v>891</v>
      </c>
      <c r="K25" s="3260" t="s">
        <v>433</v>
      </c>
      <c r="L25" s="3261" t="s">
        <v>433</v>
      </c>
      <c r="M25" s="3262" t="s">
        <v>433</v>
      </c>
      <c r="N25" s="3263" t="s">
        <v>433</v>
      </c>
      <c r="O25" s="3264" t="s">
        <v>433</v>
      </c>
      <c r="P25" s="3265" t="s">
        <v>433</v>
      </c>
    </row>
    <row r="26">
      <c r="A26" s="3266" t="s">
        <v>897</v>
      </c>
      <c r="B26" s="3267" t="s">
        <v>717</v>
      </c>
      <c r="C26" s="3268" t="s">
        <v>838</v>
      </c>
      <c r="D26" s="3269" t="s">
        <v>435</v>
      </c>
      <c r="E26" s="3270" t="s">
        <v>829</v>
      </c>
      <c r="F26" s="3271" t="n">
        <v>6.0</v>
      </c>
      <c r="G26" s="3272" t="s">
        <v>434</v>
      </c>
      <c r="H26" s="3273" t="n">
        <v>6.0</v>
      </c>
      <c r="I26" s="3274" t="s">
        <v>434</v>
      </c>
      <c r="J26" s="3275" t="s">
        <v>891</v>
      </c>
      <c r="K26" s="3276" t="s">
        <v>433</v>
      </c>
      <c r="L26" s="3277" t="s">
        <v>433</v>
      </c>
      <c r="M26" s="3278" t="s">
        <v>433</v>
      </c>
      <c r="N26" s="3279" t="s">
        <v>433</v>
      </c>
      <c r="O26" s="3280" t="s">
        <v>433</v>
      </c>
      <c r="P26" s="3281" t="s">
        <v>433</v>
      </c>
    </row>
    <row r="27">
      <c r="A27" s="3282" t="s">
        <v>898</v>
      </c>
      <c r="B27" s="3283" t="s">
        <v>621</v>
      </c>
      <c r="C27" s="3284" t="s">
        <v>879</v>
      </c>
      <c r="D27" s="3285" t="s">
        <v>435</v>
      </c>
      <c r="E27" s="3286" t="s">
        <v>829</v>
      </c>
      <c r="F27" s="3287" t="n">
        <v>107.4</v>
      </c>
      <c r="G27" s="3288" t="s">
        <v>434</v>
      </c>
      <c r="H27" s="3289" t="n">
        <v>107.4</v>
      </c>
      <c r="I27" s="3290" t="s">
        <v>434</v>
      </c>
      <c r="J27" s="3291" t="s">
        <v>891</v>
      </c>
      <c r="K27" s="3292" t="s">
        <v>433</v>
      </c>
      <c r="L27" s="3293" t="s">
        <v>433</v>
      </c>
      <c r="M27" s="3294" t="s">
        <v>433</v>
      </c>
      <c r="N27" s="3295" t="s">
        <v>433</v>
      </c>
      <c r="O27" s="3296" t="s">
        <v>833</v>
      </c>
      <c r="P27" s="3297" t="s">
        <v>433</v>
      </c>
    </row>
    <row r="28">
      <c r="A28" s="3298" t="s">
        <v>898</v>
      </c>
      <c r="B28" s="3299" t="s">
        <v>439</v>
      </c>
      <c r="C28" s="3300" t="s">
        <v>828</v>
      </c>
      <c r="D28" s="3301" t="s">
        <v>435</v>
      </c>
      <c r="E28" s="3302" t="s">
        <v>829</v>
      </c>
      <c r="F28" s="3303" t="n">
        <v>67.4</v>
      </c>
      <c r="G28" s="3304" t="s">
        <v>434</v>
      </c>
      <c r="H28" s="3305" t="n">
        <v>67.4</v>
      </c>
      <c r="I28" s="3306" t="s">
        <v>434</v>
      </c>
      <c r="J28" s="3307" t="s">
        <v>891</v>
      </c>
      <c r="K28" s="3308" t="s">
        <v>433</v>
      </c>
      <c r="L28" s="3309" t="s">
        <v>433</v>
      </c>
      <c r="M28" s="3310" t="s">
        <v>433</v>
      </c>
      <c r="N28" s="3311" t="s">
        <v>433</v>
      </c>
      <c r="O28" s="3312" t="s">
        <v>833</v>
      </c>
      <c r="P28" s="3313" t="s">
        <v>433</v>
      </c>
    </row>
    <row r="29">
      <c r="A29" s="3314" t="s">
        <v>899</v>
      </c>
      <c r="B29" s="3315" t="s">
        <v>470</v>
      </c>
      <c r="C29" s="3316" t="s">
        <v>845</v>
      </c>
      <c r="D29" s="3317" t="s">
        <v>435</v>
      </c>
      <c r="E29" s="3318" t="s">
        <v>829</v>
      </c>
      <c r="F29" s="3319" t="n">
        <v>172.98</v>
      </c>
      <c r="G29" s="3320" t="s">
        <v>434</v>
      </c>
      <c r="H29" s="3321" t="n">
        <v>172.98</v>
      </c>
      <c r="I29" s="3322" t="s">
        <v>434</v>
      </c>
      <c r="J29" s="3323" t="s">
        <v>891</v>
      </c>
      <c r="K29" s="3324" t="s">
        <v>437</v>
      </c>
      <c r="L29" s="3325" t="s">
        <v>433</v>
      </c>
      <c r="M29" s="3326" t="s">
        <v>433</v>
      </c>
      <c r="N29" s="3327" t="s">
        <v>433</v>
      </c>
      <c r="O29" s="3328" t="s">
        <v>833</v>
      </c>
      <c r="P29" s="3329" t="s">
        <v>433</v>
      </c>
    </row>
    <row r="30">
      <c r="A30" s="3330" t="s">
        <v>899</v>
      </c>
      <c r="B30" s="3331" t="s">
        <v>525</v>
      </c>
      <c r="C30" s="3332" t="s">
        <v>841</v>
      </c>
      <c r="D30" s="3333" t="s">
        <v>435</v>
      </c>
      <c r="E30" s="3334" t="s">
        <v>829</v>
      </c>
      <c r="F30" s="3335" t="n">
        <v>52.8</v>
      </c>
      <c r="G30" s="3336" t="s">
        <v>434</v>
      </c>
      <c r="H30" s="3337" t="n">
        <v>52.8</v>
      </c>
      <c r="I30" s="3338" t="s">
        <v>434</v>
      </c>
      <c r="J30" s="3339" t="s">
        <v>891</v>
      </c>
      <c r="K30" s="3340" t="s">
        <v>433</v>
      </c>
      <c r="L30" s="3341" t="s">
        <v>433</v>
      </c>
      <c r="M30" s="3342" t="s">
        <v>433</v>
      </c>
      <c r="N30" s="3343" t="s">
        <v>433</v>
      </c>
      <c r="O30" s="3344" t="s">
        <v>433</v>
      </c>
      <c r="P30" s="3345" t="s">
        <v>433</v>
      </c>
    </row>
    <row r="31">
      <c r="A31" s="3346" t="s">
        <v>899</v>
      </c>
      <c r="B31" s="3347" t="s">
        <v>627</v>
      </c>
      <c r="C31" s="3348" t="s">
        <v>836</v>
      </c>
      <c r="D31" s="3349" t="s">
        <v>435</v>
      </c>
      <c r="E31" s="3350" t="s">
        <v>829</v>
      </c>
      <c r="F31" s="3351" t="n">
        <v>30.0</v>
      </c>
      <c r="G31" s="3352" t="s">
        <v>434</v>
      </c>
      <c r="H31" s="3353" t="n">
        <v>30.0</v>
      </c>
      <c r="I31" s="3354" t="s">
        <v>434</v>
      </c>
      <c r="J31" s="3355" t="s">
        <v>891</v>
      </c>
      <c r="K31" s="3356" t="s">
        <v>433</v>
      </c>
      <c r="L31" s="3357" t="s">
        <v>433</v>
      </c>
      <c r="M31" s="3358" t="s">
        <v>433</v>
      </c>
      <c r="N31" s="3359" t="s">
        <v>433</v>
      </c>
      <c r="O31" s="3360" t="s">
        <v>833</v>
      </c>
      <c r="P31" s="3361" t="s">
        <v>433</v>
      </c>
    </row>
    <row r="32">
      <c r="A32" s="3362" t="s">
        <v>899</v>
      </c>
      <c r="B32" s="3363" t="s">
        <v>723</v>
      </c>
      <c r="C32" s="3364" t="s">
        <v>868</v>
      </c>
      <c r="D32" s="3365" t="s">
        <v>435</v>
      </c>
      <c r="E32" s="3366" t="s">
        <v>829</v>
      </c>
      <c r="F32" s="3367" t="n">
        <v>3.0</v>
      </c>
      <c r="G32" s="3368" t="s">
        <v>434</v>
      </c>
      <c r="H32" s="3369" t="n">
        <v>3.0</v>
      </c>
      <c r="I32" s="3370" t="s">
        <v>434</v>
      </c>
      <c r="J32" s="3371" t="s">
        <v>891</v>
      </c>
      <c r="K32" s="3372" t="s">
        <v>433</v>
      </c>
      <c r="L32" s="3373" t="s">
        <v>433</v>
      </c>
      <c r="M32" s="3374" t="s">
        <v>433</v>
      </c>
      <c r="N32" s="3375" t="s">
        <v>433</v>
      </c>
      <c r="O32" s="3376" t="s">
        <v>433</v>
      </c>
      <c r="P32" s="3377" t="s">
        <v>433</v>
      </c>
    </row>
    <row r="33">
      <c r="A33" s="3378" t="s">
        <v>899</v>
      </c>
      <c r="B33" s="3379" t="s">
        <v>471</v>
      </c>
      <c r="C33" s="3380" t="s">
        <v>838</v>
      </c>
      <c r="D33" s="3381" t="s">
        <v>435</v>
      </c>
      <c r="E33" s="3382" t="s">
        <v>829</v>
      </c>
      <c r="F33" s="3383" t="n">
        <v>20.25</v>
      </c>
      <c r="G33" s="3384" t="s">
        <v>434</v>
      </c>
      <c r="H33" s="3385" t="n">
        <v>20.25</v>
      </c>
      <c r="I33" s="3386" t="s">
        <v>434</v>
      </c>
      <c r="J33" s="3387" t="s">
        <v>891</v>
      </c>
      <c r="K33" s="3388" t="s">
        <v>433</v>
      </c>
      <c r="L33" s="3389" t="s">
        <v>433</v>
      </c>
      <c r="M33" s="3390" t="s">
        <v>433</v>
      </c>
      <c r="N33" s="3391" t="s">
        <v>433</v>
      </c>
      <c r="O33" s="3392" t="s">
        <v>433</v>
      </c>
      <c r="P33" s="3393" t="s">
        <v>433</v>
      </c>
    </row>
    <row r="34">
      <c r="A34" s="3394" t="s">
        <v>899</v>
      </c>
      <c r="B34" s="3395" t="s">
        <v>518</v>
      </c>
      <c r="C34" s="3396" t="s">
        <v>860</v>
      </c>
      <c r="D34" s="3397" t="s">
        <v>435</v>
      </c>
      <c r="E34" s="3398" t="s">
        <v>829</v>
      </c>
      <c r="F34" s="3399" t="n">
        <v>141.6</v>
      </c>
      <c r="G34" s="3400" t="s">
        <v>434</v>
      </c>
      <c r="H34" s="3401" t="n">
        <v>141.6</v>
      </c>
      <c r="I34" s="3402" t="s">
        <v>434</v>
      </c>
      <c r="J34" s="3403" t="s">
        <v>891</v>
      </c>
      <c r="K34" s="3404" t="s">
        <v>724</v>
      </c>
      <c r="L34" s="3405" t="s">
        <v>433</v>
      </c>
      <c r="M34" s="3406" t="s">
        <v>433</v>
      </c>
      <c r="N34" s="3407" t="s">
        <v>433</v>
      </c>
      <c r="O34" s="3408" t="s">
        <v>833</v>
      </c>
      <c r="P34" s="3409" t="s">
        <v>433</v>
      </c>
    </row>
    <row r="35">
      <c r="A35" s="3410" t="s">
        <v>899</v>
      </c>
      <c r="B35" s="3411" t="s">
        <v>439</v>
      </c>
      <c r="C35" s="3412" t="s">
        <v>828</v>
      </c>
      <c r="D35" s="3413" t="s">
        <v>435</v>
      </c>
      <c r="E35" s="3414" t="s">
        <v>829</v>
      </c>
      <c r="F35" s="3415" t="n">
        <v>96.9</v>
      </c>
      <c r="G35" s="3416" t="s">
        <v>434</v>
      </c>
      <c r="H35" s="3417" t="n">
        <v>96.9</v>
      </c>
      <c r="I35" s="3418" t="s">
        <v>434</v>
      </c>
      <c r="J35" s="3419" t="s">
        <v>891</v>
      </c>
      <c r="K35" s="3420" t="s">
        <v>433</v>
      </c>
      <c r="L35" s="3421" t="s">
        <v>433</v>
      </c>
      <c r="M35" s="3422" t="s">
        <v>433</v>
      </c>
      <c r="N35" s="3423" t="s">
        <v>433</v>
      </c>
      <c r="O35" s="3424" t="s">
        <v>833</v>
      </c>
      <c r="P35" s="3425" t="s">
        <v>433</v>
      </c>
    </row>
    <row r="36">
      <c r="A36" s="3426" t="s">
        <v>899</v>
      </c>
      <c r="B36" s="3427" t="s">
        <v>439</v>
      </c>
      <c r="C36" s="3428" t="s">
        <v>828</v>
      </c>
      <c r="D36" s="3429" t="s">
        <v>435</v>
      </c>
      <c r="E36" s="3430" t="s">
        <v>829</v>
      </c>
      <c r="F36" s="3431" t="n">
        <v>22.45</v>
      </c>
      <c r="G36" s="3432" t="s">
        <v>434</v>
      </c>
      <c r="H36" s="3433" t="n">
        <v>22.45</v>
      </c>
      <c r="I36" s="3434" t="s">
        <v>434</v>
      </c>
      <c r="J36" s="3435" t="s">
        <v>891</v>
      </c>
      <c r="K36" s="3436" t="s">
        <v>433</v>
      </c>
      <c r="L36" s="3437" t="s">
        <v>433</v>
      </c>
      <c r="M36" s="3438" t="s">
        <v>433</v>
      </c>
      <c r="N36" s="3439" t="s">
        <v>433</v>
      </c>
      <c r="O36" s="3440" t="s">
        <v>833</v>
      </c>
      <c r="P36" s="3441" t="s">
        <v>433</v>
      </c>
    </row>
    <row r="37">
      <c r="A37" s="3442" t="s">
        <v>899</v>
      </c>
      <c r="B37" s="3443" t="s">
        <v>440</v>
      </c>
      <c r="C37" s="3444" t="s">
        <v>836</v>
      </c>
      <c r="D37" s="3445" t="s">
        <v>435</v>
      </c>
      <c r="E37" s="3446" t="s">
        <v>829</v>
      </c>
      <c r="F37" s="3447" t="n">
        <v>37.5</v>
      </c>
      <c r="G37" s="3448" t="s">
        <v>434</v>
      </c>
      <c r="H37" s="3449" t="n">
        <v>37.5</v>
      </c>
      <c r="I37" s="3450" t="s">
        <v>434</v>
      </c>
      <c r="J37" s="3451" t="s">
        <v>891</v>
      </c>
      <c r="K37" s="3452" t="s">
        <v>433</v>
      </c>
      <c r="L37" s="3453" t="s">
        <v>433</v>
      </c>
      <c r="M37" s="3454" t="s">
        <v>433</v>
      </c>
      <c r="N37" s="3455" t="s">
        <v>433</v>
      </c>
      <c r="O37" s="3456" t="s">
        <v>833</v>
      </c>
      <c r="P37" s="3457" t="s">
        <v>433</v>
      </c>
    </row>
    <row r="38">
      <c r="A38" s="3458" t="s">
        <v>899</v>
      </c>
      <c r="B38" s="3459" t="s">
        <v>442</v>
      </c>
      <c r="C38" s="3460" t="s">
        <v>836</v>
      </c>
      <c r="D38" s="3461" t="s">
        <v>435</v>
      </c>
      <c r="E38" s="3462" t="s">
        <v>829</v>
      </c>
      <c r="F38" s="3463" t="n">
        <v>190.0</v>
      </c>
      <c r="G38" s="3464" t="s">
        <v>434</v>
      </c>
      <c r="H38" s="3465" t="n">
        <v>190.0</v>
      </c>
      <c r="I38" s="3466" t="s">
        <v>434</v>
      </c>
      <c r="J38" s="3467" t="s">
        <v>891</v>
      </c>
      <c r="K38" s="3468" t="s">
        <v>433</v>
      </c>
      <c r="L38" s="3469" t="s">
        <v>433</v>
      </c>
      <c r="M38" s="3470" t="s">
        <v>433</v>
      </c>
      <c r="N38" s="3471" t="s">
        <v>433</v>
      </c>
      <c r="O38" s="3472" t="s">
        <v>833</v>
      </c>
      <c r="P38" s="3473" t="s">
        <v>433</v>
      </c>
    </row>
    <row r="39">
      <c r="A39" s="3474" t="s">
        <v>899</v>
      </c>
      <c r="B39" s="3475" t="s">
        <v>438</v>
      </c>
      <c r="C39" s="3476" t="s">
        <v>834</v>
      </c>
      <c r="D39" s="3477" t="s">
        <v>435</v>
      </c>
      <c r="E39" s="3478" t="s">
        <v>829</v>
      </c>
      <c r="F39" s="3479" t="n">
        <v>45.0</v>
      </c>
      <c r="G39" s="3480" t="s">
        <v>434</v>
      </c>
      <c r="H39" s="3481" t="n">
        <v>45.0</v>
      </c>
      <c r="I39" s="3482" t="s">
        <v>434</v>
      </c>
      <c r="J39" s="3483" t="s">
        <v>891</v>
      </c>
      <c r="K39" s="3484" t="s">
        <v>433</v>
      </c>
      <c r="L39" s="3485" t="s">
        <v>433</v>
      </c>
      <c r="M39" s="3486" t="s">
        <v>433</v>
      </c>
      <c r="N39" s="3487" t="s">
        <v>433</v>
      </c>
      <c r="O39" s="3488" t="s">
        <v>835</v>
      </c>
      <c r="P39" s="3489" t="s">
        <v>433</v>
      </c>
    </row>
    <row r="40">
      <c r="A40" s="3490" t="s">
        <v>900</v>
      </c>
      <c r="B40" s="3491" t="s">
        <v>439</v>
      </c>
      <c r="C40" s="3492" t="s">
        <v>828</v>
      </c>
      <c r="D40" s="3493" t="s">
        <v>435</v>
      </c>
      <c r="E40" s="3494" t="s">
        <v>829</v>
      </c>
      <c r="F40" s="3495" t="n">
        <v>97.65</v>
      </c>
      <c r="G40" s="3496" t="s">
        <v>434</v>
      </c>
      <c r="H40" s="3497" t="n">
        <v>97.65</v>
      </c>
      <c r="I40" s="3498" t="s">
        <v>434</v>
      </c>
      <c r="J40" s="3499" t="s">
        <v>891</v>
      </c>
      <c r="K40" s="3500" t="s">
        <v>433</v>
      </c>
      <c r="L40" s="3501" t="s">
        <v>433</v>
      </c>
      <c r="M40" s="3502" t="s">
        <v>433</v>
      </c>
      <c r="N40" s="3503" t="s">
        <v>433</v>
      </c>
      <c r="O40" s="3504" t="s">
        <v>833</v>
      </c>
      <c r="P40" s="3505" t="s">
        <v>433</v>
      </c>
    </row>
    <row r="41">
      <c r="A41" s="3506" t="s">
        <v>901</v>
      </c>
      <c r="B41" s="3507" t="s">
        <v>439</v>
      </c>
      <c r="C41" s="3508" t="s">
        <v>828</v>
      </c>
      <c r="D41" s="3509" t="s">
        <v>435</v>
      </c>
      <c r="E41" s="3510" t="s">
        <v>829</v>
      </c>
      <c r="F41" s="3511" t="n">
        <v>128.36</v>
      </c>
      <c r="G41" s="3512" t="s">
        <v>434</v>
      </c>
      <c r="H41" s="3513" t="n">
        <v>128.36</v>
      </c>
      <c r="I41" s="3514" t="s">
        <v>434</v>
      </c>
      <c r="J41" s="3515" t="s">
        <v>891</v>
      </c>
      <c r="K41" s="3516" t="s">
        <v>433</v>
      </c>
      <c r="L41" s="3517" t="s">
        <v>433</v>
      </c>
      <c r="M41" s="3518" t="s">
        <v>433</v>
      </c>
      <c r="N41" s="3519" t="s">
        <v>433</v>
      </c>
      <c r="O41" s="3520" t="s">
        <v>833</v>
      </c>
      <c r="P41" s="3521" t="s">
        <v>433</v>
      </c>
    </row>
    <row r="42">
      <c r="A42" s="3522" t="s">
        <v>902</v>
      </c>
      <c r="B42" s="3523" t="s">
        <v>605</v>
      </c>
      <c r="C42" s="3524" t="s">
        <v>828</v>
      </c>
      <c r="D42" s="3525" t="s">
        <v>435</v>
      </c>
      <c r="E42" s="3526" t="s">
        <v>829</v>
      </c>
      <c r="F42" s="3527" t="n">
        <v>132.0</v>
      </c>
      <c r="G42" s="3528" t="s">
        <v>434</v>
      </c>
      <c r="H42" s="3529" t="n">
        <v>132.0</v>
      </c>
      <c r="I42" s="3530" t="s">
        <v>434</v>
      </c>
      <c r="J42" s="3531" t="s">
        <v>891</v>
      </c>
      <c r="K42" s="3532" t="s">
        <v>433</v>
      </c>
      <c r="L42" s="3533" t="s">
        <v>433</v>
      </c>
      <c r="M42" s="3534" t="s">
        <v>433</v>
      </c>
      <c r="N42" s="3535" t="s">
        <v>433</v>
      </c>
      <c r="O42" s="3536" t="s">
        <v>433</v>
      </c>
      <c r="P42" s="3537" t="s">
        <v>433</v>
      </c>
    </row>
    <row r="43">
      <c r="A43" s="3538" t="s">
        <v>903</v>
      </c>
      <c r="B43" s="3539" t="s">
        <v>731</v>
      </c>
      <c r="C43" s="3540" t="s">
        <v>836</v>
      </c>
      <c r="D43" s="3541" t="s">
        <v>435</v>
      </c>
      <c r="E43" s="3542" t="s">
        <v>829</v>
      </c>
      <c r="F43" s="3543" t="n">
        <v>20.0</v>
      </c>
      <c r="G43" s="3544" t="s">
        <v>434</v>
      </c>
      <c r="H43" s="3545" t="n">
        <v>20.0</v>
      </c>
      <c r="I43" s="3546" t="s">
        <v>434</v>
      </c>
      <c r="J43" s="3547" t="s">
        <v>891</v>
      </c>
      <c r="K43" s="3548" t="s">
        <v>433</v>
      </c>
      <c r="L43" s="3549" t="s">
        <v>433</v>
      </c>
      <c r="M43" s="3550" t="s">
        <v>433</v>
      </c>
      <c r="N43" s="3551" t="s">
        <v>433</v>
      </c>
      <c r="O43" s="3552" t="s">
        <v>433</v>
      </c>
      <c r="P43" s="3553" t="s">
        <v>433</v>
      </c>
    </row>
    <row r="44">
      <c r="A44" s="3554" t="s">
        <v>903</v>
      </c>
      <c r="B44" s="3555" t="s">
        <v>471</v>
      </c>
      <c r="C44" s="3556" t="s">
        <v>838</v>
      </c>
      <c r="D44" s="3557" t="s">
        <v>435</v>
      </c>
      <c r="E44" s="3558" t="s">
        <v>829</v>
      </c>
      <c r="F44" s="3559" t="n">
        <v>33.8</v>
      </c>
      <c r="G44" s="3560" t="s">
        <v>434</v>
      </c>
      <c r="H44" s="3561" t="n">
        <v>33.8</v>
      </c>
      <c r="I44" s="3562" t="s">
        <v>434</v>
      </c>
      <c r="J44" s="3563" t="s">
        <v>891</v>
      </c>
      <c r="K44" s="3564" t="s">
        <v>433</v>
      </c>
      <c r="L44" s="3565" t="s">
        <v>433</v>
      </c>
      <c r="M44" s="3566" t="s">
        <v>433</v>
      </c>
      <c r="N44" s="3567" t="s">
        <v>433</v>
      </c>
      <c r="O44" s="3568" t="s">
        <v>433</v>
      </c>
      <c r="P44" s="3569" t="s">
        <v>433</v>
      </c>
    </row>
    <row r="45">
      <c r="A45" s="3570" t="s">
        <v>903</v>
      </c>
      <c r="B45" s="3571" t="s">
        <v>432</v>
      </c>
      <c r="C45" s="3572" t="s">
        <v>828</v>
      </c>
      <c r="D45" s="3573" t="s">
        <v>435</v>
      </c>
      <c r="E45" s="3574" t="s">
        <v>829</v>
      </c>
      <c r="F45" s="3575" t="n">
        <v>22.0</v>
      </c>
      <c r="G45" s="3576" t="s">
        <v>434</v>
      </c>
      <c r="H45" s="3577" t="n">
        <v>22.0</v>
      </c>
      <c r="I45" s="3578" t="s">
        <v>434</v>
      </c>
      <c r="J45" s="3579" t="s">
        <v>891</v>
      </c>
      <c r="K45" s="3580" t="s">
        <v>433</v>
      </c>
      <c r="L45" s="3581" t="s">
        <v>433</v>
      </c>
      <c r="M45" s="3582" t="s">
        <v>433</v>
      </c>
      <c r="N45" s="3583" t="s">
        <v>433</v>
      </c>
      <c r="O45" s="3584" t="s">
        <v>831</v>
      </c>
      <c r="P45" s="3585" t="s">
        <v>433</v>
      </c>
    </row>
    <row r="46">
      <c r="A46" s="3586" t="s">
        <v>903</v>
      </c>
      <c r="B46" s="3587" t="s">
        <v>439</v>
      </c>
      <c r="C46" s="3588" t="s">
        <v>828</v>
      </c>
      <c r="D46" s="3589" t="s">
        <v>435</v>
      </c>
      <c r="E46" s="3590" t="s">
        <v>829</v>
      </c>
      <c r="F46" s="3591" t="n">
        <v>103.8</v>
      </c>
      <c r="G46" s="3592" t="s">
        <v>434</v>
      </c>
      <c r="H46" s="3593" t="n">
        <v>103.8</v>
      </c>
      <c r="I46" s="3594" t="s">
        <v>434</v>
      </c>
      <c r="J46" s="3595" t="s">
        <v>891</v>
      </c>
      <c r="K46" s="3596" t="s">
        <v>433</v>
      </c>
      <c r="L46" s="3597" t="s">
        <v>433</v>
      </c>
      <c r="M46" s="3598" t="s">
        <v>433</v>
      </c>
      <c r="N46" s="3599" t="s">
        <v>433</v>
      </c>
      <c r="O46" s="3600" t="s">
        <v>833</v>
      </c>
      <c r="P46" s="3601" t="s">
        <v>433</v>
      </c>
    </row>
    <row r="47">
      <c r="A47" s="3602" t="s">
        <v>903</v>
      </c>
      <c r="B47" s="3603" t="s">
        <v>441</v>
      </c>
      <c r="C47" s="3604" t="s">
        <v>836</v>
      </c>
      <c r="D47" s="3605" t="s">
        <v>435</v>
      </c>
      <c r="E47" s="3606" t="s">
        <v>829</v>
      </c>
      <c r="F47" s="3607" t="n">
        <v>15.0</v>
      </c>
      <c r="G47" s="3608" t="s">
        <v>434</v>
      </c>
      <c r="H47" s="3609" t="n">
        <v>15.0</v>
      </c>
      <c r="I47" s="3610" t="s">
        <v>434</v>
      </c>
      <c r="J47" s="3611" t="s">
        <v>891</v>
      </c>
      <c r="K47" s="3612" t="s">
        <v>433</v>
      </c>
      <c r="L47" s="3613" t="s">
        <v>433</v>
      </c>
      <c r="M47" s="3614" t="s">
        <v>433</v>
      </c>
      <c r="N47" s="3615" t="s">
        <v>433</v>
      </c>
      <c r="O47" s="3616" t="s">
        <v>835</v>
      </c>
      <c r="P47" s="3617" t="s">
        <v>433</v>
      </c>
    </row>
    <row r="48">
      <c r="A48" s="3618" t="s">
        <v>903</v>
      </c>
      <c r="B48" s="3619" t="s">
        <v>441</v>
      </c>
      <c r="C48" s="3620" t="s">
        <v>836</v>
      </c>
      <c r="D48" s="3621" t="s">
        <v>435</v>
      </c>
      <c r="E48" s="3622" t="s">
        <v>829</v>
      </c>
      <c r="F48" s="3623" t="n">
        <v>18.0</v>
      </c>
      <c r="G48" s="3624" t="s">
        <v>434</v>
      </c>
      <c r="H48" s="3625" t="n">
        <v>18.0</v>
      </c>
      <c r="I48" s="3626" t="s">
        <v>434</v>
      </c>
      <c r="J48" s="3627" t="s">
        <v>891</v>
      </c>
      <c r="K48" s="3628" t="s">
        <v>433</v>
      </c>
      <c r="L48" s="3629" t="s">
        <v>433</v>
      </c>
      <c r="M48" s="3630" t="s">
        <v>433</v>
      </c>
      <c r="N48" s="3631" t="s">
        <v>433</v>
      </c>
      <c r="O48" s="3632" t="s">
        <v>835</v>
      </c>
      <c r="P48" s="3633" t="s">
        <v>433</v>
      </c>
    </row>
    <row r="49">
      <c r="A49" s="3634" t="s">
        <v>903</v>
      </c>
      <c r="B49" s="3635" t="s">
        <v>513</v>
      </c>
      <c r="C49" s="3636" t="s">
        <v>860</v>
      </c>
      <c r="D49" s="3637" t="s">
        <v>435</v>
      </c>
      <c r="E49" s="3638" t="s">
        <v>829</v>
      </c>
      <c r="F49" s="3639" t="n">
        <v>100.0</v>
      </c>
      <c r="G49" s="3640" t="s">
        <v>434</v>
      </c>
      <c r="H49" s="3641" t="n">
        <v>100.0</v>
      </c>
      <c r="I49" s="3642" t="s">
        <v>434</v>
      </c>
      <c r="J49" s="3643" t="s">
        <v>891</v>
      </c>
      <c r="K49" s="3644" t="s">
        <v>732</v>
      </c>
      <c r="L49" s="3645" t="s">
        <v>433</v>
      </c>
      <c r="M49" s="3646" t="s">
        <v>433</v>
      </c>
      <c r="N49" s="3647" t="s">
        <v>433</v>
      </c>
      <c r="O49" s="3648" t="s">
        <v>835</v>
      </c>
      <c r="P49" s="3649" t="s">
        <v>433</v>
      </c>
    </row>
    <row r="50">
      <c r="A50" s="3650" t="s">
        <v>904</v>
      </c>
      <c r="B50" s="3651" t="s">
        <v>589</v>
      </c>
      <c r="C50" s="3652" t="s">
        <v>828</v>
      </c>
      <c r="D50" s="3653" t="s">
        <v>435</v>
      </c>
      <c r="E50" s="3654" t="s">
        <v>829</v>
      </c>
      <c r="F50" s="3655" t="n">
        <v>23.3</v>
      </c>
      <c r="G50" s="3656" t="s">
        <v>434</v>
      </c>
      <c r="H50" s="3657" t="n">
        <v>23.3</v>
      </c>
      <c r="I50" s="3658" t="s">
        <v>434</v>
      </c>
      <c r="J50" s="3659" t="s">
        <v>891</v>
      </c>
      <c r="K50" s="3660" t="s">
        <v>433</v>
      </c>
      <c r="L50" s="3661" t="s">
        <v>433</v>
      </c>
      <c r="M50" s="3662" t="s">
        <v>433</v>
      </c>
      <c r="N50" s="3663" t="s">
        <v>433</v>
      </c>
      <c r="O50" s="3664" t="s">
        <v>833</v>
      </c>
      <c r="P50" s="3665" t="s">
        <v>433</v>
      </c>
    </row>
    <row r="51">
      <c r="A51" s="3666" t="s">
        <v>904</v>
      </c>
      <c r="B51" s="3667" t="s">
        <v>494</v>
      </c>
      <c r="C51" s="3668" t="s">
        <v>828</v>
      </c>
      <c r="D51" s="3669" t="s">
        <v>435</v>
      </c>
      <c r="E51" s="3670" t="s">
        <v>829</v>
      </c>
      <c r="F51" s="3671" t="n">
        <v>26.0</v>
      </c>
      <c r="G51" s="3672" t="s">
        <v>434</v>
      </c>
      <c r="H51" s="3673" t="n">
        <v>26.0</v>
      </c>
      <c r="I51" s="3674" t="s">
        <v>434</v>
      </c>
      <c r="J51" s="3675" t="s">
        <v>891</v>
      </c>
      <c r="K51" s="3676" t="s">
        <v>433</v>
      </c>
      <c r="L51" s="3677" t="s">
        <v>433</v>
      </c>
      <c r="M51" s="3678" t="s">
        <v>433</v>
      </c>
      <c r="N51" s="3679" t="s">
        <v>433</v>
      </c>
      <c r="O51" s="3680" t="s">
        <v>831</v>
      </c>
      <c r="P51" s="3681" t="s">
        <v>433</v>
      </c>
    </row>
    <row r="52">
      <c r="A52" s="3682" t="s">
        <v>904</v>
      </c>
      <c r="B52" s="3683" t="s">
        <v>439</v>
      </c>
      <c r="C52" s="3684" t="s">
        <v>828</v>
      </c>
      <c r="D52" s="3685" t="s">
        <v>435</v>
      </c>
      <c r="E52" s="3686" t="s">
        <v>829</v>
      </c>
      <c r="F52" s="3687" t="n">
        <v>71.8</v>
      </c>
      <c r="G52" s="3688" t="s">
        <v>434</v>
      </c>
      <c r="H52" s="3689" t="n">
        <v>71.8</v>
      </c>
      <c r="I52" s="3690" t="s">
        <v>434</v>
      </c>
      <c r="J52" s="3691" t="s">
        <v>891</v>
      </c>
      <c r="K52" s="3692" t="s">
        <v>433</v>
      </c>
      <c r="L52" s="3693" t="s">
        <v>433</v>
      </c>
      <c r="M52" s="3694" t="s">
        <v>433</v>
      </c>
      <c r="N52" s="3695" t="s">
        <v>433</v>
      </c>
      <c r="O52" s="3696" t="s">
        <v>833</v>
      </c>
      <c r="P52" s="3697" t="s">
        <v>433</v>
      </c>
    </row>
    <row r="53">
      <c r="A53" s="3698" t="s">
        <v>904</v>
      </c>
      <c r="B53" s="3699" t="s">
        <v>439</v>
      </c>
      <c r="C53" s="3700" t="s">
        <v>828</v>
      </c>
      <c r="D53" s="3701" t="s">
        <v>435</v>
      </c>
      <c r="E53" s="3702" t="s">
        <v>829</v>
      </c>
      <c r="F53" s="3703" t="n">
        <v>149.7</v>
      </c>
      <c r="G53" s="3704" t="s">
        <v>434</v>
      </c>
      <c r="H53" s="3705" t="n">
        <v>149.7</v>
      </c>
      <c r="I53" s="3706" t="s">
        <v>434</v>
      </c>
      <c r="J53" s="3707" t="s">
        <v>891</v>
      </c>
      <c r="K53" s="3708" t="s">
        <v>433</v>
      </c>
      <c r="L53" s="3709" t="s">
        <v>433</v>
      </c>
      <c r="M53" s="3710" t="s">
        <v>433</v>
      </c>
      <c r="N53" s="3711" t="s">
        <v>433</v>
      </c>
      <c r="O53" s="3712" t="s">
        <v>833</v>
      </c>
      <c r="P53" s="3713" t="s">
        <v>433</v>
      </c>
    </row>
    <row r="54">
      <c r="A54" s="3714" t="s">
        <v>905</v>
      </c>
      <c r="B54" s="3715" t="s">
        <v>525</v>
      </c>
      <c r="C54" s="3716" t="s">
        <v>841</v>
      </c>
      <c r="D54" s="3717" t="s">
        <v>435</v>
      </c>
      <c r="E54" s="3718" t="s">
        <v>829</v>
      </c>
      <c r="F54" s="3719" t="n">
        <v>54.7</v>
      </c>
      <c r="G54" s="3720" t="s">
        <v>434</v>
      </c>
      <c r="H54" s="3721" t="n">
        <v>54.7</v>
      </c>
      <c r="I54" s="3722" t="s">
        <v>434</v>
      </c>
      <c r="J54" s="3723" t="s">
        <v>891</v>
      </c>
      <c r="K54" s="3724" t="s">
        <v>433</v>
      </c>
      <c r="L54" s="3725" t="s">
        <v>433</v>
      </c>
      <c r="M54" s="3726" t="s">
        <v>433</v>
      </c>
      <c r="N54" s="3727" t="s">
        <v>433</v>
      </c>
      <c r="O54" s="3728" t="s">
        <v>433</v>
      </c>
      <c r="P54" s="3729" t="s">
        <v>433</v>
      </c>
    </row>
    <row r="55">
      <c r="A55" s="3730" t="s">
        <v>905</v>
      </c>
      <c r="B55" s="3731" t="s">
        <v>735</v>
      </c>
      <c r="C55" s="3732" t="s">
        <v>884</v>
      </c>
      <c r="D55" s="3733" t="s">
        <v>435</v>
      </c>
      <c r="E55" s="3734" t="s">
        <v>829</v>
      </c>
      <c r="F55" s="3735" t="n">
        <v>67.0</v>
      </c>
      <c r="G55" s="3736" t="s">
        <v>434</v>
      </c>
      <c r="H55" s="3737" t="n">
        <v>67.0</v>
      </c>
      <c r="I55" s="3738" t="s">
        <v>434</v>
      </c>
      <c r="J55" s="3739" t="s">
        <v>891</v>
      </c>
      <c r="K55" s="3740" t="s">
        <v>433</v>
      </c>
      <c r="L55" s="3741" t="s">
        <v>433</v>
      </c>
      <c r="M55" s="3742" t="s">
        <v>433</v>
      </c>
      <c r="N55" s="3743" t="s">
        <v>433</v>
      </c>
      <c r="O55" s="3744" t="s">
        <v>835</v>
      </c>
      <c r="P55" s="3745" t="s">
        <v>433</v>
      </c>
    </row>
    <row r="56">
      <c r="A56" s="3746" t="s">
        <v>905</v>
      </c>
      <c r="B56" s="3747" t="s">
        <v>441</v>
      </c>
      <c r="C56" s="3748" t="s">
        <v>836</v>
      </c>
      <c r="D56" s="3749" t="s">
        <v>435</v>
      </c>
      <c r="E56" s="3750" t="s">
        <v>829</v>
      </c>
      <c r="F56" s="3751" t="n">
        <v>48.0</v>
      </c>
      <c r="G56" s="3752" t="s">
        <v>434</v>
      </c>
      <c r="H56" s="3753" t="n">
        <v>48.0</v>
      </c>
      <c r="I56" s="3754" t="s">
        <v>434</v>
      </c>
      <c r="J56" s="3755" t="s">
        <v>891</v>
      </c>
      <c r="K56" s="3756" t="s">
        <v>433</v>
      </c>
      <c r="L56" s="3757" t="s">
        <v>433</v>
      </c>
      <c r="M56" s="3758" t="s">
        <v>433</v>
      </c>
      <c r="N56" s="3759" t="s">
        <v>433</v>
      </c>
      <c r="O56" s="3760" t="s">
        <v>835</v>
      </c>
      <c r="P56" s="3761" t="s">
        <v>433</v>
      </c>
    </row>
    <row r="57">
      <c r="A57" s="3762" t="s">
        <v>905</v>
      </c>
      <c r="B57" s="3763" t="s">
        <v>441</v>
      </c>
      <c r="C57" s="3764" t="s">
        <v>836</v>
      </c>
      <c r="D57" s="3765" t="s">
        <v>435</v>
      </c>
      <c r="E57" s="3766" t="s">
        <v>829</v>
      </c>
      <c r="F57" s="3767" t="n">
        <v>15.0</v>
      </c>
      <c r="G57" s="3768" t="s">
        <v>434</v>
      </c>
      <c r="H57" s="3769" t="n">
        <v>15.0</v>
      </c>
      <c r="I57" s="3770" t="s">
        <v>434</v>
      </c>
      <c r="J57" s="3771" t="s">
        <v>891</v>
      </c>
      <c r="K57" s="3772" t="s">
        <v>433</v>
      </c>
      <c r="L57" s="3773" t="s">
        <v>433</v>
      </c>
      <c r="M57" s="3774" t="s">
        <v>433</v>
      </c>
      <c r="N57" s="3775" t="s">
        <v>433</v>
      </c>
      <c r="O57" s="3776" t="s">
        <v>835</v>
      </c>
      <c r="P57" s="3777" t="s">
        <v>433</v>
      </c>
    </row>
    <row r="58">
      <c r="A58" s="3778" t="s">
        <v>905</v>
      </c>
      <c r="B58" s="3779" t="s">
        <v>441</v>
      </c>
      <c r="C58" s="3780" t="s">
        <v>836</v>
      </c>
      <c r="D58" s="3781" t="s">
        <v>435</v>
      </c>
      <c r="E58" s="3782" t="s">
        <v>829</v>
      </c>
      <c r="F58" s="3783" t="n">
        <v>18.0</v>
      </c>
      <c r="G58" s="3784" t="s">
        <v>434</v>
      </c>
      <c r="H58" s="3785" t="n">
        <v>18.0</v>
      </c>
      <c r="I58" s="3786" t="s">
        <v>434</v>
      </c>
      <c r="J58" s="3787" t="s">
        <v>891</v>
      </c>
      <c r="K58" s="3788" t="s">
        <v>433</v>
      </c>
      <c r="L58" s="3789" t="s">
        <v>433</v>
      </c>
      <c r="M58" s="3790" t="s">
        <v>433</v>
      </c>
      <c r="N58" s="3791" t="s">
        <v>433</v>
      </c>
      <c r="O58" s="3792" t="s">
        <v>835</v>
      </c>
      <c r="P58" s="3793" t="s">
        <v>433</v>
      </c>
    </row>
    <row r="59">
      <c r="A59" s="3794" t="s">
        <v>905</v>
      </c>
      <c r="B59" s="3795" t="s">
        <v>440</v>
      </c>
      <c r="C59" s="3796" t="s">
        <v>836</v>
      </c>
      <c r="D59" s="3797" t="s">
        <v>435</v>
      </c>
      <c r="E59" s="3798" t="s">
        <v>829</v>
      </c>
      <c r="F59" s="3799" t="n">
        <v>37.5</v>
      </c>
      <c r="G59" s="3800" t="s">
        <v>434</v>
      </c>
      <c r="H59" s="3801" t="n">
        <v>37.5</v>
      </c>
      <c r="I59" s="3802" t="s">
        <v>434</v>
      </c>
      <c r="J59" s="3803" t="s">
        <v>891</v>
      </c>
      <c r="K59" s="3804" t="s">
        <v>433</v>
      </c>
      <c r="L59" s="3805" t="s">
        <v>433</v>
      </c>
      <c r="M59" s="3806" t="s">
        <v>433</v>
      </c>
      <c r="N59" s="3807" t="s">
        <v>433</v>
      </c>
      <c r="O59" s="3808" t="s">
        <v>833</v>
      </c>
      <c r="P59" s="3809" t="s">
        <v>433</v>
      </c>
    </row>
    <row r="60">
      <c r="A60" s="3810" t="s">
        <v>905</v>
      </c>
      <c r="B60" s="3811" t="s">
        <v>439</v>
      </c>
      <c r="C60" s="3812" t="s">
        <v>828</v>
      </c>
      <c r="D60" s="3813" t="s">
        <v>435</v>
      </c>
      <c r="E60" s="3814" t="s">
        <v>829</v>
      </c>
      <c r="F60" s="3815" t="n">
        <v>110.2</v>
      </c>
      <c r="G60" s="3816" t="s">
        <v>434</v>
      </c>
      <c r="H60" s="3817" t="n">
        <v>110.2</v>
      </c>
      <c r="I60" s="3818" t="s">
        <v>434</v>
      </c>
      <c r="J60" s="3819" t="s">
        <v>891</v>
      </c>
      <c r="K60" s="3820" t="s">
        <v>433</v>
      </c>
      <c r="L60" s="3821" t="s">
        <v>433</v>
      </c>
      <c r="M60" s="3822" t="s">
        <v>433</v>
      </c>
      <c r="N60" s="3823" t="s">
        <v>433</v>
      </c>
      <c r="O60" s="3824" t="s">
        <v>833</v>
      </c>
      <c r="P60" s="3825" t="s">
        <v>433</v>
      </c>
    </row>
    <row r="61">
      <c r="A61" s="3826" t="s">
        <v>905</v>
      </c>
      <c r="B61" s="3827" t="s">
        <v>439</v>
      </c>
      <c r="C61" s="3828" t="s">
        <v>828</v>
      </c>
      <c r="D61" s="3829" t="s">
        <v>435</v>
      </c>
      <c r="E61" s="3830" t="s">
        <v>829</v>
      </c>
      <c r="F61" s="3831" t="n">
        <v>120.02</v>
      </c>
      <c r="G61" s="3832" t="s">
        <v>434</v>
      </c>
      <c r="H61" s="3833" t="n">
        <v>120.02</v>
      </c>
      <c r="I61" s="3834" t="s">
        <v>434</v>
      </c>
      <c r="J61" s="3835" t="s">
        <v>891</v>
      </c>
      <c r="K61" s="3836" t="s">
        <v>433</v>
      </c>
      <c r="L61" s="3837" t="s">
        <v>433</v>
      </c>
      <c r="M61" s="3838" t="s">
        <v>433</v>
      </c>
      <c r="N61" s="3839" t="s">
        <v>433</v>
      </c>
      <c r="O61" s="3840" t="s">
        <v>833</v>
      </c>
      <c r="P61" s="3841" t="s">
        <v>433</v>
      </c>
    </row>
    <row r="62">
      <c r="A62" s="3842" t="s">
        <v>905</v>
      </c>
      <c r="B62" s="3843" t="s">
        <v>458</v>
      </c>
      <c r="C62" s="3844" t="s">
        <v>828</v>
      </c>
      <c r="D62" s="3845" t="s">
        <v>435</v>
      </c>
      <c r="E62" s="3846" t="s">
        <v>829</v>
      </c>
      <c r="F62" s="3847" t="n">
        <v>3.0</v>
      </c>
      <c r="G62" s="3848" t="s">
        <v>434</v>
      </c>
      <c r="H62" s="3849" t="n">
        <v>3.0</v>
      </c>
      <c r="I62" s="3850" t="s">
        <v>434</v>
      </c>
      <c r="J62" s="3851" t="s">
        <v>891</v>
      </c>
      <c r="K62" s="3852" t="s">
        <v>433</v>
      </c>
      <c r="L62" s="3853" t="s">
        <v>433</v>
      </c>
      <c r="M62" s="3854" t="s">
        <v>433</v>
      </c>
      <c r="N62" s="3855" t="s">
        <v>433</v>
      </c>
      <c r="O62" s="3856" t="s">
        <v>835</v>
      </c>
      <c r="P62" s="3857" t="s">
        <v>433</v>
      </c>
    </row>
    <row r="63">
      <c r="A63" s="3858" t="s">
        <v>906</v>
      </c>
      <c r="B63" s="3859" t="s">
        <v>738</v>
      </c>
      <c r="C63" s="3860" t="s">
        <v>828</v>
      </c>
      <c r="D63" s="3861" t="s">
        <v>435</v>
      </c>
      <c r="E63" s="3862" t="s">
        <v>829</v>
      </c>
      <c r="F63" s="3863" t="n">
        <v>22.0</v>
      </c>
      <c r="G63" s="3864" t="s">
        <v>434</v>
      </c>
      <c r="H63" s="3865" t="n">
        <v>22.0</v>
      </c>
      <c r="I63" s="3866" t="s">
        <v>434</v>
      </c>
      <c r="J63" s="3867" t="s">
        <v>891</v>
      </c>
      <c r="K63" s="3868" t="s">
        <v>433</v>
      </c>
      <c r="L63" s="3869" t="s">
        <v>433</v>
      </c>
      <c r="M63" s="3870" t="s">
        <v>433</v>
      </c>
      <c r="N63" s="3871" t="s">
        <v>433</v>
      </c>
      <c r="O63" s="3872" t="s">
        <v>433</v>
      </c>
      <c r="P63" s="3873" t="s">
        <v>433</v>
      </c>
    </row>
    <row r="64">
      <c r="A64" s="3874" t="s">
        <v>907</v>
      </c>
      <c r="B64" s="3875" t="s">
        <v>481</v>
      </c>
      <c r="C64" s="3876" t="s">
        <v>845</v>
      </c>
      <c r="D64" s="3877" t="s">
        <v>435</v>
      </c>
      <c r="E64" s="3878" t="s">
        <v>829</v>
      </c>
      <c r="F64" s="3879" t="n">
        <v>39.9</v>
      </c>
      <c r="G64" s="3880" t="s">
        <v>434</v>
      </c>
      <c r="H64" s="3881" t="n">
        <v>39.9</v>
      </c>
      <c r="I64" s="3882" t="s">
        <v>434</v>
      </c>
      <c r="J64" s="3883" t="s">
        <v>891</v>
      </c>
      <c r="K64" s="3884" t="s">
        <v>437</v>
      </c>
      <c r="L64" s="3885" t="s">
        <v>433</v>
      </c>
      <c r="M64" s="3886" t="s">
        <v>433</v>
      </c>
      <c r="N64" s="3887" t="s">
        <v>433</v>
      </c>
      <c r="O64" s="3888" t="s">
        <v>833</v>
      </c>
      <c r="P64" s="3889" t="s">
        <v>433</v>
      </c>
    </row>
    <row r="65">
      <c r="A65" s="3890" t="s">
        <v>907</v>
      </c>
      <c r="B65" s="3891" t="s">
        <v>589</v>
      </c>
      <c r="C65" s="3892" t="s">
        <v>828</v>
      </c>
      <c r="D65" s="3893" t="s">
        <v>435</v>
      </c>
      <c r="E65" s="3894" t="s">
        <v>829</v>
      </c>
      <c r="F65" s="3895" t="n">
        <v>100.0</v>
      </c>
      <c r="G65" s="3896" t="s">
        <v>434</v>
      </c>
      <c r="H65" s="3897" t="n">
        <v>100.0</v>
      </c>
      <c r="I65" s="3898" t="s">
        <v>434</v>
      </c>
      <c r="J65" s="3899" t="s">
        <v>891</v>
      </c>
      <c r="K65" s="3900" t="s">
        <v>433</v>
      </c>
      <c r="L65" s="3901" t="s">
        <v>433</v>
      </c>
      <c r="M65" s="3902" t="s">
        <v>433</v>
      </c>
      <c r="N65" s="3903" t="s">
        <v>433</v>
      </c>
      <c r="O65" s="3904" t="s">
        <v>835</v>
      </c>
      <c r="P65" s="3905" t="s">
        <v>433</v>
      </c>
    </row>
    <row r="66">
      <c r="A66" s="3906" t="s">
        <v>907</v>
      </c>
      <c r="B66" s="3907" t="s">
        <v>475</v>
      </c>
      <c r="C66" s="3908" t="s">
        <v>838</v>
      </c>
      <c r="D66" s="3909" t="s">
        <v>435</v>
      </c>
      <c r="E66" s="3910" t="s">
        <v>829</v>
      </c>
      <c r="F66" s="3911" t="n">
        <v>14.0</v>
      </c>
      <c r="G66" s="3912" t="s">
        <v>434</v>
      </c>
      <c r="H66" s="3913" t="n">
        <v>14.0</v>
      </c>
      <c r="I66" s="3914" t="s">
        <v>434</v>
      </c>
      <c r="J66" s="3915" t="s">
        <v>891</v>
      </c>
      <c r="K66" s="3916" t="s">
        <v>433</v>
      </c>
      <c r="L66" s="3917" t="s">
        <v>433</v>
      </c>
      <c r="M66" s="3918" t="s">
        <v>433</v>
      </c>
      <c r="N66" s="3919" t="s">
        <v>433</v>
      </c>
      <c r="O66" s="3920" t="s">
        <v>433</v>
      </c>
      <c r="P66" s="3921" t="s">
        <v>433</v>
      </c>
    </row>
    <row r="67">
      <c r="A67" s="3922" t="s">
        <v>907</v>
      </c>
      <c r="B67" s="3923" t="s">
        <v>741</v>
      </c>
      <c r="C67" s="3924" t="s">
        <v>836</v>
      </c>
      <c r="D67" s="3925" t="s">
        <v>435</v>
      </c>
      <c r="E67" s="3926" t="s">
        <v>829</v>
      </c>
      <c r="F67" s="3927" t="n">
        <v>9.8</v>
      </c>
      <c r="G67" s="3928" t="s">
        <v>434</v>
      </c>
      <c r="H67" s="3929" t="n">
        <v>9.8</v>
      </c>
      <c r="I67" s="3930" t="s">
        <v>434</v>
      </c>
      <c r="J67" s="3931" t="s">
        <v>891</v>
      </c>
      <c r="K67" s="3932" t="s">
        <v>433</v>
      </c>
      <c r="L67" s="3933" t="s">
        <v>433</v>
      </c>
      <c r="M67" s="3934" t="s">
        <v>433</v>
      </c>
      <c r="N67" s="3935" t="s">
        <v>433</v>
      </c>
      <c r="O67" s="3936" t="s">
        <v>833</v>
      </c>
      <c r="P67" s="3937" t="s">
        <v>433</v>
      </c>
    </row>
    <row r="68">
      <c r="A68" s="3938" t="s">
        <v>907</v>
      </c>
      <c r="B68" s="3939" t="s">
        <v>531</v>
      </c>
      <c r="C68" s="3940" t="s">
        <v>836</v>
      </c>
      <c r="D68" s="3941" t="s">
        <v>435</v>
      </c>
      <c r="E68" s="3942" t="s">
        <v>829</v>
      </c>
      <c r="F68" s="3943" t="n">
        <v>-29.0</v>
      </c>
      <c r="G68" s="3944" t="s">
        <v>434</v>
      </c>
      <c r="H68" s="3945" t="n">
        <v>29.0</v>
      </c>
      <c r="I68" s="3946" t="s">
        <v>434</v>
      </c>
      <c r="J68" s="3947" t="s">
        <v>891</v>
      </c>
      <c r="K68" s="3948" t="s">
        <v>479</v>
      </c>
      <c r="L68" s="3949" t="s">
        <v>433</v>
      </c>
      <c r="M68" s="3950" t="s">
        <v>433</v>
      </c>
      <c r="N68" s="3951" t="s">
        <v>433</v>
      </c>
      <c r="O68" s="3952" t="s">
        <v>833</v>
      </c>
      <c r="P68" s="3953" t="s">
        <v>433</v>
      </c>
    </row>
    <row r="69">
      <c r="A69" s="3954" t="s">
        <v>907</v>
      </c>
      <c r="B69" s="3955" t="s">
        <v>441</v>
      </c>
      <c r="C69" s="3956" t="s">
        <v>836</v>
      </c>
      <c r="D69" s="3957" t="s">
        <v>435</v>
      </c>
      <c r="E69" s="3958" t="s">
        <v>829</v>
      </c>
      <c r="F69" s="3959" t="n">
        <v>48.0</v>
      </c>
      <c r="G69" s="3960" t="s">
        <v>434</v>
      </c>
      <c r="H69" s="3961" t="n">
        <v>48.0</v>
      </c>
      <c r="I69" s="3962" t="s">
        <v>434</v>
      </c>
      <c r="J69" s="3963" t="s">
        <v>891</v>
      </c>
      <c r="K69" s="3964" t="s">
        <v>433</v>
      </c>
      <c r="L69" s="3965" t="s">
        <v>433</v>
      </c>
      <c r="M69" s="3966" t="s">
        <v>433</v>
      </c>
      <c r="N69" s="3967" t="s">
        <v>433</v>
      </c>
      <c r="O69" s="3968" t="s">
        <v>833</v>
      </c>
      <c r="P69" s="3969" t="s">
        <v>433</v>
      </c>
    </row>
    <row r="70">
      <c r="A70" s="3970" t="s">
        <v>908</v>
      </c>
      <c r="B70" s="3971" t="s">
        <v>440</v>
      </c>
      <c r="C70" s="3972" t="s">
        <v>836</v>
      </c>
      <c r="D70" s="3973" t="s">
        <v>435</v>
      </c>
      <c r="E70" s="3974" t="s">
        <v>829</v>
      </c>
      <c r="F70" s="3975" t="n">
        <v>45.0</v>
      </c>
      <c r="G70" s="3976" t="s">
        <v>434</v>
      </c>
      <c r="H70" s="3977" t="n">
        <v>45.0</v>
      </c>
      <c r="I70" s="3978" t="s">
        <v>434</v>
      </c>
      <c r="J70" s="3979" t="s">
        <v>891</v>
      </c>
      <c r="K70" s="3980" t="s">
        <v>433</v>
      </c>
      <c r="L70" s="3981" t="s">
        <v>433</v>
      </c>
      <c r="M70" s="3982" t="s">
        <v>433</v>
      </c>
      <c r="N70" s="3983" t="s">
        <v>433</v>
      </c>
      <c r="O70" s="3984" t="s">
        <v>833</v>
      </c>
      <c r="P70" s="3985" t="s">
        <v>433</v>
      </c>
    </row>
    <row r="71">
      <c r="A71" s="3986" t="s">
        <v>908</v>
      </c>
      <c r="B71" s="3987" t="s">
        <v>440</v>
      </c>
      <c r="C71" s="3988" t="s">
        <v>836</v>
      </c>
      <c r="D71" s="3989" t="s">
        <v>435</v>
      </c>
      <c r="E71" s="3990" t="s">
        <v>829</v>
      </c>
      <c r="F71" s="3991" t="n">
        <v>45.0</v>
      </c>
      <c r="G71" s="3992" t="s">
        <v>434</v>
      </c>
      <c r="H71" s="3993" t="n">
        <v>45.0</v>
      </c>
      <c r="I71" s="3994" t="s">
        <v>434</v>
      </c>
      <c r="J71" s="3995" t="s">
        <v>891</v>
      </c>
      <c r="K71" s="3996" t="s">
        <v>433</v>
      </c>
      <c r="L71" s="3997" t="s">
        <v>433</v>
      </c>
      <c r="M71" s="3998" t="s">
        <v>433</v>
      </c>
      <c r="N71" s="3999" t="s">
        <v>433</v>
      </c>
      <c r="O71" s="4000" t="s">
        <v>833</v>
      </c>
      <c r="P71" s="4001" t="s">
        <v>433</v>
      </c>
    </row>
    <row r="72">
      <c r="A72" s="4002" t="s">
        <v>908</v>
      </c>
      <c r="B72" s="4003" t="s">
        <v>441</v>
      </c>
      <c r="C72" s="4004" t="s">
        <v>836</v>
      </c>
      <c r="D72" s="4005" t="s">
        <v>435</v>
      </c>
      <c r="E72" s="4006" t="s">
        <v>829</v>
      </c>
      <c r="F72" s="4007" t="n">
        <v>22.0</v>
      </c>
      <c r="G72" s="4008" t="s">
        <v>434</v>
      </c>
      <c r="H72" s="4009" t="n">
        <v>22.0</v>
      </c>
      <c r="I72" s="4010" t="s">
        <v>434</v>
      </c>
      <c r="J72" s="4011" t="s">
        <v>891</v>
      </c>
      <c r="K72" s="4012" t="s">
        <v>433</v>
      </c>
      <c r="L72" s="4013" t="s">
        <v>433</v>
      </c>
      <c r="M72" s="4014" t="s">
        <v>433</v>
      </c>
      <c r="N72" s="4015" t="s">
        <v>433</v>
      </c>
      <c r="O72" s="4016" t="s">
        <v>835</v>
      </c>
      <c r="P72" s="4017" t="s">
        <v>433</v>
      </c>
    </row>
    <row r="73">
      <c r="A73" s="4018" t="s">
        <v>908</v>
      </c>
      <c r="B73" s="4019" t="s">
        <v>738</v>
      </c>
      <c r="C73" s="4020" t="s">
        <v>838</v>
      </c>
      <c r="D73" s="4021" t="s">
        <v>435</v>
      </c>
      <c r="E73" s="4022" t="s">
        <v>829</v>
      </c>
      <c r="F73" s="4023" t="n">
        <v>28.0</v>
      </c>
      <c r="G73" s="4024" t="s">
        <v>434</v>
      </c>
      <c r="H73" s="4025" t="n">
        <v>28.0</v>
      </c>
      <c r="I73" s="4026" t="s">
        <v>434</v>
      </c>
      <c r="J73" s="4027" t="s">
        <v>891</v>
      </c>
      <c r="K73" s="4028" t="s">
        <v>433</v>
      </c>
      <c r="L73" s="4029" t="s">
        <v>433</v>
      </c>
      <c r="M73" s="4030" t="s">
        <v>433</v>
      </c>
      <c r="N73" s="4031" t="s">
        <v>433</v>
      </c>
      <c r="O73" s="4032" t="s">
        <v>433</v>
      </c>
      <c r="P73" s="4033" t="s">
        <v>433</v>
      </c>
    </row>
    <row r="74">
      <c r="A74" s="4034" t="s">
        <v>908</v>
      </c>
      <c r="B74" s="4035" t="s">
        <v>738</v>
      </c>
      <c r="C74" s="4036" t="s">
        <v>838</v>
      </c>
      <c r="D74" s="4037" t="s">
        <v>435</v>
      </c>
      <c r="E74" s="4038" t="s">
        <v>829</v>
      </c>
      <c r="F74" s="4039" t="n">
        <v>31.0</v>
      </c>
      <c r="G74" s="4040" t="s">
        <v>434</v>
      </c>
      <c r="H74" s="4041" t="n">
        <v>31.0</v>
      </c>
      <c r="I74" s="4042" t="s">
        <v>434</v>
      </c>
      <c r="J74" s="4043" t="s">
        <v>891</v>
      </c>
      <c r="K74" s="4044" t="s">
        <v>433</v>
      </c>
      <c r="L74" s="4045" t="s">
        <v>433</v>
      </c>
      <c r="M74" s="4046" t="s">
        <v>433</v>
      </c>
      <c r="N74" s="4047" t="s">
        <v>433</v>
      </c>
      <c r="O74" s="4048" t="s">
        <v>433</v>
      </c>
      <c r="P74" s="4049" t="s">
        <v>433</v>
      </c>
    </row>
    <row r="75">
      <c r="A75" s="4050" t="s">
        <v>909</v>
      </c>
      <c r="B75" s="4051" t="s">
        <v>744</v>
      </c>
      <c r="C75" s="4052" t="s">
        <v>849</v>
      </c>
      <c r="D75" s="4053" t="s">
        <v>435</v>
      </c>
      <c r="E75" s="4054" t="s">
        <v>829</v>
      </c>
      <c r="F75" s="4055" t="n">
        <v>217.88</v>
      </c>
      <c r="G75" s="4056" t="s">
        <v>434</v>
      </c>
      <c r="H75" s="4057" t="n">
        <v>217.88</v>
      </c>
      <c r="I75" s="4058" t="s">
        <v>434</v>
      </c>
      <c r="J75" s="4059" t="s">
        <v>891</v>
      </c>
      <c r="K75" s="4060" t="s">
        <v>433</v>
      </c>
      <c r="L75" s="4061" t="s">
        <v>433</v>
      </c>
      <c r="M75" s="4062" t="s">
        <v>433</v>
      </c>
      <c r="N75" s="4063" t="s">
        <v>433</v>
      </c>
      <c r="O75" s="4064" t="s">
        <v>878</v>
      </c>
      <c r="P75" s="4065" t="s">
        <v>433</v>
      </c>
    </row>
    <row r="76">
      <c r="A76" s="4066" t="s">
        <v>909</v>
      </c>
      <c r="B76" s="4067" t="s">
        <v>439</v>
      </c>
      <c r="C76" s="4068" t="s">
        <v>828</v>
      </c>
      <c r="D76" s="4069" t="s">
        <v>435</v>
      </c>
      <c r="E76" s="4070" t="s">
        <v>829</v>
      </c>
      <c r="F76" s="4071" t="n">
        <v>45.21</v>
      </c>
      <c r="G76" s="4072" t="s">
        <v>434</v>
      </c>
      <c r="H76" s="4073" t="n">
        <v>45.21</v>
      </c>
      <c r="I76" s="4074" t="s">
        <v>434</v>
      </c>
      <c r="J76" s="4075" t="s">
        <v>891</v>
      </c>
      <c r="K76" s="4076" t="s">
        <v>433</v>
      </c>
      <c r="L76" s="4077" t="s">
        <v>433</v>
      </c>
      <c r="M76" s="4078" t="s">
        <v>433</v>
      </c>
      <c r="N76" s="4079" t="s">
        <v>433</v>
      </c>
      <c r="O76" s="4080" t="s">
        <v>833</v>
      </c>
      <c r="P76" s="4081" t="s">
        <v>433</v>
      </c>
    </row>
    <row r="77">
      <c r="A77" s="4082" t="s">
        <v>909</v>
      </c>
      <c r="B77" s="4083" t="s">
        <v>442</v>
      </c>
      <c r="C77" s="4084" t="s">
        <v>836</v>
      </c>
      <c r="D77" s="4085" t="s">
        <v>435</v>
      </c>
      <c r="E77" s="4086" t="s">
        <v>829</v>
      </c>
      <c r="F77" s="4087" t="n">
        <v>190.0</v>
      </c>
      <c r="G77" s="4088" t="s">
        <v>434</v>
      </c>
      <c r="H77" s="4089" t="n">
        <v>190.0</v>
      </c>
      <c r="I77" s="4090" t="s">
        <v>434</v>
      </c>
      <c r="J77" s="4091" t="s">
        <v>891</v>
      </c>
      <c r="K77" s="4092" t="s">
        <v>433</v>
      </c>
      <c r="L77" s="4093" t="s">
        <v>433</v>
      </c>
      <c r="M77" s="4094" t="s">
        <v>433</v>
      </c>
      <c r="N77" s="4095" t="s">
        <v>433</v>
      </c>
      <c r="O77" s="4096" t="s">
        <v>835</v>
      </c>
      <c r="P77" s="4097" t="s">
        <v>433</v>
      </c>
    </row>
    <row r="78">
      <c r="A78" s="4098" t="s">
        <v>910</v>
      </c>
      <c r="B78" s="4099" t="s">
        <v>456</v>
      </c>
      <c r="C78" s="4100" t="s">
        <v>836</v>
      </c>
      <c r="D78" s="4101" t="s">
        <v>435</v>
      </c>
      <c r="E78" s="4102" t="s">
        <v>829</v>
      </c>
      <c r="F78" s="4103" t="n">
        <v>50.0</v>
      </c>
      <c r="G78" s="4104" t="s">
        <v>434</v>
      </c>
      <c r="H78" s="4105" t="n">
        <v>50.0</v>
      </c>
      <c r="I78" s="4106" t="s">
        <v>434</v>
      </c>
      <c r="J78" s="4107" t="s">
        <v>891</v>
      </c>
      <c r="K78" s="4108" t="s">
        <v>433</v>
      </c>
      <c r="L78" s="4109" t="s">
        <v>433</v>
      </c>
      <c r="M78" s="4110" t="s">
        <v>433</v>
      </c>
      <c r="N78" s="4111" t="s">
        <v>433</v>
      </c>
      <c r="O78" s="4112" t="s">
        <v>833</v>
      </c>
      <c r="P78" s="4113" t="s">
        <v>433</v>
      </c>
    </row>
    <row r="79">
      <c r="A79" s="4114" t="s">
        <v>910</v>
      </c>
      <c r="B79" s="4115" t="s">
        <v>457</v>
      </c>
      <c r="C79" s="4116" t="s">
        <v>841</v>
      </c>
      <c r="D79" s="4117" t="s">
        <v>435</v>
      </c>
      <c r="E79" s="4118" t="s">
        <v>829</v>
      </c>
      <c r="F79" s="4119" t="n">
        <v>49.56</v>
      </c>
      <c r="G79" s="4120" t="s">
        <v>434</v>
      </c>
      <c r="H79" s="4121" t="n">
        <v>49.56</v>
      </c>
      <c r="I79" s="4122" t="s">
        <v>434</v>
      </c>
      <c r="J79" s="4123" t="s">
        <v>891</v>
      </c>
      <c r="K79" s="4124" t="s">
        <v>433</v>
      </c>
      <c r="L79" s="4125" t="s">
        <v>433</v>
      </c>
      <c r="M79" s="4126" t="s">
        <v>433</v>
      </c>
      <c r="N79" s="4127" t="s">
        <v>433</v>
      </c>
      <c r="O79" s="4128" t="s">
        <v>835</v>
      </c>
      <c r="P79" s="4129" t="s">
        <v>433</v>
      </c>
    </row>
    <row r="80">
      <c r="A80" s="4130" t="s">
        <v>910</v>
      </c>
      <c r="B80" s="4131" t="s">
        <v>787</v>
      </c>
      <c r="C80" s="4132" t="s">
        <v>884</v>
      </c>
      <c r="D80" s="4133" t="s">
        <v>435</v>
      </c>
      <c r="E80" s="4134" t="s">
        <v>874</v>
      </c>
      <c r="F80" s="4135" t="n">
        <v>181.0</v>
      </c>
      <c r="G80" s="4136" t="s">
        <v>434</v>
      </c>
      <c r="H80" s="4137" t="n">
        <v>724.0</v>
      </c>
      <c r="I80" s="4138" t="s">
        <v>434</v>
      </c>
      <c r="J80" s="4139" t="s">
        <v>891</v>
      </c>
      <c r="K80" s="4140" t="s">
        <v>788</v>
      </c>
      <c r="L80" s="4141" t="s">
        <v>433</v>
      </c>
      <c r="M80" s="4142" t="s">
        <v>433</v>
      </c>
      <c r="N80" s="4143" t="s">
        <v>433</v>
      </c>
      <c r="O80" s="4144" t="s">
        <v>833</v>
      </c>
      <c r="P80" s="4145" t="s">
        <v>433</v>
      </c>
    </row>
    <row r="81">
      <c r="A81" s="4146" t="s">
        <v>910</v>
      </c>
      <c r="B81" s="4147" t="s">
        <v>741</v>
      </c>
      <c r="C81" s="4148" t="s">
        <v>836</v>
      </c>
      <c r="D81" s="4149" t="s">
        <v>435</v>
      </c>
      <c r="E81" s="4150" t="s">
        <v>829</v>
      </c>
      <c r="F81" s="4151" t="n">
        <v>-9.8</v>
      </c>
      <c r="G81" s="4152" t="s">
        <v>434</v>
      </c>
      <c r="H81" s="4153" t="n">
        <v>9.8</v>
      </c>
      <c r="I81" s="4154" t="s">
        <v>434</v>
      </c>
      <c r="J81" s="4155" t="s">
        <v>891</v>
      </c>
      <c r="K81" s="4156" t="s">
        <v>479</v>
      </c>
      <c r="L81" s="4157" t="s">
        <v>433</v>
      </c>
      <c r="M81" s="4158" t="s">
        <v>433</v>
      </c>
      <c r="N81" s="4159" t="s">
        <v>433</v>
      </c>
      <c r="O81" s="4160" t="s">
        <v>833</v>
      </c>
      <c r="P81" s="4161" t="s">
        <v>433</v>
      </c>
    </row>
    <row r="82">
      <c r="A82" s="4162" t="s">
        <v>910</v>
      </c>
      <c r="B82" s="4163" t="s">
        <v>432</v>
      </c>
      <c r="C82" s="4164" t="s">
        <v>828</v>
      </c>
      <c r="D82" s="4165" t="s">
        <v>435</v>
      </c>
      <c r="E82" s="4166" t="s">
        <v>829</v>
      </c>
      <c r="F82" s="4167" t="n">
        <v>22.0</v>
      </c>
      <c r="G82" s="4168" t="s">
        <v>434</v>
      </c>
      <c r="H82" s="4169" t="n">
        <v>22.0</v>
      </c>
      <c r="I82" s="4170" t="s">
        <v>434</v>
      </c>
      <c r="J82" s="4171" t="s">
        <v>891</v>
      </c>
      <c r="K82" s="4172" t="s">
        <v>433</v>
      </c>
      <c r="L82" s="4173" t="s">
        <v>433</v>
      </c>
      <c r="M82" s="4174" t="s">
        <v>433</v>
      </c>
      <c r="N82" s="4175" t="s">
        <v>433</v>
      </c>
      <c r="O82" s="4176" t="s">
        <v>831</v>
      </c>
      <c r="P82" s="4177" t="s">
        <v>433</v>
      </c>
    </row>
    <row r="83">
      <c r="A83" s="4178" t="s">
        <v>911</v>
      </c>
      <c r="B83" s="4179" t="s">
        <v>747</v>
      </c>
      <c r="C83" s="4180" t="s">
        <v>845</v>
      </c>
      <c r="D83" s="4181" t="s">
        <v>435</v>
      </c>
      <c r="E83" s="4182" t="s">
        <v>829</v>
      </c>
      <c r="F83" s="4183" t="n">
        <v>150.0</v>
      </c>
      <c r="G83" s="4184" t="s">
        <v>434</v>
      </c>
      <c r="H83" s="4185" t="n">
        <v>150.0</v>
      </c>
      <c r="I83" s="4186" t="s">
        <v>434</v>
      </c>
      <c r="J83" s="4187" t="s">
        <v>891</v>
      </c>
      <c r="K83" s="4188" t="s">
        <v>433</v>
      </c>
      <c r="L83" s="4189" t="s">
        <v>433</v>
      </c>
      <c r="M83" s="4190" t="s">
        <v>433</v>
      </c>
      <c r="N83" s="4191" t="s">
        <v>433</v>
      </c>
      <c r="O83" s="4192" t="s">
        <v>831</v>
      </c>
      <c r="P83" s="4193" t="s">
        <v>433</v>
      </c>
    </row>
    <row r="84">
      <c r="A84" s="4194" t="s">
        <v>911</v>
      </c>
      <c r="B84" s="4195" t="s">
        <v>439</v>
      </c>
      <c r="C84" s="4196" t="s">
        <v>828</v>
      </c>
      <c r="D84" s="4197" t="s">
        <v>435</v>
      </c>
      <c r="E84" s="4198" t="s">
        <v>829</v>
      </c>
      <c r="F84" s="4199" t="n">
        <v>139.6</v>
      </c>
      <c r="G84" s="4200" t="s">
        <v>434</v>
      </c>
      <c r="H84" s="4201" t="n">
        <v>139.6</v>
      </c>
      <c r="I84" s="4202" t="s">
        <v>434</v>
      </c>
      <c r="J84" s="4203" t="s">
        <v>891</v>
      </c>
      <c r="K84" s="4204" t="s">
        <v>433</v>
      </c>
      <c r="L84" s="4205" t="s">
        <v>433</v>
      </c>
      <c r="M84" s="4206" t="s">
        <v>433</v>
      </c>
      <c r="N84" s="4207" t="s">
        <v>433</v>
      </c>
      <c r="O84" s="4208" t="s">
        <v>833</v>
      </c>
      <c r="P84" s="4209" t="s">
        <v>433</v>
      </c>
    </row>
    <row r="85">
      <c r="A85" s="4210" t="s">
        <v>911</v>
      </c>
      <c r="B85" s="4211" t="s">
        <v>440</v>
      </c>
      <c r="C85" s="4212" t="s">
        <v>836</v>
      </c>
      <c r="D85" s="4213" t="s">
        <v>435</v>
      </c>
      <c r="E85" s="4214" t="s">
        <v>829</v>
      </c>
      <c r="F85" s="4215" t="n">
        <v>37.5</v>
      </c>
      <c r="G85" s="4216" t="s">
        <v>434</v>
      </c>
      <c r="H85" s="4217" t="n">
        <v>37.5</v>
      </c>
      <c r="I85" s="4218" t="s">
        <v>434</v>
      </c>
      <c r="J85" s="4219" t="s">
        <v>891</v>
      </c>
      <c r="K85" s="4220" t="s">
        <v>433</v>
      </c>
      <c r="L85" s="4221" t="s">
        <v>433</v>
      </c>
      <c r="M85" s="4222" t="s">
        <v>433</v>
      </c>
      <c r="N85" s="4223" t="s">
        <v>433</v>
      </c>
      <c r="O85" s="4224" t="s">
        <v>833</v>
      </c>
      <c r="P85" s="4225" t="s">
        <v>433</v>
      </c>
    </row>
    <row r="86">
      <c r="A86" s="4226" t="s">
        <v>911</v>
      </c>
      <c r="B86" s="4227" t="s">
        <v>748</v>
      </c>
      <c r="C86" s="4228" t="s">
        <v>868</v>
      </c>
      <c r="D86" s="4229" t="s">
        <v>435</v>
      </c>
      <c r="E86" s="4230" t="s">
        <v>829</v>
      </c>
      <c r="F86" s="4231" t="n">
        <v>178.65</v>
      </c>
      <c r="G86" s="4232" t="s">
        <v>434</v>
      </c>
      <c r="H86" s="4233" t="n">
        <v>178.65</v>
      </c>
      <c r="I86" s="4234" t="s">
        <v>434</v>
      </c>
      <c r="J86" s="4235" t="s">
        <v>891</v>
      </c>
      <c r="K86" s="4236" t="s">
        <v>433</v>
      </c>
      <c r="L86" s="4237" t="s">
        <v>433</v>
      </c>
      <c r="M86" s="4238" t="s">
        <v>433</v>
      </c>
      <c r="N86" s="4239" t="s">
        <v>433</v>
      </c>
      <c r="O86" s="4240" t="s">
        <v>835</v>
      </c>
      <c r="P86" s="4241" t="s">
        <v>433</v>
      </c>
    </row>
    <row r="87">
      <c r="A87" s="4242" t="s">
        <v>912</v>
      </c>
      <c r="B87" s="4243" t="s">
        <v>750</v>
      </c>
      <c r="C87" s="4244" t="s">
        <v>836</v>
      </c>
      <c r="D87" s="4245" t="s">
        <v>435</v>
      </c>
      <c r="E87" s="4246" t="s">
        <v>829</v>
      </c>
      <c r="F87" s="4247" t="n">
        <v>50.0</v>
      </c>
      <c r="G87" s="4248" t="s">
        <v>434</v>
      </c>
      <c r="H87" s="4249" t="n">
        <v>50.0</v>
      </c>
      <c r="I87" s="4250" t="s">
        <v>434</v>
      </c>
      <c r="J87" s="4251" t="s">
        <v>891</v>
      </c>
      <c r="K87" s="4252" t="s">
        <v>433</v>
      </c>
      <c r="L87" s="4253" t="s">
        <v>433</v>
      </c>
      <c r="M87" s="4254" t="s">
        <v>433</v>
      </c>
      <c r="N87" s="4255" t="s">
        <v>433</v>
      </c>
      <c r="O87" s="4256" t="s">
        <v>833</v>
      </c>
      <c r="P87" s="4257" t="s">
        <v>433</v>
      </c>
    </row>
    <row r="88">
      <c r="A88" s="4258" t="s">
        <v>912</v>
      </c>
      <c r="B88" s="4259" t="s">
        <v>607</v>
      </c>
      <c r="C88" s="4260" t="s">
        <v>836</v>
      </c>
      <c r="D88" s="4261" t="s">
        <v>435</v>
      </c>
      <c r="E88" s="4262" t="s">
        <v>829</v>
      </c>
      <c r="F88" s="4263" t="n">
        <v>68.0</v>
      </c>
      <c r="G88" s="4264" t="s">
        <v>434</v>
      </c>
      <c r="H88" s="4265" t="n">
        <v>68.0</v>
      </c>
      <c r="I88" s="4266" t="s">
        <v>434</v>
      </c>
      <c r="J88" s="4267" t="s">
        <v>891</v>
      </c>
      <c r="K88" s="4268" t="s">
        <v>433</v>
      </c>
      <c r="L88" s="4269" t="s">
        <v>433</v>
      </c>
      <c r="M88" s="4270" t="s">
        <v>433</v>
      </c>
      <c r="N88" s="4271" t="s">
        <v>433</v>
      </c>
      <c r="O88" s="4272" t="s">
        <v>433</v>
      </c>
      <c r="P88" s="4273" t="s">
        <v>433</v>
      </c>
    </row>
    <row r="89">
      <c r="A89" s="4274" t="s">
        <v>912</v>
      </c>
      <c r="B89" s="4275" t="s">
        <v>751</v>
      </c>
      <c r="C89" s="4276" t="s">
        <v>884</v>
      </c>
      <c r="D89" s="4277" t="s">
        <v>435</v>
      </c>
      <c r="E89" s="4278" t="s">
        <v>829</v>
      </c>
      <c r="F89" s="4279" t="n">
        <v>192.0</v>
      </c>
      <c r="G89" s="4280" t="s">
        <v>434</v>
      </c>
      <c r="H89" s="4281" t="n">
        <v>192.0</v>
      </c>
      <c r="I89" s="4282" t="s">
        <v>434</v>
      </c>
      <c r="J89" s="4283" t="s">
        <v>891</v>
      </c>
      <c r="K89" s="4284" t="s">
        <v>433</v>
      </c>
      <c r="L89" s="4285" t="s">
        <v>433</v>
      </c>
      <c r="M89" s="4286" t="s">
        <v>433</v>
      </c>
      <c r="N89" s="4287" t="s">
        <v>433</v>
      </c>
      <c r="O89" s="4288" t="s">
        <v>833</v>
      </c>
      <c r="P89" s="4289" t="s">
        <v>433</v>
      </c>
    </row>
    <row r="90">
      <c r="A90" s="4290" t="s">
        <v>912</v>
      </c>
      <c r="B90" s="4291" t="s">
        <v>442</v>
      </c>
      <c r="C90" s="4292" t="s">
        <v>836</v>
      </c>
      <c r="D90" s="4293" t="s">
        <v>435</v>
      </c>
      <c r="E90" s="4294" t="s">
        <v>829</v>
      </c>
      <c r="F90" s="4295" t="n">
        <v>190.0</v>
      </c>
      <c r="G90" s="4296" t="s">
        <v>434</v>
      </c>
      <c r="H90" s="4297" t="n">
        <v>190.0</v>
      </c>
      <c r="I90" s="4298" t="s">
        <v>434</v>
      </c>
      <c r="J90" s="4299" t="s">
        <v>891</v>
      </c>
      <c r="K90" s="4300" t="s">
        <v>433</v>
      </c>
      <c r="L90" s="4301" t="s">
        <v>433</v>
      </c>
      <c r="M90" s="4302" t="s">
        <v>433</v>
      </c>
      <c r="N90" s="4303" t="s">
        <v>433</v>
      </c>
      <c r="O90" s="4304" t="s">
        <v>835</v>
      </c>
      <c r="P90" s="4305" t="s">
        <v>433</v>
      </c>
    </row>
    <row r="91">
      <c r="A91" s="4306" t="s">
        <v>912</v>
      </c>
      <c r="B91" s="4307" t="s">
        <v>439</v>
      </c>
      <c r="C91" s="4308" t="s">
        <v>828</v>
      </c>
      <c r="D91" s="4309" t="s">
        <v>435</v>
      </c>
      <c r="E91" s="4310" t="s">
        <v>829</v>
      </c>
      <c r="F91" s="4311" t="n">
        <v>112.18</v>
      </c>
      <c r="G91" s="4312" t="s">
        <v>434</v>
      </c>
      <c r="H91" s="4313" t="n">
        <v>112.18</v>
      </c>
      <c r="I91" s="4314" t="s">
        <v>434</v>
      </c>
      <c r="J91" s="4315" t="s">
        <v>891</v>
      </c>
      <c r="K91" s="4316" t="s">
        <v>433</v>
      </c>
      <c r="L91" s="4317" t="s">
        <v>433</v>
      </c>
      <c r="M91" s="4318" t="s">
        <v>433</v>
      </c>
      <c r="N91" s="4319" t="s">
        <v>433</v>
      </c>
      <c r="O91" s="4320" t="s">
        <v>833</v>
      </c>
      <c r="P91" s="4321" t="s">
        <v>433</v>
      </c>
    </row>
    <row r="92">
      <c r="A92" s="4322" t="s">
        <v>913</v>
      </c>
      <c r="B92" s="4323" t="s">
        <v>525</v>
      </c>
      <c r="C92" s="4324" t="s">
        <v>841</v>
      </c>
      <c r="D92" s="4325" t="s">
        <v>435</v>
      </c>
      <c r="E92" s="4326" t="s">
        <v>829</v>
      </c>
      <c r="F92" s="4327" t="n">
        <v>25.8</v>
      </c>
      <c r="G92" s="4328" t="s">
        <v>434</v>
      </c>
      <c r="H92" s="4329" t="n">
        <v>25.8</v>
      </c>
      <c r="I92" s="4330" t="s">
        <v>434</v>
      </c>
      <c r="J92" s="4331" t="s">
        <v>891</v>
      </c>
      <c r="K92" s="4332" t="s">
        <v>433</v>
      </c>
      <c r="L92" s="4333" t="s">
        <v>433</v>
      </c>
      <c r="M92" s="4334" t="s">
        <v>433</v>
      </c>
      <c r="N92" s="4335" t="s">
        <v>433</v>
      </c>
      <c r="O92" s="4336" t="s">
        <v>433</v>
      </c>
      <c r="P92" s="4337" t="s">
        <v>433</v>
      </c>
    </row>
    <row r="93">
      <c r="A93" s="4338" t="s">
        <v>913</v>
      </c>
      <c r="B93" s="4339" t="s">
        <v>753</v>
      </c>
      <c r="C93" s="4340" t="s">
        <v>843</v>
      </c>
      <c r="D93" s="4341" t="s">
        <v>435</v>
      </c>
      <c r="E93" s="4342" t="s">
        <v>829</v>
      </c>
      <c r="F93" s="4343" t="n">
        <v>298.0</v>
      </c>
      <c r="G93" s="4344" t="s">
        <v>434</v>
      </c>
      <c r="H93" s="4345" t="n">
        <v>298.0</v>
      </c>
      <c r="I93" s="4346" t="s">
        <v>434</v>
      </c>
      <c r="J93" s="4347" t="s">
        <v>891</v>
      </c>
      <c r="K93" s="4348" t="s">
        <v>433</v>
      </c>
      <c r="L93" s="4349" t="s">
        <v>433</v>
      </c>
      <c r="M93" s="4350" t="s">
        <v>433</v>
      </c>
      <c r="N93" s="4351" t="s">
        <v>433</v>
      </c>
      <c r="O93" s="4352" t="s">
        <v>835</v>
      </c>
      <c r="P93" s="4353" t="s">
        <v>433</v>
      </c>
    </row>
    <row r="94">
      <c r="A94" s="4354" t="s">
        <v>913</v>
      </c>
      <c r="B94" s="4355" t="s">
        <v>471</v>
      </c>
      <c r="C94" s="4356" t="s">
        <v>838</v>
      </c>
      <c r="D94" s="4357" t="s">
        <v>435</v>
      </c>
      <c r="E94" s="4358" t="s">
        <v>829</v>
      </c>
      <c r="F94" s="4359" t="n">
        <v>19.9</v>
      </c>
      <c r="G94" s="4360" t="s">
        <v>434</v>
      </c>
      <c r="H94" s="4361" t="n">
        <v>19.9</v>
      </c>
      <c r="I94" s="4362" t="s">
        <v>434</v>
      </c>
      <c r="J94" s="4363" t="s">
        <v>891</v>
      </c>
      <c r="K94" s="4364" t="s">
        <v>433</v>
      </c>
      <c r="L94" s="4365" t="s">
        <v>433</v>
      </c>
      <c r="M94" s="4366" t="s">
        <v>433</v>
      </c>
      <c r="N94" s="4367" t="s">
        <v>433</v>
      </c>
      <c r="O94" s="4368" t="s">
        <v>433</v>
      </c>
      <c r="P94" s="4369" t="s">
        <v>433</v>
      </c>
    </row>
    <row r="95">
      <c r="A95" s="4370" t="s">
        <v>913</v>
      </c>
      <c r="B95" s="4371" t="s">
        <v>681</v>
      </c>
      <c r="C95" s="4372" t="s">
        <v>870</v>
      </c>
      <c r="D95" s="4373" t="s">
        <v>435</v>
      </c>
      <c r="E95" s="4374" t="s">
        <v>829</v>
      </c>
      <c r="F95" s="4375" t="n">
        <v>76.7</v>
      </c>
      <c r="G95" s="4376" t="s">
        <v>434</v>
      </c>
      <c r="H95" s="4377" t="n">
        <v>76.7</v>
      </c>
      <c r="I95" s="4378" t="s">
        <v>434</v>
      </c>
      <c r="J95" s="4379" t="s">
        <v>891</v>
      </c>
      <c r="K95" s="4380" t="s">
        <v>433</v>
      </c>
      <c r="L95" s="4381" t="s">
        <v>433</v>
      </c>
      <c r="M95" s="4382" t="s">
        <v>433</v>
      </c>
      <c r="N95" s="4383" t="s">
        <v>433</v>
      </c>
      <c r="O95" s="4384" t="s">
        <v>833</v>
      </c>
      <c r="P95" s="4385" t="s">
        <v>433</v>
      </c>
    </row>
    <row r="96">
      <c r="A96" s="4386" t="s">
        <v>913</v>
      </c>
      <c r="B96" s="4387" t="s">
        <v>440</v>
      </c>
      <c r="C96" s="4388" t="s">
        <v>836</v>
      </c>
      <c r="D96" s="4389" t="s">
        <v>435</v>
      </c>
      <c r="E96" s="4390" t="s">
        <v>829</v>
      </c>
      <c r="F96" s="4391" t="n">
        <v>75.0</v>
      </c>
      <c r="G96" s="4392" t="s">
        <v>434</v>
      </c>
      <c r="H96" s="4393" t="n">
        <v>75.0</v>
      </c>
      <c r="I96" s="4394" t="s">
        <v>434</v>
      </c>
      <c r="J96" s="4395" t="s">
        <v>891</v>
      </c>
      <c r="K96" s="4396" t="s">
        <v>433</v>
      </c>
      <c r="L96" s="4397" t="s">
        <v>433</v>
      </c>
      <c r="M96" s="4398" t="s">
        <v>433</v>
      </c>
      <c r="N96" s="4399" t="s">
        <v>433</v>
      </c>
      <c r="O96" s="4400" t="s">
        <v>833</v>
      </c>
      <c r="P96" s="4401" t="s">
        <v>433</v>
      </c>
    </row>
    <row r="97">
      <c r="A97" s="4402" t="s">
        <v>913</v>
      </c>
      <c r="B97" s="4403" t="s">
        <v>438</v>
      </c>
      <c r="C97" s="4404" t="s">
        <v>834</v>
      </c>
      <c r="D97" s="4405" t="s">
        <v>435</v>
      </c>
      <c r="E97" s="4406" t="s">
        <v>829</v>
      </c>
      <c r="F97" s="4407" t="n">
        <v>99.0</v>
      </c>
      <c r="G97" s="4408" t="s">
        <v>434</v>
      </c>
      <c r="H97" s="4409" t="n">
        <v>99.0</v>
      </c>
      <c r="I97" s="4410" t="s">
        <v>434</v>
      </c>
      <c r="J97" s="4411" t="s">
        <v>891</v>
      </c>
      <c r="K97" s="4412" t="s">
        <v>433</v>
      </c>
      <c r="L97" s="4413" t="s">
        <v>433</v>
      </c>
      <c r="M97" s="4414" t="s">
        <v>433</v>
      </c>
      <c r="N97" s="4415" t="s">
        <v>433</v>
      </c>
      <c r="O97" s="4416" t="s">
        <v>833</v>
      </c>
      <c r="P97" s="4417" t="s">
        <v>433</v>
      </c>
    </row>
    <row r="98">
      <c r="A98" s="4418" t="s">
        <v>914</v>
      </c>
      <c r="B98" s="4419" t="s">
        <v>755</v>
      </c>
      <c r="C98" s="4420" t="s">
        <v>828</v>
      </c>
      <c r="D98" s="4421" t="s">
        <v>435</v>
      </c>
      <c r="E98" s="4422" t="s">
        <v>829</v>
      </c>
      <c r="F98" s="4423" t="n">
        <v>16.0</v>
      </c>
      <c r="G98" s="4424" t="s">
        <v>434</v>
      </c>
      <c r="H98" s="4425" t="n">
        <v>16.0</v>
      </c>
      <c r="I98" s="4426" t="s">
        <v>434</v>
      </c>
      <c r="J98" s="4427" t="s">
        <v>891</v>
      </c>
      <c r="K98" s="4428" t="s">
        <v>433</v>
      </c>
      <c r="L98" s="4429" t="s">
        <v>433</v>
      </c>
      <c r="M98" s="4430" t="s">
        <v>433</v>
      </c>
      <c r="N98" s="4431" t="s">
        <v>433</v>
      </c>
      <c r="O98" s="4432" t="s">
        <v>433</v>
      </c>
      <c r="P98" s="4433" t="s">
        <v>433</v>
      </c>
    </row>
    <row r="99">
      <c r="A99" s="4434" t="s">
        <v>915</v>
      </c>
      <c r="B99" s="4435" t="s">
        <v>439</v>
      </c>
      <c r="C99" s="4436" t="s">
        <v>828</v>
      </c>
      <c r="D99" s="4437" t="s">
        <v>435</v>
      </c>
      <c r="E99" s="4438" t="s">
        <v>829</v>
      </c>
      <c r="F99" s="4439" t="n">
        <v>114.45</v>
      </c>
      <c r="G99" s="4440" t="s">
        <v>434</v>
      </c>
      <c r="H99" s="4441" t="n">
        <v>114.45</v>
      </c>
      <c r="I99" s="4442" t="s">
        <v>434</v>
      </c>
      <c r="J99" s="4443" t="s">
        <v>891</v>
      </c>
      <c r="K99" s="4444" t="s">
        <v>433</v>
      </c>
      <c r="L99" s="4445" t="s">
        <v>433</v>
      </c>
      <c r="M99" s="4446" t="s">
        <v>433</v>
      </c>
      <c r="N99" s="4447" t="s">
        <v>433</v>
      </c>
      <c r="O99" s="4448" t="s">
        <v>833</v>
      </c>
      <c r="P99" s="4449" t="s">
        <v>433</v>
      </c>
    </row>
    <row r="100">
      <c r="A100" s="4450" t="s">
        <v>915</v>
      </c>
      <c r="B100" s="4451" t="s">
        <v>439</v>
      </c>
      <c r="C100" s="4452" t="s">
        <v>828</v>
      </c>
      <c r="D100" s="4453" t="s">
        <v>435</v>
      </c>
      <c r="E100" s="4454" t="s">
        <v>829</v>
      </c>
      <c r="F100" s="4455" t="n">
        <v>146.78</v>
      </c>
      <c r="G100" s="4456" t="s">
        <v>434</v>
      </c>
      <c r="H100" s="4457" t="n">
        <v>146.78</v>
      </c>
      <c r="I100" s="4458" t="s">
        <v>434</v>
      </c>
      <c r="J100" s="4459" t="s">
        <v>891</v>
      </c>
      <c r="K100" s="4460" t="s">
        <v>433</v>
      </c>
      <c r="L100" s="4461" t="s">
        <v>433</v>
      </c>
      <c r="M100" s="4462" t="s">
        <v>433</v>
      </c>
      <c r="N100" s="4463" t="s">
        <v>433</v>
      </c>
      <c r="O100" s="4464" t="s">
        <v>833</v>
      </c>
      <c r="P100" s="4465" t="s">
        <v>433</v>
      </c>
    </row>
    <row r="101">
      <c r="A101" s="4466" t="s">
        <v>916</v>
      </c>
      <c r="B101" s="4467" t="s">
        <v>439</v>
      </c>
      <c r="C101" s="4468" t="s">
        <v>828</v>
      </c>
      <c r="D101" s="4469" t="s">
        <v>435</v>
      </c>
      <c r="E101" s="4470" t="s">
        <v>829</v>
      </c>
      <c r="F101" s="4471" t="n">
        <v>5.24</v>
      </c>
      <c r="G101" s="4472" t="s">
        <v>434</v>
      </c>
      <c r="H101" s="4473" t="n">
        <v>5.24</v>
      </c>
      <c r="I101" s="4474" t="s">
        <v>434</v>
      </c>
      <c r="J101" s="4475" t="s">
        <v>891</v>
      </c>
      <c r="K101" s="4476" t="s">
        <v>433</v>
      </c>
      <c r="L101" s="4477" t="s">
        <v>433</v>
      </c>
      <c r="M101" s="4478" t="s">
        <v>433</v>
      </c>
      <c r="N101" s="4479" t="s">
        <v>433</v>
      </c>
      <c r="O101" s="4480" t="s">
        <v>833</v>
      </c>
      <c r="P101" s="4481" t="s">
        <v>433</v>
      </c>
    </row>
    <row r="102">
      <c r="A102" s="4482" t="s">
        <v>916</v>
      </c>
      <c r="B102" s="4483" t="s">
        <v>442</v>
      </c>
      <c r="C102" s="4484" t="s">
        <v>836</v>
      </c>
      <c r="D102" s="4485" t="s">
        <v>435</v>
      </c>
      <c r="E102" s="4486" t="s">
        <v>829</v>
      </c>
      <c r="F102" s="4487" t="n">
        <v>190.0</v>
      </c>
      <c r="G102" s="4488" t="s">
        <v>434</v>
      </c>
      <c r="H102" s="4489" t="n">
        <v>190.0</v>
      </c>
      <c r="I102" s="4490" t="s">
        <v>434</v>
      </c>
      <c r="J102" s="4491" t="s">
        <v>891</v>
      </c>
      <c r="K102" s="4492" t="s">
        <v>433</v>
      </c>
      <c r="L102" s="4493" t="s">
        <v>433</v>
      </c>
      <c r="M102" s="4494" t="s">
        <v>433</v>
      </c>
      <c r="N102" s="4495" t="s">
        <v>433</v>
      </c>
      <c r="O102" s="4496" t="s">
        <v>833</v>
      </c>
      <c r="P102" s="4497" t="s">
        <v>433</v>
      </c>
    </row>
    <row r="103">
      <c r="A103" s="4498" t="s">
        <v>917</v>
      </c>
      <c r="B103" s="4499" t="s">
        <v>432</v>
      </c>
      <c r="C103" s="4500" t="s">
        <v>828</v>
      </c>
      <c r="D103" s="4501" t="s">
        <v>435</v>
      </c>
      <c r="E103" s="4502" t="s">
        <v>829</v>
      </c>
      <c r="F103" s="4503" t="n">
        <v>21.0</v>
      </c>
      <c r="G103" s="4504" t="s">
        <v>434</v>
      </c>
      <c r="H103" s="4505" t="n">
        <v>21.0</v>
      </c>
      <c r="I103" s="4506" t="s">
        <v>434</v>
      </c>
      <c r="J103" s="4507" t="s">
        <v>891</v>
      </c>
      <c r="K103" s="4508" t="s">
        <v>433</v>
      </c>
      <c r="L103" s="4509" t="s">
        <v>433</v>
      </c>
      <c r="M103" s="4510" t="s">
        <v>433</v>
      </c>
      <c r="N103" s="4511" t="s">
        <v>433</v>
      </c>
      <c r="O103" s="4512" t="s">
        <v>831</v>
      </c>
      <c r="P103" s="4513" t="s">
        <v>433</v>
      </c>
    </row>
    <row r="104">
      <c r="A104" s="4514" t="s">
        <v>917</v>
      </c>
      <c r="B104" s="4515" t="s">
        <v>449</v>
      </c>
      <c r="C104" s="4516" t="s">
        <v>828</v>
      </c>
      <c r="D104" s="4517" t="s">
        <v>435</v>
      </c>
      <c r="E104" s="4518" t="s">
        <v>829</v>
      </c>
      <c r="F104" s="4519" t="n">
        <v>18.0</v>
      </c>
      <c r="G104" s="4520" t="s">
        <v>434</v>
      </c>
      <c r="H104" s="4521" t="n">
        <v>18.0</v>
      </c>
      <c r="I104" s="4522" t="s">
        <v>434</v>
      </c>
      <c r="J104" s="4523" t="s">
        <v>891</v>
      </c>
      <c r="K104" s="4524" t="s">
        <v>433</v>
      </c>
      <c r="L104" s="4525" t="s">
        <v>433</v>
      </c>
      <c r="M104" s="4526" t="s">
        <v>433</v>
      </c>
      <c r="N104" s="4527" t="s">
        <v>433</v>
      </c>
      <c r="O104" s="4528" t="s">
        <v>433</v>
      </c>
      <c r="P104" s="4529" t="s">
        <v>433</v>
      </c>
    </row>
    <row r="105">
      <c r="A105" s="4530" t="s">
        <v>917</v>
      </c>
      <c r="B105" s="4531" t="s">
        <v>530</v>
      </c>
      <c r="C105" s="4532" t="s">
        <v>832</v>
      </c>
      <c r="D105" s="4533" t="s">
        <v>435</v>
      </c>
      <c r="E105" s="4534" t="s">
        <v>829</v>
      </c>
      <c r="F105" s="4535" t="n">
        <v>25.0</v>
      </c>
      <c r="G105" s="4536" t="s">
        <v>434</v>
      </c>
      <c r="H105" s="4537" t="n">
        <v>25.0</v>
      </c>
      <c r="I105" s="4538" t="s">
        <v>434</v>
      </c>
      <c r="J105" s="4539" t="s">
        <v>891</v>
      </c>
      <c r="K105" s="4540" t="s">
        <v>433</v>
      </c>
      <c r="L105" s="4541" t="s">
        <v>433</v>
      </c>
      <c r="M105" s="4542" t="s">
        <v>433</v>
      </c>
      <c r="N105" s="4543" t="s">
        <v>433</v>
      </c>
      <c r="O105" s="4544" t="s">
        <v>833</v>
      </c>
      <c r="P105" s="4545" t="s">
        <v>433</v>
      </c>
    </row>
    <row r="106">
      <c r="A106" s="4546" t="s">
        <v>917</v>
      </c>
      <c r="B106" s="4547" t="s">
        <v>440</v>
      </c>
      <c r="C106" s="4548" t="s">
        <v>836</v>
      </c>
      <c r="D106" s="4549" t="s">
        <v>435</v>
      </c>
      <c r="E106" s="4550" t="s">
        <v>829</v>
      </c>
      <c r="F106" s="4551" t="n">
        <v>37.5</v>
      </c>
      <c r="G106" s="4552" t="s">
        <v>434</v>
      </c>
      <c r="H106" s="4553" t="n">
        <v>37.5</v>
      </c>
      <c r="I106" s="4554" t="s">
        <v>434</v>
      </c>
      <c r="J106" s="4555" t="s">
        <v>891</v>
      </c>
      <c r="K106" s="4556" t="s">
        <v>433</v>
      </c>
      <c r="L106" s="4557" t="s">
        <v>433</v>
      </c>
      <c r="M106" s="4558" t="s">
        <v>433</v>
      </c>
      <c r="N106" s="4559" t="s">
        <v>433</v>
      </c>
      <c r="O106" s="4560" t="s">
        <v>833</v>
      </c>
      <c r="P106" s="4561" t="s">
        <v>433</v>
      </c>
    </row>
    <row r="107">
      <c r="A107" s="4562" t="s">
        <v>917</v>
      </c>
      <c r="B107" s="4563" t="s">
        <v>513</v>
      </c>
      <c r="C107" s="4564" t="s">
        <v>860</v>
      </c>
      <c r="D107" s="4565" t="s">
        <v>435</v>
      </c>
      <c r="E107" s="4566" t="s">
        <v>829</v>
      </c>
      <c r="F107" s="4567" t="n">
        <v>15.0</v>
      </c>
      <c r="G107" s="4568" t="s">
        <v>434</v>
      </c>
      <c r="H107" s="4569" t="n">
        <v>15.0</v>
      </c>
      <c r="I107" s="4570" t="s">
        <v>434</v>
      </c>
      <c r="J107" s="4571" t="s">
        <v>891</v>
      </c>
      <c r="K107" s="4572" t="s">
        <v>677</v>
      </c>
      <c r="L107" s="4573" t="s">
        <v>433</v>
      </c>
      <c r="M107" s="4574" t="s">
        <v>433</v>
      </c>
      <c r="N107" s="4575" t="s">
        <v>433</v>
      </c>
      <c r="O107" s="4576" t="s">
        <v>835</v>
      </c>
      <c r="P107" s="4577" t="s">
        <v>433</v>
      </c>
    </row>
    <row r="108">
      <c r="A108" s="4578" t="s">
        <v>918</v>
      </c>
      <c r="B108" s="4579" t="s">
        <v>761</v>
      </c>
      <c r="C108" s="4580" t="s">
        <v>884</v>
      </c>
      <c r="D108" s="4581" t="s">
        <v>435</v>
      </c>
      <c r="E108" s="4582" t="s">
        <v>829</v>
      </c>
      <c r="F108" s="4583" t="n">
        <v>-90.0</v>
      </c>
      <c r="G108" s="4584" t="s">
        <v>434</v>
      </c>
      <c r="H108" s="4585" t="n">
        <v>90.0</v>
      </c>
      <c r="I108" s="4586" t="s">
        <v>434</v>
      </c>
      <c r="J108" s="4587" t="s">
        <v>891</v>
      </c>
      <c r="K108" s="4588" t="s">
        <v>479</v>
      </c>
      <c r="L108" s="4589" t="s">
        <v>433</v>
      </c>
      <c r="M108" s="4590" t="s">
        <v>433</v>
      </c>
      <c r="N108" s="4591" t="s">
        <v>433</v>
      </c>
      <c r="O108" s="4592" t="s">
        <v>833</v>
      </c>
      <c r="P108" s="4593" t="s">
        <v>433</v>
      </c>
    </row>
    <row r="109">
      <c r="A109" s="4594" t="s">
        <v>918</v>
      </c>
      <c r="B109" s="4595" t="s">
        <v>639</v>
      </c>
      <c r="C109" s="4596" t="s">
        <v>860</v>
      </c>
      <c r="D109" s="4597" t="s">
        <v>435</v>
      </c>
      <c r="E109" s="4598" t="s">
        <v>829</v>
      </c>
      <c r="F109" s="4599" t="n">
        <v>550.0</v>
      </c>
      <c r="G109" s="4600" t="s">
        <v>434</v>
      </c>
      <c r="H109" s="4601" t="n">
        <v>550.0</v>
      </c>
      <c r="I109" s="4602" t="s">
        <v>434</v>
      </c>
      <c r="J109" s="4603" t="s">
        <v>891</v>
      </c>
      <c r="K109" s="4604" t="s">
        <v>762</v>
      </c>
      <c r="L109" s="4605" t="s">
        <v>433</v>
      </c>
      <c r="M109" s="4606" t="s">
        <v>433</v>
      </c>
      <c r="N109" s="4607" t="s">
        <v>433</v>
      </c>
      <c r="O109" s="4608" t="s">
        <v>833</v>
      </c>
      <c r="P109" s="4609" t="s">
        <v>433</v>
      </c>
    </row>
    <row r="110">
      <c r="A110" s="4610" t="s">
        <v>918</v>
      </c>
      <c r="B110" s="4611" t="s">
        <v>439</v>
      </c>
      <c r="C110" s="4612" t="s">
        <v>828</v>
      </c>
      <c r="D110" s="4613" t="s">
        <v>435</v>
      </c>
      <c r="E110" s="4614" t="s">
        <v>829</v>
      </c>
      <c r="F110" s="4615" t="n">
        <v>74.55</v>
      </c>
      <c r="G110" s="4616" t="s">
        <v>434</v>
      </c>
      <c r="H110" s="4617" t="n">
        <v>74.55</v>
      </c>
      <c r="I110" s="4618" t="s">
        <v>434</v>
      </c>
      <c r="J110" s="4619" t="s">
        <v>891</v>
      </c>
      <c r="K110" s="4620" t="s">
        <v>433</v>
      </c>
      <c r="L110" s="4621" t="s">
        <v>433</v>
      </c>
      <c r="M110" s="4622" t="s">
        <v>433</v>
      </c>
      <c r="N110" s="4623" t="s">
        <v>433</v>
      </c>
      <c r="O110" s="4624" t="s">
        <v>833</v>
      </c>
      <c r="P110" s="4625" t="s">
        <v>433</v>
      </c>
    </row>
    <row r="111">
      <c r="A111" s="4626" t="s">
        <v>918</v>
      </c>
      <c r="B111" s="4627" t="s">
        <v>439</v>
      </c>
      <c r="C111" s="4628" t="s">
        <v>828</v>
      </c>
      <c r="D111" s="4629" t="s">
        <v>435</v>
      </c>
      <c r="E111" s="4630" t="s">
        <v>829</v>
      </c>
      <c r="F111" s="4631" t="n">
        <v>114.56</v>
      </c>
      <c r="G111" s="4632" t="s">
        <v>434</v>
      </c>
      <c r="H111" s="4633" t="n">
        <v>114.56</v>
      </c>
      <c r="I111" s="4634" t="s">
        <v>434</v>
      </c>
      <c r="J111" s="4635" t="s">
        <v>891</v>
      </c>
      <c r="K111" s="4636" t="s">
        <v>433</v>
      </c>
      <c r="L111" s="4637" t="s">
        <v>433</v>
      </c>
      <c r="M111" s="4638" t="s">
        <v>433</v>
      </c>
      <c r="N111" s="4639" t="s">
        <v>433</v>
      </c>
      <c r="O111" s="4640" t="s">
        <v>833</v>
      </c>
      <c r="P111" s="4641" t="s">
        <v>433</v>
      </c>
    </row>
    <row r="112">
      <c r="A112" s="4642" t="s">
        <v>919</v>
      </c>
      <c r="B112" s="4643" t="s">
        <v>439</v>
      </c>
      <c r="C112" s="4644" t="s">
        <v>828</v>
      </c>
      <c r="D112" s="4645" t="s">
        <v>435</v>
      </c>
      <c r="E112" s="4646" t="s">
        <v>829</v>
      </c>
      <c r="F112" s="4647" t="n">
        <v>106.05</v>
      </c>
      <c r="G112" s="4648" t="s">
        <v>434</v>
      </c>
      <c r="H112" s="4649" t="n">
        <v>106.05</v>
      </c>
      <c r="I112" s="4650" t="s">
        <v>434</v>
      </c>
      <c r="J112" s="4651" t="s">
        <v>891</v>
      </c>
      <c r="K112" s="4652" t="s">
        <v>433</v>
      </c>
      <c r="L112" s="4653" t="s">
        <v>433</v>
      </c>
      <c r="M112" s="4654" t="s">
        <v>433</v>
      </c>
      <c r="N112" s="4655" t="s">
        <v>433</v>
      </c>
      <c r="O112" s="4656" t="s">
        <v>833</v>
      </c>
      <c r="P112" s="4657" t="s">
        <v>433</v>
      </c>
    </row>
    <row r="113">
      <c r="A113" s="4658" t="s">
        <v>920</v>
      </c>
      <c r="B113" s="4659" t="s">
        <v>460</v>
      </c>
      <c r="C113" s="4660" t="s">
        <v>841</v>
      </c>
      <c r="D113" s="4661" t="s">
        <v>435</v>
      </c>
      <c r="E113" s="4662" t="s">
        <v>829</v>
      </c>
      <c r="F113" s="4663" t="n">
        <v>300.07</v>
      </c>
      <c r="G113" s="4664" t="s">
        <v>434</v>
      </c>
      <c r="H113" s="4665" t="n">
        <v>300.07</v>
      </c>
      <c r="I113" s="4666" t="s">
        <v>434</v>
      </c>
      <c r="J113" s="4667" t="s">
        <v>891</v>
      </c>
      <c r="K113" s="4668" t="s">
        <v>433</v>
      </c>
      <c r="L113" s="4669" t="s">
        <v>433</v>
      </c>
      <c r="M113" s="4670" t="s">
        <v>433</v>
      </c>
      <c r="N113" s="4671" t="s">
        <v>433</v>
      </c>
      <c r="O113" s="4672" t="s">
        <v>833</v>
      </c>
      <c r="P113" s="4673" t="s">
        <v>433</v>
      </c>
    </row>
    <row r="114">
      <c r="A114" s="4674" t="s">
        <v>921</v>
      </c>
      <c r="B114" s="4675" t="s">
        <v>537</v>
      </c>
      <c r="C114" s="4676" t="s">
        <v>836</v>
      </c>
      <c r="D114" s="4677" t="s">
        <v>435</v>
      </c>
      <c r="E114" s="4678" t="s">
        <v>829</v>
      </c>
      <c r="F114" s="4679" t="n">
        <v>120.0</v>
      </c>
      <c r="G114" s="4680" t="s">
        <v>434</v>
      </c>
      <c r="H114" s="4681" t="n">
        <v>120.0</v>
      </c>
      <c r="I114" s="4682" t="s">
        <v>434</v>
      </c>
      <c r="J114" s="4683" t="s">
        <v>891</v>
      </c>
      <c r="K114" s="4684" t="s">
        <v>437</v>
      </c>
      <c r="L114" s="4685" t="s">
        <v>433</v>
      </c>
      <c r="M114" s="4686" t="s">
        <v>433</v>
      </c>
      <c r="N114" s="4687" t="s">
        <v>433</v>
      </c>
      <c r="O114" s="4688" t="s">
        <v>833</v>
      </c>
      <c r="P114" s="4689" t="s">
        <v>433</v>
      </c>
    </row>
    <row r="115">
      <c r="A115" s="4690" t="s">
        <v>921</v>
      </c>
      <c r="B115" s="4691" t="s">
        <v>766</v>
      </c>
      <c r="C115" s="4692" t="s">
        <v>838</v>
      </c>
      <c r="D115" s="4693" t="s">
        <v>435</v>
      </c>
      <c r="E115" s="4694" t="s">
        <v>829</v>
      </c>
      <c r="F115" s="4695" t="n">
        <v>96.2</v>
      </c>
      <c r="G115" s="4696" t="s">
        <v>434</v>
      </c>
      <c r="H115" s="4697" t="n">
        <v>96.2</v>
      </c>
      <c r="I115" s="4698" t="s">
        <v>434</v>
      </c>
      <c r="J115" s="4699" t="s">
        <v>891</v>
      </c>
      <c r="K115" s="4700" t="s">
        <v>433</v>
      </c>
      <c r="L115" s="4701" t="s">
        <v>433</v>
      </c>
      <c r="M115" s="4702" t="s">
        <v>433</v>
      </c>
      <c r="N115" s="4703" t="s">
        <v>433</v>
      </c>
      <c r="O115" s="4704" t="s">
        <v>433</v>
      </c>
      <c r="P115" s="4705" t="s">
        <v>433</v>
      </c>
    </row>
    <row r="116">
      <c r="A116" s="4706" t="s">
        <v>922</v>
      </c>
      <c r="B116" s="4707" t="s">
        <v>541</v>
      </c>
      <c r="C116" s="4708" t="s">
        <v>841</v>
      </c>
      <c r="D116" s="4709" t="s">
        <v>435</v>
      </c>
      <c r="E116" s="4710" t="s">
        <v>829</v>
      </c>
      <c r="F116" s="4711" t="n">
        <v>217.14</v>
      </c>
      <c r="G116" s="4712" t="s">
        <v>434</v>
      </c>
      <c r="H116" s="4713" t="n">
        <v>217.14</v>
      </c>
      <c r="I116" s="4714" t="s">
        <v>434</v>
      </c>
      <c r="J116" s="4715" t="s">
        <v>891</v>
      </c>
      <c r="K116" s="4716" t="s">
        <v>437</v>
      </c>
      <c r="L116" s="4717" t="s">
        <v>433</v>
      </c>
      <c r="M116" s="4718" t="s">
        <v>433</v>
      </c>
      <c r="N116" s="4719" t="s">
        <v>433</v>
      </c>
      <c r="O116" s="4720" t="s">
        <v>833</v>
      </c>
      <c r="P116" s="4721" t="s">
        <v>433</v>
      </c>
    </row>
    <row r="117">
      <c r="A117" s="4722" t="s">
        <v>922</v>
      </c>
      <c r="B117" s="4723" t="s">
        <v>627</v>
      </c>
      <c r="C117" s="4724" t="s">
        <v>836</v>
      </c>
      <c r="D117" s="4725" t="s">
        <v>435</v>
      </c>
      <c r="E117" s="4726" t="s">
        <v>829</v>
      </c>
      <c r="F117" s="4727" t="n">
        <v>105.0</v>
      </c>
      <c r="G117" s="4728" t="s">
        <v>434</v>
      </c>
      <c r="H117" s="4729" t="n">
        <v>105.0</v>
      </c>
      <c r="I117" s="4730" t="s">
        <v>434</v>
      </c>
      <c r="J117" s="4731" t="s">
        <v>891</v>
      </c>
      <c r="K117" s="4732" t="s">
        <v>433</v>
      </c>
      <c r="L117" s="4733" t="s">
        <v>433</v>
      </c>
      <c r="M117" s="4734" t="s">
        <v>433</v>
      </c>
      <c r="N117" s="4735" t="s">
        <v>433</v>
      </c>
      <c r="O117" s="4736" t="s">
        <v>833</v>
      </c>
      <c r="P117" s="4737" t="s">
        <v>433</v>
      </c>
    </row>
    <row r="118">
      <c r="A118" s="4738" t="s">
        <v>922</v>
      </c>
      <c r="B118" s="4739" t="s">
        <v>494</v>
      </c>
      <c r="C118" s="4740" t="s">
        <v>828</v>
      </c>
      <c r="D118" s="4741" t="s">
        <v>435</v>
      </c>
      <c r="E118" s="4742" t="s">
        <v>829</v>
      </c>
      <c r="F118" s="4743" t="n">
        <v>18.0</v>
      </c>
      <c r="G118" s="4744" t="s">
        <v>434</v>
      </c>
      <c r="H118" s="4745" t="n">
        <v>18.0</v>
      </c>
      <c r="I118" s="4746" t="s">
        <v>434</v>
      </c>
      <c r="J118" s="4747" t="s">
        <v>891</v>
      </c>
      <c r="K118" s="4748" t="s">
        <v>433</v>
      </c>
      <c r="L118" s="4749" t="s">
        <v>433</v>
      </c>
      <c r="M118" s="4750" t="s">
        <v>433</v>
      </c>
      <c r="N118" s="4751" t="s">
        <v>433</v>
      </c>
      <c r="O118" s="4752" t="s">
        <v>831</v>
      </c>
      <c r="P118" s="4753" t="s">
        <v>433</v>
      </c>
    </row>
    <row r="119">
      <c r="A119" s="4754" t="s">
        <v>922</v>
      </c>
      <c r="B119" s="4755" t="s">
        <v>495</v>
      </c>
      <c r="C119" s="4756" t="s">
        <v>841</v>
      </c>
      <c r="D119" s="4757" t="s">
        <v>435</v>
      </c>
      <c r="E119" s="4758" t="s">
        <v>829</v>
      </c>
      <c r="F119" s="4759" t="n">
        <v>33.9</v>
      </c>
      <c r="G119" s="4760" t="s">
        <v>434</v>
      </c>
      <c r="H119" s="4761" t="n">
        <v>33.9</v>
      </c>
      <c r="I119" s="4762" t="s">
        <v>434</v>
      </c>
      <c r="J119" s="4763" t="s">
        <v>891</v>
      </c>
      <c r="K119" s="4764" t="s">
        <v>433</v>
      </c>
      <c r="L119" s="4765" t="s">
        <v>433</v>
      </c>
      <c r="M119" s="4766" t="s">
        <v>433</v>
      </c>
      <c r="N119" s="4767" t="s">
        <v>433</v>
      </c>
      <c r="O119" s="4768" t="s">
        <v>433</v>
      </c>
      <c r="P119" s="4769" t="s">
        <v>433</v>
      </c>
    </row>
    <row r="120">
      <c r="A120" s="4770" t="s">
        <v>922</v>
      </c>
      <c r="B120" s="4771" t="s">
        <v>440</v>
      </c>
      <c r="C120" s="4772" t="s">
        <v>836</v>
      </c>
      <c r="D120" s="4773" t="s">
        <v>435</v>
      </c>
      <c r="E120" s="4774" t="s">
        <v>829</v>
      </c>
      <c r="F120" s="4775" t="n">
        <v>37.5</v>
      </c>
      <c r="G120" s="4776" t="s">
        <v>434</v>
      </c>
      <c r="H120" s="4777" t="n">
        <v>37.5</v>
      </c>
      <c r="I120" s="4778" t="s">
        <v>434</v>
      </c>
      <c r="J120" s="4779" t="s">
        <v>891</v>
      </c>
      <c r="K120" s="4780" t="s">
        <v>433</v>
      </c>
      <c r="L120" s="4781" t="s">
        <v>433</v>
      </c>
      <c r="M120" s="4782" t="s">
        <v>433</v>
      </c>
      <c r="N120" s="4783" t="s">
        <v>433</v>
      </c>
      <c r="O120" s="4784" t="s">
        <v>833</v>
      </c>
      <c r="P120" s="4785" t="s">
        <v>433</v>
      </c>
    </row>
    <row r="121">
      <c r="A121" s="4786" t="s">
        <v>922</v>
      </c>
      <c r="B121" s="4787" t="s">
        <v>441</v>
      </c>
      <c r="C121" s="4788" t="s">
        <v>836</v>
      </c>
      <c r="D121" s="4789" t="s">
        <v>435</v>
      </c>
      <c r="E121" s="4790" t="s">
        <v>829</v>
      </c>
      <c r="F121" s="4791" t="n">
        <v>18.0</v>
      </c>
      <c r="G121" s="4792" t="s">
        <v>434</v>
      </c>
      <c r="H121" s="4793" t="n">
        <v>18.0</v>
      </c>
      <c r="I121" s="4794" t="s">
        <v>434</v>
      </c>
      <c r="J121" s="4795" t="s">
        <v>891</v>
      </c>
      <c r="K121" s="4796" t="s">
        <v>433</v>
      </c>
      <c r="L121" s="4797" t="s">
        <v>433</v>
      </c>
      <c r="M121" s="4798" t="s">
        <v>433</v>
      </c>
      <c r="N121" s="4799" t="s">
        <v>433</v>
      </c>
      <c r="O121" s="4800" t="s">
        <v>835</v>
      </c>
      <c r="P121" s="4801" t="s">
        <v>433</v>
      </c>
    </row>
    <row r="122">
      <c r="A122" s="4802" t="s">
        <v>922</v>
      </c>
      <c r="B122" s="4803" t="s">
        <v>458</v>
      </c>
      <c r="C122" s="4804" t="s">
        <v>828</v>
      </c>
      <c r="D122" s="4805" t="s">
        <v>435</v>
      </c>
      <c r="E122" s="4806" t="s">
        <v>829</v>
      </c>
      <c r="F122" s="4807" t="n">
        <v>3.0</v>
      </c>
      <c r="G122" s="4808" t="s">
        <v>434</v>
      </c>
      <c r="H122" s="4809" t="n">
        <v>3.0</v>
      </c>
      <c r="I122" s="4810" t="s">
        <v>434</v>
      </c>
      <c r="J122" s="4811" t="s">
        <v>891</v>
      </c>
      <c r="K122" s="4812" t="s">
        <v>433</v>
      </c>
      <c r="L122" s="4813" t="s">
        <v>433</v>
      </c>
      <c r="M122" s="4814" t="s">
        <v>433</v>
      </c>
      <c r="N122" s="4815" t="s">
        <v>433</v>
      </c>
      <c r="O122" s="4816" t="s">
        <v>835</v>
      </c>
      <c r="P122" s="4817" t="s">
        <v>433</v>
      </c>
    </row>
    <row r="123">
      <c r="A123" s="4818" t="s">
        <v>922</v>
      </c>
      <c r="B123" s="4819" t="s">
        <v>676</v>
      </c>
      <c r="C123" s="4820" t="s">
        <v>870</v>
      </c>
      <c r="D123" s="4821" t="s">
        <v>435</v>
      </c>
      <c r="E123" s="4822" t="s">
        <v>829</v>
      </c>
      <c r="F123" s="4823" t="n">
        <v>18.0</v>
      </c>
      <c r="G123" s="4824" t="s">
        <v>434</v>
      </c>
      <c r="H123" s="4825" t="n">
        <v>18.0</v>
      </c>
      <c r="I123" s="4826" t="s">
        <v>434</v>
      </c>
      <c r="J123" s="4827" t="s">
        <v>891</v>
      </c>
      <c r="K123" s="4828" t="s">
        <v>433</v>
      </c>
      <c r="L123" s="4829" t="s">
        <v>433</v>
      </c>
      <c r="M123" s="4830" t="s">
        <v>433</v>
      </c>
      <c r="N123" s="4831" t="s">
        <v>433</v>
      </c>
      <c r="O123" s="4832" t="s">
        <v>833</v>
      </c>
      <c r="P123" s="4833" t="s">
        <v>433</v>
      </c>
    </row>
    <row r="124">
      <c r="A124" s="4834" t="s">
        <v>922</v>
      </c>
      <c r="B124" s="4835" t="s">
        <v>676</v>
      </c>
      <c r="C124" s="4836" t="s">
        <v>870</v>
      </c>
      <c r="D124" s="4837" t="s">
        <v>435</v>
      </c>
      <c r="E124" s="4838" t="s">
        <v>829</v>
      </c>
      <c r="F124" s="4839" t="n">
        <v>39.0</v>
      </c>
      <c r="G124" s="4840" t="s">
        <v>434</v>
      </c>
      <c r="H124" s="4841" t="n">
        <v>39.0</v>
      </c>
      <c r="I124" s="4842" t="s">
        <v>434</v>
      </c>
      <c r="J124" s="4843" t="s">
        <v>891</v>
      </c>
      <c r="K124" s="4844" t="s">
        <v>433</v>
      </c>
      <c r="L124" s="4845" t="s">
        <v>433</v>
      </c>
      <c r="M124" s="4846" t="s">
        <v>433</v>
      </c>
      <c r="N124" s="4847" t="s">
        <v>433</v>
      </c>
      <c r="O124" s="4848" t="s">
        <v>833</v>
      </c>
      <c r="P124" s="4849" t="s">
        <v>433</v>
      </c>
    </row>
    <row r="125">
      <c r="A125" s="4850" t="s">
        <v>923</v>
      </c>
      <c r="B125" s="4851" t="s">
        <v>456</v>
      </c>
      <c r="C125" s="4852" t="s">
        <v>836</v>
      </c>
      <c r="D125" s="4853" t="s">
        <v>435</v>
      </c>
      <c r="E125" s="4854" t="s">
        <v>829</v>
      </c>
      <c r="F125" s="4855" t="n">
        <v>50.0</v>
      </c>
      <c r="G125" s="4856" t="s">
        <v>434</v>
      </c>
      <c r="H125" s="4857" t="n">
        <v>50.0</v>
      </c>
      <c r="I125" s="4858" t="s">
        <v>434</v>
      </c>
      <c r="J125" s="4859" t="s">
        <v>891</v>
      </c>
      <c r="K125" s="4860" t="s">
        <v>433</v>
      </c>
      <c r="L125" s="4861" t="s">
        <v>433</v>
      </c>
      <c r="M125" s="4862" t="s">
        <v>433</v>
      </c>
      <c r="N125" s="4863" t="s">
        <v>433</v>
      </c>
      <c r="O125" s="4864" t="s">
        <v>833</v>
      </c>
      <c r="P125" s="4865" t="s">
        <v>433</v>
      </c>
    </row>
    <row r="126">
      <c r="A126" s="4866" t="s">
        <v>923</v>
      </c>
      <c r="B126" s="4867" t="s">
        <v>589</v>
      </c>
      <c r="C126" s="4868" t="s">
        <v>828</v>
      </c>
      <c r="D126" s="4869" t="s">
        <v>435</v>
      </c>
      <c r="E126" s="4870" t="s">
        <v>829</v>
      </c>
      <c r="F126" s="4871" t="n">
        <v>11.6</v>
      </c>
      <c r="G126" s="4872" t="s">
        <v>434</v>
      </c>
      <c r="H126" s="4873" t="n">
        <v>11.6</v>
      </c>
      <c r="I126" s="4874" t="s">
        <v>434</v>
      </c>
      <c r="J126" s="4875" t="s">
        <v>891</v>
      </c>
      <c r="K126" s="4876" t="s">
        <v>433</v>
      </c>
      <c r="L126" s="4877" t="s">
        <v>433</v>
      </c>
      <c r="M126" s="4878" t="s">
        <v>433</v>
      </c>
      <c r="N126" s="4879" t="s">
        <v>433</v>
      </c>
      <c r="O126" s="4880" t="s">
        <v>835</v>
      </c>
      <c r="P126" s="4881" t="s">
        <v>433</v>
      </c>
    </row>
    <row r="127">
      <c r="A127" s="4882" t="s">
        <v>923</v>
      </c>
      <c r="B127" s="4883" t="s">
        <v>627</v>
      </c>
      <c r="C127" s="4884" t="s">
        <v>836</v>
      </c>
      <c r="D127" s="4885" t="s">
        <v>435</v>
      </c>
      <c r="E127" s="4886" t="s">
        <v>829</v>
      </c>
      <c r="F127" s="4887" t="n">
        <v>75.0</v>
      </c>
      <c r="G127" s="4888" t="s">
        <v>434</v>
      </c>
      <c r="H127" s="4889" t="n">
        <v>75.0</v>
      </c>
      <c r="I127" s="4890" t="s">
        <v>434</v>
      </c>
      <c r="J127" s="4891" t="s">
        <v>891</v>
      </c>
      <c r="K127" s="4892" t="s">
        <v>433</v>
      </c>
      <c r="L127" s="4893" t="s">
        <v>433</v>
      </c>
      <c r="M127" s="4894" t="s">
        <v>433</v>
      </c>
      <c r="N127" s="4895" t="s">
        <v>433</v>
      </c>
      <c r="O127" s="4896" t="s">
        <v>833</v>
      </c>
      <c r="P127" s="4897" t="s">
        <v>433</v>
      </c>
    </row>
    <row r="128">
      <c r="A128" s="4898" t="s">
        <v>923</v>
      </c>
      <c r="B128" s="4899" t="s">
        <v>635</v>
      </c>
      <c r="C128" s="4900" t="s">
        <v>873</v>
      </c>
      <c r="D128" s="4901" t="s">
        <v>435</v>
      </c>
      <c r="E128" s="4902" t="s">
        <v>829</v>
      </c>
      <c r="F128" s="4903" t="n">
        <v>237.0</v>
      </c>
      <c r="G128" s="4904" t="s">
        <v>434</v>
      </c>
      <c r="H128" s="4905" t="n">
        <v>237.0</v>
      </c>
      <c r="I128" s="4906" t="s">
        <v>434</v>
      </c>
      <c r="J128" s="4907" t="s">
        <v>891</v>
      </c>
      <c r="K128" s="4908" t="s">
        <v>437</v>
      </c>
      <c r="L128" s="4909" t="s">
        <v>433</v>
      </c>
      <c r="M128" s="4910" t="s">
        <v>433</v>
      </c>
      <c r="N128" s="4911" t="s">
        <v>433</v>
      </c>
      <c r="O128" s="4912" t="s">
        <v>833</v>
      </c>
      <c r="P128" s="4913" t="s">
        <v>433</v>
      </c>
    </row>
    <row r="129">
      <c r="A129" s="4914" t="s">
        <v>923</v>
      </c>
      <c r="B129" s="4915" t="s">
        <v>639</v>
      </c>
      <c r="C129" s="4916" t="s">
        <v>860</v>
      </c>
      <c r="D129" s="4917" t="s">
        <v>435</v>
      </c>
      <c r="E129" s="4918" t="s">
        <v>829</v>
      </c>
      <c r="F129" s="4919" t="n">
        <v>260.0</v>
      </c>
      <c r="G129" s="4920" t="s">
        <v>434</v>
      </c>
      <c r="H129" s="4921" t="n">
        <v>260.0</v>
      </c>
      <c r="I129" s="4922" t="s">
        <v>434</v>
      </c>
      <c r="J129" s="4923" t="s">
        <v>891</v>
      </c>
      <c r="K129" s="4924" t="s">
        <v>640</v>
      </c>
      <c r="L129" s="4925" t="s">
        <v>433</v>
      </c>
      <c r="M129" s="4926" t="s">
        <v>433</v>
      </c>
      <c r="N129" s="4927" t="s">
        <v>433</v>
      </c>
      <c r="O129" s="4928" t="s">
        <v>833</v>
      </c>
      <c r="P129" s="4929" t="s">
        <v>433</v>
      </c>
    </row>
    <row r="130">
      <c r="A130" s="4930" t="s">
        <v>923</v>
      </c>
      <c r="B130" s="4931" t="s">
        <v>441</v>
      </c>
      <c r="C130" s="4932" t="s">
        <v>836</v>
      </c>
      <c r="D130" s="4933" t="s">
        <v>435</v>
      </c>
      <c r="E130" s="4934" t="s">
        <v>829</v>
      </c>
      <c r="F130" s="4935" t="n">
        <v>15.0</v>
      </c>
      <c r="G130" s="4936" t="s">
        <v>434</v>
      </c>
      <c r="H130" s="4937" t="n">
        <v>15.0</v>
      </c>
      <c r="I130" s="4938" t="s">
        <v>434</v>
      </c>
      <c r="J130" s="4939" t="s">
        <v>891</v>
      </c>
      <c r="K130" s="4940" t="s">
        <v>433</v>
      </c>
      <c r="L130" s="4941" t="s">
        <v>433</v>
      </c>
      <c r="M130" s="4942" t="s">
        <v>433</v>
      </c>
      <c r="N130" s="4943" t="s">
        <v>433</v>
      </c>
      <c r="O130" s="4944" t="s">
        <v>835</v>
      </c>
      <c r="P130" s="4945" t="s">
        <v>433</v>
      </c>
    </row>
    <row r="131">
      <c r="A131" s="4946" t="s">
        <v>924</v>
      </c>
      <c r="B131" s="4947" t="s">
        <v>770</v>
      </c>
      <c r="C131" s="4948" t="s">
        <v>838</v>
      </c>
      <c r="D131" s="4949" t="s">
        <v>435</v>
      </c>
      <c r="E131" s="4950" t="s">
        <v>829</v>
      </c>
      <c r="F131" s="4951" t="n">
        <v>54.27</v>
      </c>
      <c r="G131" s="4952" t="s">
        <v>434</v>
      </c>
      <c r="H131" s="4953" t="n">
        <v>54.27</v>
      </c>
      <c r="I131" s="4954" t="s">
        <v>434</v>
      </c>
      <c r="J131" s="4955" t="s">
        <v>891</v>
      </c>
      <c r="K131" s="4956" t="s">
        <v>437</v>
      </c>
      <c r="L131" s="4957" t="s">
        <v>433</v>
      </c>
      <c r="M131" s="4958" t="s">
        <v>433</v>
      </c>
      <c r="N131" s="4959" t="s">
        <v>433</v>
      </c>
      <c r="O131" s="4960" t="s">
        <v>833</v>
      </c>
      <c r="P131" s="4961" t="s">
        <v>433</v>
      </c>
    </row>
    <row r="132">
      <c r="A132" s="4962" t="s">
        <v>924</v>
      </c>
      <c r="B132" s="4963" t="s">
        <v>771</v>
      </c>
      <c r="C132" s="4964" t="s">
        <v>838</v>
      </c>
      <c r="D132" s="4965" t="s">
        <v>435</v>
      </c>
      <c r="E132" s="4966" t="s">
        <v>829</v>
      </c>
      <c r="F132" s="4967" t="n">
        <v>63.25</v>
      </c>
      <c r="G132" s="4968" t="s">
        <v>434</v>
      </c>
      <c r="H132" s="4969" t="n">
        <v>63.25</v>
      </c>
      <c r="I132" s="4970" t="s">
        <v>434</v>
      </c>
      <c r="J132" s="4971" t="s">
        <v>891</v>
      </c>
      <c r="K132" s="4972" t="s">
        <v>433</v>
      </c>
      <c r="L132" s="4973" t="s">
        <v>433</v>
      </c>
      <c r="M132" s="4974" t="s">
        <v>433</v>
      </c>
      <c r="N132" s="4975" t="s">
        <v>433</v>
      </c>
      <c r="O132" s="4976" t="s">
        <v>833</v>
      </c>
      <c r="P132" s="4977" t="s">
        <v>433</v>
      </c>
    </row>
    <row r="133">
      <c r="A133" s="4978" t="s">
        <v>924</v>
      </c>
      <c r="B133" s="4979" t="s">
        <v>772</v>
      </c>
      <c r="C133" s="4980" t="s">
        <v>828</v>
      </c>
      <c r="D133" s="4981" t="s">
        <v>435</v>
      </c>
      <c r="E133" s="4982" t="s">
        <v>829</v>
      </c>
      <c r="F133" s="4983" t="n">
        <v>13.0</v>
      </c>
      <c r="G133" s="4984" t="s">
        <v>434</v>
      </c>
      <c r="H133" s="4985" t="n">
        <v>13.0</v>
      </c>
      <c r="I133" s="4986" t="s">
        <v>434</v>
      </c>
      <c r="J133" s="4987" t="s">
        <v>891</v>
      </c>
      <c r="K133" s="4988" t="s">
        <v>433</v>
      </c>
      <c r="L133" s="4989" t="s">
        <v>433</v>
      </c>
      <c r="M133" s="4990" t="s">
        <v>433</v>
      </c>
      <c r="N133" s="4991" t="s">
        <v>433</v>
      </c>
      <c r="O133" s="4992" t="s">
        <v>433</v>
      </c>
      <c r="P133" s="4993" t="s">
        <v>433</v>
      </c>
    </row>
    <row r="134">
      <c r="A134" s="4994" t="s">
        <v>924</v>
      </c>
      <c r="B134" s="4995" t="s">
        <v>773</v>
      </c>
      <c r="C134" s="4996" t="s">
        <v>828</v>
      </c>
      <c r="D134" s="4997" t="s">
        <v>435</v>
      </c>
      <c r="E134" s="4998" t="s">
        <v>829</v>
      </c>
      <c r="F134" s="4999" t="n">
        <v>123.0</v>
      </c>
      <c r="G134" s="5000" t="s">
        <v>434</v>
      </c>
      <c r="H134" s="5001" t="n">
        <v>123.0</v>
      </c>
      <c r="I134" s="5002" t="s">
        <v>434</v>
      </c>
      <c r="J134" s="5003" t="s">
        <v>891</v>
      </c>
      <c r="K134" s="5004" t="s">
        <v>433</v>
      </c>
      <c r="L134" s="5005" t="s">
        <v>433</v>
      </c>
      <c r="M134" s="5006" t="s">
        <v>433</v>
      </c>
      <c r="N134" s="5007" t="s">
        <v>433</v>
      </c>
      <c r="O134" s="5008" t="s">
        <v>433</v>
      </c>
      <c r="P134" s="5009" t="s">
        <v>433</v>
      </c>
    </row>
    <row r="135">
      <c r="A135" s="5010" t="s">
        <v>924</v>
      </c>
      <c r="B135" s="5011" t="s">
        <v>439</v>
      </c>
      <c r="C135" s="5012" t="s">
        <v>828</v>
      </c>
      <c r="D135" s="5013" t="s">
        <v>435</v>
      </c>
      <c r="E135" s="5014" t="s">
        <v>829</v>
      </c>
      <c r="F135" s="5015" t="n">
        <v>94.5</v>
      </c>
      <c r="G135" s="5016" t="s">
        <v>434</v>
      </c>
      <c r="H135" s="5017" t="n">
        <v>94.5</v>
      </c>
      <c r="I135" s="5018" t="s">
        <v>434</v>
      </c>
      <c r="J135" s="5019" t="s">
        <v>891</v>
      </c>
      <c r="K135" s="5020" t="s">
        <v>433</v>
      </c>
      <c r="L135" s="5021" t="s">
        <v>433</v>
      </c>
      <c r="M135" s="5022" t="s">
        <v>433</v>
      </c>
      <c r="N135" s="5023" t="s">
        <v>433</v>
      </c>
      <c r="O135" s="5024" t="s">
        <v>833</v>
      </c>
      <c r="P135" s="5025" t="s">
        <v>433</v>
      </c>
    </row>
    <row r="136">
      <c r="A136" s="5026" t="s">
        <v>924</v>
      </c>
      <c r="B136" s="5027" t="s">
        <v>439</v>
      </c>
      <c r="C136" s="5028" t="s">
        <v>828</v>
      </c>
      <c r="D136" s="5029" t="s">
        <v>435</v>
      </c>
      <c r="E136" s="5030" t="s">
        <v>829</v>
      </c>
      <c r="F136" s="5031" t="n">
        <v>115.9</v>
      </c>
      <c r="G136" s="5032" t="s">
        <v>434</v>
      </c>
      <c r="H136" s="5033" t="n">
        <v>115.9</v>
      </c>
      <c r="I136" s="5034" t="s">
        <v>434</v>
      </c>
      <c r="J136" s="5035" t="s">
        <v>891</v>
      </c>
      <c r="K136" s="5036" t="s">
        <v>433</v>
      </c>
      <c r="L136" s="5037" t="s">
        <v>433</v>
      </c>
      <c r="M136" s="5038" t="s">
        <v>433</v>
      </c>
      <c r="N136" s="5039" t="s">
        <v>433</v>
      </c>
      <c r="O136" s="5040" t="s">
        <v>833</v>
      </c>
      <c r="P136" s="5041" t="s">
        <v>433</v>
      </c>
    </row>
    <row r="137">
      <c r="A137" s="5042" t="s">
        <v>924</v>
      </c>
      <c r="B137" s="5043" t="s">
        <v>442</v>
      </c>
      <c r="C137" s="5044" t="s">
        <v>836</v>
      </c>
      <c r="D137" s="5045" t="s">
        <v>435</v>
      </c>
      <c r="E137" s="5046" t="s">
        <v>829</v>
      </c>
      <c r="F137" s="5047" t="n">
        <v>190.0</v>
      </c>
      <c r="G137" s="5048" t="s">
        <v>434</v>
      </c>
      <c r="H137" s="5049" t="n">
        <v>190.0</v>
      </c>
      <c r="I137" s="5050" t="s">
        <v>434</v>
      </c>
      <c r="J137" s="5051" t="s">
        <v>891</v>
      </c>
      <c r="K137" s="5052" t="s">
        <v>433</v>
      </c>
      <c r="L137" s="5053" t="s">
        <v>433</v>
      </c>
      <c r="M137" s="5054" t="s">
        <v>433</v>
      </c>
      <c r="N137" s="5055" t="s">
        <v>433</v>
      </c>
      <c r="O137" s="5056" t="s">
        <v>833</v>
      </c>
      <c r="P137" s="5057" t="s">
        <v>433</v>
      </c>
    </row>
    <row r="138">
      <c r="A138" s="5058" t="s">
        <v>881</v>
      </c>
    </row>
    <row r="139">
      <c r="A139" s="5059" t="s">
        <v>925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P10"/>
  <sheetViews>
    <sheetView workbookViewId="0" rightToLeft="true"/>
  </sheetViews>
  <sheetFormatPr defaultRowHeight="15.0"/>
  <sheetData>
    <row r="1">
      <c r="A1" s="5060" t="s">
        <v>809</v>
      </c>
      <c r="C1" s="5061" t="s">
        <v>433</v>
      </c>
    </row>
    <row r="2">
      <c r="A2" s="5062" t="s">
        <v>810</v>
      </c>
      <c r="C2" s="5063" t="s">
        <v>433</v>
      </c>
    </row>
    <row r="3">
      <c r="A3" s="5064" t="s">
        <v>890</v>
      </c>
      <c r="C3" s="5065" t="s">
        <v>433</v>
      </c>
    </row>
    <row r="4">
      <c r="A4" s="5066" t="s">
        <v>812</v>
      </c>
      <c r="B4" s="5067" t="s">
        <v>813</v>
      </c>
      <c r="C4" s="5068" t="s">
        <v>814</v>
      </c>
      <c r="D4" s="5069" t="s">
        <v>815</v>
      </c>
      <c r="E4" s="5070" t="s">
        <v>816</v>
      </c>
      <c r="F4" s="5071" t="s">
        <v>817</v>
      </c>
      <c r="G4" s="5072" t="s">
        <v>818</v>
      </c>
      <c r="H4" s="5073" t="s">
        <v>819</v>
      </c>
      <c r="I4" s="5074" t="s">
        <v>820</v>
      </c>
      <c r="J4" s="5075" t="s">
        <v>821</v>
      </c>
      <c r="K4" s="5076" t="s">
        <v>10</v>
      </c>
      <c r="L4" s="5077" t="s">
        <v>822</v>
      </c>
      <c r="M4" s="5078" t="s">
        <v>823</v>
      </c>
      <c r="N4" s="5079" t="s">
        <v>824</v>
      </c>
      <c r="O4" s="5080" t="s">
        <v>825</v>
      </c>
      <c r="P4" s="5081" t="s">
        <v>826</v>
      </c>
    </row>
    <row r="5">
      <c r="A5" s="5082" t="s">
        <v>897</v>
      </c>
      <c r="B5" s="5083" t="s">
        <v>581</v>
      </c>
      <c r="C5" s="5084" t="s">
        <v>845</v>
      </c>
      <c r="D5" s="5085" t="s">
        <v>435</v>
      </c>
      <c r="E5" s="5086" t="s">
        <v>883</v>
      </c>
      <c r="F5" s="5087" t="n">
        <v>69.9</v>
      </c>
      <c r="G5" s="5088" t="s">
        <v>434</v>
      </c>
      <c r="H5" s="5089" t="n">
        <v>69.9</v>
      </c>
      <c r="I5" s="5090" t="s">
        <v>434</v>
      </c>
      <c r="J5" s="5091" t="s">
        <v>899</v>
      </c>
      <c r="K5" s="5092" t="s">
        <v>464</v>
      </c>
      <c r="L5" s="5093" t="s">
        <v>433</v>
      </c>
      <c r="M5" s="5094" t="s">
        <v>433</v>
      </c>
      <c r="N5" s="5095" t="s">
        <v>433</v>
      </c>
      <c r="O5" s="5096" t="s">
        <v>835</v>
      </c>
      <c r="P5" s="5097" t="s">
        <v>433</v>
      </c>
    </row>
    <row r="6">
      <c r="A6" s="5098" t="s">
        <v>905</v>
      </c>
      <c r="B6" s="5099" t="s">
        <v>736</v>
      </c>
      <c r="C6" s="5100" t="s">
        <v>836</v>
      </c>
      <c r="D6" s="5101" t="s">
        <v>435</v>
      </c>
      <c r="E6" s="5102" t="s">
        <v>883</v>
      </c>
      <c r="F6" s="5103" t="n">
        <v>9.0</v>
      </c>
      <c r="G6" s="5104" t="s">
        <v>434</v>
      </c>
      <c r="H6" s="5105" t="n">
        <v>9.0</v>
      </c>
      <c r="I6" s="5106" t="s">
        <v>434</v>
      </c>
      <c r="J6" s="5107" t="s">
        <v>909</v>
      </c>
      <c r="K6" s="5108" t="s">
        <v>433</v>
      </c>
      <c r="L6" s="5109" t="s">
        <v>433</v>
      </c>
      <c r="M6" s="5110" t="s">
        <v>433</v>
      </c>
      <c r="N6" s="5111" t="s">
        <v>433</v>
      </c>
      <c r="O6" s="5112" t="s">
        <v>835</v>
      </c>
      <c r="P6" s="5113" t="s">
        <v>433</v>
      </c>
    </row>
    <row r="7">
      <c r="A7" s="5114" t="s">
        <v>914</v>
      </c>
      <c r="B7" s="5115" t="s">
        <v>523</v>
      </c>
      <c r="C7" s="5116" t="s">
        <v>836</v>
      </c>
      <c r="D7" s="5117" t="s">
        <v>435</v>
      </c>
      <c r="E7" s="5118" t="s">
        <v>883</v>
      </c>
      <c r="F7" s="5119" t="n">
        <v>3.9</v>
      </c>
      <c r="G7" s="5120" t="s">
        <v>434</v>
      </c>
      <c r="H7" s="5121" t="n">
        <v>3.9</v>
      </c>
      <c r="I7" s="5122" t="s">
        <v>434</v>
      </c>
      <c r="J7" s="5123" t="s">
        <v>915</v>
      </c>
      <c r="K7" s="5124" t="s">
        <v>464</v>
      </c>
      <c r="L7" s="5125" t="s">
        <v>433</v>
      </c>
      <c r="M7" s="5126" t="s">
        <v>433</v>
      </c>
      <c r="N7" s="5127" t="s">
        <v>433</v>
      </c>
      <c r="O7" s="5128" t="s">
        <v>835</v>
      </c>
      <c r="P7" s="5129" t="s">
        <v>433</v>
      </c>
    </row>
    <row r="8">
      <c r="A8" s="5130" t="s">
        <v>917</v>
      </c>
      <c r="B8" s="5131" t="s">
        <v>759</v>
      </c>
      <c r="C8" s="5132" t="s">
        <v>838</v>
      </c>
      <c r="D8" s="5133" t="s">
        <v>435</v>
      </c>
      <c r="E8" s="5134" t="s">
        <v>883</v>
      </c>
      <c r="F8" s="5135" t="n">
        <v>72.9</v>
      </c>
      <c r="G8" s="5136" t="s">
        <v>434</v>
      </c>
      <c r="H8" s="5137" t="n">
        <v>72.9</v>
      </c>
      <c r="I8" s="5138" t="s">
        <v>434</v>
      </c>
      <c r="J8" s="5139" t="s">
        <v>922</v>
      </c>
      <c r="K8" s="5140" t="s">
        <v>433</v>
      </c>
      <c r="L8" s="5141" t="s">
        <v>433</v>
      </c>
      <c r="M8" s="5142" t="s">
        <v>433</v>
      </c>
      <c r="N8" s="5143" t="s">
        <v>433</v>
      </c>
      <c r="O8" s="5144" t="s">
        <v>835</v>
      </c>
      <c r="P8" s="5145" t="s">
        <v>433</v>
      </c>
    </row>
    <row r="9">
      <c r="A9" s="5146" t="s">
        <v>881</v>
      </c>
    </row>
    <row r="10">
      <c r="A10" s="5147" t="s">
        <v>926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P11"/>
  <sheetViews>
    <sheetView workbookViewId="0" rightToLeft="true"/>
  </sheetViews>
  <sheetFormatPr defaultRowHeight="15.0"/>
  <sheetData>
    <row r="1">
      <c r="A1" s="5148" t="s">
        <v>809</v>
      </c>
      <c r="C1" s="5149" t="s">
        <v>433</v>
      </c>
    </row>
    <row r="2">
      <c r="A2" s="5150" t="s">
        <v>810</v>
      </c>
      <c r="C2" s="5151" t="s">
        <v>433</v>
      </c>
    </row>
    <row r="3">
      <c r="A3" s="5152" t="s">
        <v>890</v>
      </c>
      <c r="C3" s="5153" t="s">
        <v>433</v>
      </c>
    </row>
    <row r="4">
      <c r="A4" s="5154" t="s">
        <v>812</v>
      </c>
      <c r="B4" s="5155" t="s">
        <v>813</v>
      </c>
      <c r="C4" s="5156" t="s">
        <v>814</v>
      </c>
      <c r="D4" s="5157" t="s">
        <v>815</v>
      </c>
      <c r="E4" s="5158" t="s">
        <v>816</v>
      </c>
      <c r="F4" s="5159" t="s">
        <v>817</v>
      </c>
      <c r="G4" s="5160" t="s">
        <v>818</v>
      </c>
      <c r="H4" s="5161" t="s">
        <v>819</v>
      </c>
      <c r="I4" s="5162" t="s">
        <v>820</v>
      </c>
      <c r="J4" s="5163" t="s">
        <v>821</v>
      </c>
      <c r="K4" s="5164" t="s">
        <v>10</v>
      </c>
      <c r="L4" s="5165" t="s">
        <v>822</v>
      </c>
      <c r="M4" s="5166" t="s">
        <v>823</v>
      </c>
      <c r="N4" s="5167" t="s">
        <v>824</v>
      </c>
      <c r="O4" s="5168" t="s">
        <v>825</v>
      </c>
      <c r="P4" s="5169" t="s">
        <v>826</v>
      </c>
    </row>
    <row r="5">
      <c r="A5" s="5170" t="s">
        <v>897</v>
      </c>
      <c r="B5" s="5171" t="s">
        <v>720</v>
      </c>
      <c r="C5" s="5172" t="s">
        <v>887</v>
      </c>
      <c r="D5" s="5173" t="s">
        <v>435</v>
      </c>
      <c r="E5" s="5174" t="s">
        <v>883</v>
      </c>
      <c r="F5" s="5175" t="n">
        <v>157.9</v>
      </c>
      <c r="G5" s="5176" t="s">
        <v>434</v>
      </c>
      <c r="H5" s="5177" t="n">
        <v>157.9</v>
      </c>
      <c r="I5" s="5178" t="s">
        <v>434</v>
      </c>
      <c r="J5" s="5179" t="s">
        <v>900</v>
      </c>
      <c r="K5" s="5180" t="s">
        <v>433</v>
      </c>
      <c r="L5" s="5181" t="s">
        <v>433</v>
      </c>
      <c r="M5" s="5182" t="s">
        <v>433</v>
      </c>
      <c r="N5" s="5183" t="s">
        <v>433</v>
      </c>
      <c r="O5" s="5184" t="s">
        <v>888</v>
      </c>
      <c r="P5" s="5185" t="s">
        <v>433</v>
      </c>
    </row>
    <row r="6">
      <c r="A6" s="5186" t="s">
        <v>907</v>
      </c>
      <c r="B6" s="5187" t="s">
        <v>503</v>
      </c>
      <c r="C6" s="5188" t="s">
        <v>887</v>
      </c>
      <c r="D6" s="5189" t="s">
        <v>435</v>
      </c>
      <c r="E6" s="5190" t="s">
        <v>883</v>
      </c>
      <c r="F6" s="5191" t="n">
        <v>307.9</v>
      </c>
      <c r="G6" s="5192" t="s">
        <v>434</v>
      </c>
      <c r="H6" s="5193" t="n">
        <v>307.9</v>
      </c>
      <c r="I6" s="5194" t="s">
        <v>434</v>
      </c>
      <c r="J6" s="5195" t="s">
        <v>908</v>
      </c>
      <c r="K6" s="5196" t="s">
        <v>433</v>
      </c>
      <c r="L6" s="5197" t="s">
        <v>433</v>
      </c>
      <c r="M6" s="5198" t="s">
        <v>433</v>
      </c>
      <c r="N6" s="5199" t="s">
        <v>433</v>
      </c>
      <c r="O6" s="5200" t="s">
        <v>888</v>
      </c>
      <c r="P6" s="5201" t="s">
        <v>433</v>
      </c>
    </row>
    <row r="7">
      <c r="A7" s="5202" t="s">
        <v>910</v>
      </c>
      <c r="B7" s="5203" t="s">
        <v>526</v>
      </c>
      <c r="C7" s="5204" t="s">
        <v>887</v>
      </c>
      <c r="D7" s="5205" t="s">
        <v>435</v>
      </c>
      <c r="E7" s="5206" t="s">
        <v>883</v>
      </c>
      <c r="F7" s="5207" t="n">
        <v>56.95</v>
      </c>
      <c r="G7" s="5208" t="s">
        <v>434</v>
      </c>
      <c r="H7" s="5209" t="n">
        <v>56.95</v>
      </c>
      <c r="I7" s="5210" t="s">
        <v>434</v>
      </c>
      <c r="J7" s="5211" t="s">
        <v>911</v>
      </c>
      <c r="K7" s="5212" t="s">
        <v>433</v>
      </c>
      <c r="L7" s="5213" t="s">
        <v>433</v>
      </c>
      <c r="M7" s="5214" t="s">
        <v>433</v>
      </c>
      <c r="N7" s="5215" t="s">
        <v>433</v>
      </c>
      <c r="O7" s="5216" t="s">
        <v>888</v>
      </c>
      <c r="P7" s="5217" t="s">
        <v>433</v>
      </c>
    </row>
    <row r="8">
      <c r="A8" s="5218" t="s">
        <v>914</v>
      </c>
      <c r="B8" s="5219" t="s">
        <v>526</v>
      </c>
      <c r="C8" s="5220" t="s">
        <v>887</v>
      </c>
      <c r="D8" s="5221" t="s">
        <v>435</v>
      </c>
      <c r="E8" s="5222" t="s">
        <v>883</v>
      </c>
      <c r="F8" s="5223" t="n">
        <v>56.95</v>
      </c>
      <c r="G8" s="5224" t="s">
        <v>434</v>
      </c>
      <c r="H8" s="5225" t="n">
        <v>56.95</v>
      </c>
      <c r="I8" s="5226" t="s">
        <v>434</v>
      </c>
      <c r="J8" s="5227" t="s">
        <v>915</v>
      </c>
      <c r="K8" s="5228" t="s">
        <v>433</v>
      </c>
      <c r="L8" s="5229" t="s">
        <v>433</v>
      </c>
      <c r="M8" s="5230" t="s">
        <v>433</v>
      </c>
      <c r="N8" s="5231" t="s">
        <v>433</v>
      </c>
      <c r="O8" s="5232" t="s">
        <v>888</v>
      </c>
      <c r="P8" s="5233" t="s">
        <v>433</v>
      </c>
    </row>
    <row r="9">
      <c r="A9" s="5234" t="s">
        <v>923</v>
      </c>
      <c r="B9" s="5235" t="s">
        <v>526</v>
      </c>
      <c r="C9" s="5236" t="s">
        <v>887</v>
      </c>
      <c r="D9" s="5237" t="s">
        <v>435</v>
      </c>
      <c r="E9" s="5238" t="s">
        <v>883</v>
      </c>
      <c r="F9" s="5239" t="n">
        <v>206.95</v>
      </c>
      <c r="G9" s="5240" t="s">
        <v>434</v>
      </c>
      <c r="H9" s="5241" t="n">
        <v>206.95</v>
      </c>
      <c r="I9" s="5242" t="s">
        <v>434</v>
      </c>
      <c r="J9" s="5243" t="s">
        <v>924</v>
      </c>
      <c r="K9" s="5244" t="s">
        <v>433</v>
      </c>
      <c r="L9" s="5245" t="s">
        <v>433</v>
      </c>
      <c r="M9" s="5246" t="s">
        <v>433</v>
      </c>
      <c r="N9" s="5247" t="s">
        <v>433</v>
      </c>
      <c r="O9" s="5248" t="s">
        <v>888</v>
      </c>
      <c r="P9" s="5249" t="s">
        <v>433</v>
      </c>
    </row>
    <row r="10">
      <c r="A10" s="5250" t="s">
        <v>881</v>
      </c>
    </row>
    <row r="11">
      <c r="A11" s="5251" t="s">
        <v>927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P150"/>
  <sheetViews>
    <sheetView workbookViewId="0" rightToLeft="true"/>
  </sheetViews>
  <sheetFormatPr defaultRowHeight="15.0"/>
  <sheetData>
    <row r="1">
      <c r="A1" s="5252" t="s">
        <v>809</v>
      </c>
      <c r="C1" s="5253" t="s">
        <v>433</v>
      </c>
    </row>
    <row r="2">
      <c r="A2" s="5254" t="s">
        <v>810</v>
      </c>
      <c r="C2" s="5255" t="s">
        <v>433</v>
      </c>
    </row>
    <row r="3">
      <c r="A3" s="5256" t="s">
        <v>928</v>
      </c>
      <c r="C3" s="5257" t="s">
        <v>433</v>
      </c>
    </row>
    <row r="4">
      <c r="A4" s="5258" t="s">
        <v>812</v>
      </c>
      <c r="B4" s="5259" t="s">
        <v>813</v>
      </c>
      <c r="C4" s="5260" t="s">
        <v>814</v>
      </c>
      <c r="D4" s="5261" t="s">
        <v>815</v>
      </c>
      <c r="E4" s="5262" t="s">
        <v>816</v>
      </c>
      <c r="F4" s="5263" t="s">
        <v>817</v>
      </c>
      <c r="G4" s="5264" t="s">
        <v>818</v>
      </c>
      <c r="H4" s="5265" t="s">
        <v>819</v>
      </c>
      <c r="I4" s="5266" t="s">
        <v>820</v>
      </c>
      <c r="J4" s="5267" t="s">
        <v>821</v>
      </c>
      <c r="K4" s="5268" t="s">
        <v>10</v>
      </c>
      <c r="L4" s="5269" t="s">
        <v>822</v>
      </c>
      <c r="M4" s="5270" t="s">
        <v>823</v>
      </c>
      <c r="N4" s="5271" t="s">
        <v>824</v>
      </c>
      <c r="O4" s="5272" t="s">
        <v>825</v>
      </c>
      <c r="P4" s="5273" t="s">
        <v>826</v>
      </c>
    </row>
    <row r="5">
      <c r="A5" s="5274" t="s">
        <v>872</v>
      </c>
      <c r="B5" s="5275" t="s">
        <v>774</v>
      </c>
      <c r="C5" s="5276" t="s">
        <v>873</v>
      </c>
      <c r="D5" s="5277" t="s">
        <v>435</v>
      </c>
      <c r="E5" s="5278" t="s">
        <v>874</v>
      </c>
      <c r="F5" s="5279" t="n">
        <v>134.0</v>
      </c>
      <c r="G5" s="5280" t="s">
        <v>434</v>
      </c>
      <c r="H5" s="5281" t="n">
        <v>1343.0</v>
      </c>
      <c r="I5" s="5282" t="s">
        <v>434</v>
      </c>
      <c r="J5" s="5283" t="s">
        <v>929</v>
      </c>
      <c r="K5" s="5284" t="s">
        <v>781</v>
      </c>
      <c r="L5" s="5285" t="s">
        <v>433</v>
      </c>
      <c r="M5" s="5286" t="s">
        <v>433</v>
      </c>
      <c r="N5" s="5287" t="s">
        <v>433</v>
      </c>
      <c r="O5" s="5288" t="s">
        <v>833</v>
      </c>
      <c r="P5" s="5289" t="s">
        <v>433</v>
      </c>
    </row>
    <row r="6">
      <c r="A6" s="5290" t="s">
        <v>875</v>
      </c>
      <c r="B6" s="5291" t="s">
        <v>777</v>
      </c>
      <c r="C6" s="5292" t="s">
        <v>843</v>
      </c>
      <c r="D6" s="5293" t="s">
        <v>435</v>
      </c>
      <c r="E6" s="5294" t="s">
        <v>874</v>
      </c>
      <c r="F6" s="5295" t="n">
        <v>114.0</v>
      </c>
      <c r="G6" s="5296" t="s">
        <v>434</v>
      </c>
      <c r="H6" s="5297" t="n">
        <v>229.9</v>
      </c>
      <c r="I6" s="5298" t="s">
        <v>434</v>
      </c>
      <c r="J6" s="5299" t="s">
        <v>929</v>
      </c>
      <c r="K6" s="5300" t="s">
        <v>778</v>
      </c>
      <c r="L6" s="5301" t="s">
        <v>433</v>
      </c>
      <c r="M6" s="5302" t="s">
        <v>433</v>
      </c>
      <c r="N6" s="5303" t="s">
        <v>433</v>
      </c>
      <c r="O6" s="5304" t="s">
        <v>433</v>
      </c>
      <c r="P6" s="5305" t="s">
        <v>433</v>
      </c>
    </row>
    <row r="7">
      <c r="A7" s="5306" t="s">
        <v>885</v>
      </c>
      <c r="B7" s="5307" t="s">
        <v>475</v>
      </c>
      <c r="C7" s="5308" t="s">
        <v>838</v>
      </c>
      <c r="D7" s="5309" t="s">
        <v>435</v>
      </c>
      <c r="E7" s="5310" t="s">
        <v>829</v>
      </c>
      <c r="F7" s="5311" t="n">
        <v>14.0</v>
      </c>
      <c r="G7" s="5312" t="s">
        <v>434</v>
      </c>
      <c r="H7" s="5313" t="n">
        <v>14.0</v>
      </c>
      <c r="I7" s="5314" t="s">
        <v>434</v>
      </c>
      <c r="J7" s="5315" t="s">
        <v>929</v>
      </c>
      <c r="K7" s="5316" t="s">
        <v>433</v>
      </c>
      <c r="L7" s="5317" t="s">
        <v>433</v>
      </c>
      <c r="M7" s="5318" t="s">
        <v>433</v>
      </c>
      <c r="N7" s="5319" t="s">
        <v>433</v>
      </c>
      <c r="O7" s="5320" t="s">
        <v>433</v>
      </c>
      <c r="P7" s="5321" t="s">
        <v>433</v>
      </c>
    </row>
    <row r="8">
      <c r="A8" s="5322" t="s">
        <v>885</v>
      </c>
      <c r="B8" s="5323" t="s">
        <v>436</v>
      </c>
      <c r="C8" s="5324" t="s">
        <v>832</v>
      </c>
      <c r="D8" s="5325" t="s">
        <v>435</v>
      </c>
      <c r="E8" s="5326" t="s">
        <v>829</v>
      </c>
      <c r="F8" s="5327" t="n">
        <v>80.0</v>
      </c>
      <c r="G8" s="5328" t="s">
        <v>434</v>
      </c>
      <c r="H8" s="5329" t="n">
        <v>80.0</v>
      </c>
      <c r="I8" s="5330" t="s">
        <v>434</v>
      </c>
      <c r="J8" s="5331" t="s">
        <v>929</v>
      </c>
      <c r="K8" s="5332" t="s">
        <v>437</v>
      </c>
      <c r="L8" s="5333" t="s">
        <v>433</v>
      </c>
      <c r="M8" s="5334" t="s">
        <v>433</v>
      </c>
      <c r="N8" s="5335" t="s">
        <v>433</v>
      </c>
      <c r="O8" s="5336" t="s">
        <v>833</v>
      </c>
      <c r="P8" s="5337" t="s">
        <v>433</v>
      </c>
    </row>
    <row r="9">
      <c r="A9" s="5338" t="s">
        <v>885</v>
      </c>
      <c r="B9" s="5339" t="s">
        <v>439</v>
      </c>
      <c r="C9" s="5340" t="s">
        <v>828</v>
      </c>
      <c r="D9" s="5341" t="s">
        <v>435</v>
      </c>
      <c r="E9" s="5342" t="s">
        <v>829</v>
      </c>
      <c r="F9" s="5343" t="n">
        <v>63.0</v>
      </c>
      <c r="G9" s="5344" t="s">
        <v>434</v>
      </c>
      <c r="H9" s="5345" t="n">
        <v>63.0</v>
      </c>
      <c r="I9" s="5346" t="s">
        <v>434</v>
      </c>
      <c r="J9" s="5347" t="s">
        <v>929</v>
      </c>
      <c r="K9" s="5348" t="s">
        <v>433</v>
      </c>
      <c r="L9" s="5349" t="s">
        <v>433</v>
      </c>
      <c r="M9" s="5350" t="s">
        <v>433</v>
      </c>
      <c r="N9" s="5351" t="s">
        <v>433</v>
      </c>
      <c r="O9" s="5352" t="s">
        <v>833</v>
      </c>
      <c r="P9" s="5353" t="s">
        <v>433</v>
      </c>
    </row>
    <row r="10">
      <c r="A10" s="5354" t="s">
        <v>885</v>
      </c>
      <c r="B10" s="5355" t="s">
        <v>439</v>
      </c>
      <c r="C10" s="5356" t="s">
        <v>828</v>
      </c>
      <c r="D10" s="5357" t="s">
        <v>435</v>
      </c>
      <c r="E10" s="5358" t="s">
        <v>829</v>
      </c>
      <c r="F10" s="5359" t="n">
        <v>79.96</v>
      </c>
      <c r="G10" s="5360" t="s">
        <v>434</v>
      </c>
      <c r="H10" s="5361" t="n">
        <v>79.96</v>
      </c>
      <c r="I10" s="5362" t="s">
        <v>434</v>
      </c>
      <c r="J10" s="5363" t="s">
        <v>929</v>
      </c>
      <c r="K10" s="5364" t="s">
        <v>433</v>
      </c>
      <c r="L10" s="5365" t="s">
        <v>433</v>
      </c>
      <c r="M10" s="5366" t="s">
        <v>433</v>
      </c>
      <c r="N10" s="5367" t="s">
        <v>433</v>
      </c>
      <c r="O10" s="5368" t="s">
        <v>833</v>
      </c>
      <c r="P10" s="5369" t="s">
        <v>433</v>
      </c>
    </row>
    <row r="11">
      <c r="A11" s="5370" t="s">
        <v>885</v>
      </c>
      <c r="B11" s="5371" t="s">
        <v>439</v>
      </c>
      <c r="C11" s="5372" t="s">
        <v>828</v>
      </c>
      <c r="D11" s="5373" t="s">
        <v>435</v>
      </c>
      <c r="E11" s="5374" t="s">
        <v>829</v>
      </c>
      <c r="F11" s="5375" t="n">
        <v>49.0</v>
      </c>
      <c r="G11" s="5376" t="s">
        <v>434</v>
      </c>
      <c r="H11" s="5377" t="n">
        <v>49.0</v>
      </c>
      <c r="I11" s="5378" t="s">
        <v>434</v>
      </c>
      <c r="J11" s="5379" t="s">
        <v>929</v>
      </c>
      <c r="K11" s="5380" t="s">
        <v>433</v>
      </c>
      <c r="L11" s="5381" t="s">
        <v>433</v>
      </c>
      <c r="M11" s="5382" t="s">
        <v>433</v>
      </c>
      <c r="N11" s="5383" t="s">
        <v>433</v>
      </c>
      <c r="O11" s="5384" t="s">
        <v>833</v>
      </c>
      <c r="P11" s="5385" t="s">
        <v>433</v>
      </c>
    </row>
    <row r="12">
      <c r="A12" s="5386" t="s">
        <v>830</v>
      </c>
      <c r="B12" s="5387" t="s">
        <v>494</v>
      </c>
      <c r="C12" s="5388" t="s">
        <v>828</v>
      </c>
      <c r="D12" s="5389" t="s">
        <v>435</v>
      </c>
      <c r="E12" s="5390" t="s">
        <v>829</v>
      </c>
      <c r="F12" s="5391" t="n">
        <v>18.0</v>
      </c>
      <c r="G12" s="5392" t="s">
        <v>434</v>
      </c>
      <c r="H12" s="5393" t="n">
        <v>18.0</v>
      </c>
      <c r="I12" s="5394" t="s">
        <v>434</v>
      </c>
      <c r="J12" s="5395" t="s">
        <v>929</v>
      </c>
      <c r="K12" s="5396" t="s">
        <v>433</v>
      </c>
      <c r="L12" s="5397" t="s">
        <v>433</v>
      </c>
      <c r="M12" s="5398" t="s">
        <v>433</v>
      </c>
      <c r="N12" s="5399" t="s">
        <v>433</v>
      </c>
      <c r="O12" s="5400" t="s">
        <v>433</v>
      </c>
      <c r="P12" s="5401" t="s">
        <v>433</v>
      </c>
    </row>
    <row r="13">
      <c r="A13" s="5402" t="s">
        <v>830</v>
      </c>
      <c r="B13" s="5403" t="s">
        <v>572</v>
      </c>
      <c r="C13" s="5404" t="s">
        <v>828</v>
      </c>
      <c r="D13" s="5405" t="s">
        <v>435</v>
      </c>
      <c r="E13" s="5406" t="s">
        <v>829</v>
      </c>
      <c r="F13" s="5407" t="n">
        <v>25.0</v>
      </c>
      <c r="G13" s="5408" t="s">
        <v>434</v>
      </c>
      <c r="H13" s="5409" t="n">
        <v>25.0</v>
      </c>
      <c r="I13" s="5410" t="s">
        <v>434</v>
      </c>
      <c r="J13" s="5411" t="s">
        <v>929</v>
      </c>
      <c r="K13" s="5412" t="s">
        <v>433</v>
      </c>
      <c r="L13" s="5413" t="s">
        <v>433</v>
      </c>
      <c r="M13" s="5414" t="s">
        <v>433</v>
      </c>
      <c r="N13" s="5415" t="s">
        <v>433</v>
      </c>
      <c r="O13" s="5416" t="s">
        <v>433</v>
      </c>
      <c r="P13" s="5417" t="s">
        <v>433</v>
      </c>
    </row>
    <row r="14">
      <c r="A14" s="5418" t="s">
        <v>830</v>
      </c>
      <c r="B14" s="5419" t="s">
        <v>573</v>
      </c>
      <c r="C14" s="5420" t="s">
        <v>838</v>
      </c>
      <c r="D14" s="5421" t="s">
        <v>435</v>
      </c>
      <c r="E14" s="5422" t="s">
        <v>829</v>
      </c>
      <c r="F14" s="5423" t="n">
        <v>30.0</v>
      </c>
      <c r="G14" s="5424" t="s">
        <v>434</v>
      </c>
      <c r="H14" s="5425" t="n">
        <v>30.0</v>
      </c>
      <c r="I14" s="5426" t="s">
        <v>434</v>
      </c>
      <c r="J14" s="5427" t="s">
        <v>929</v>
      </c>
      <c r="K14" s="5428" t="s">
        <v>433</v>
      </c>
      <c r="L14" s="5429" t="s">
        <v>433</v>
      </c>
      <c r="M14" s="5430" t="s">
        <v>433</v>
      </c>
      <c r="N14" s="5431" t="s">
        <v>433</v>
      </c>
      <c r="O14" s="5432" t="s">
        <v>433</v>
      </c>
      <c r="P14" s="5433" t="s">
        <v>433</v>
      </c>
    </row>
    <row r="15">
      <c r="A15" s="5434" t="s">
        <v>830</v>
      </c>
      <c r="B15" s="5435" t="s">
        <v>432</v>
      </c>
      <c r="C15" s="5436" t="s">
        <v>828</v>
      </c>
      <c r="D15" s="5437" t="s">
        <v>435</v>
      </c>
      <c r="E15" s="5438" t="s">
        <v>829</v>
      </c>
      <c r="F15" s="5439" t="n">
        <v>22.0</v>
      </c>
      <c r="G15" s="5440" t="s">
        <v>434</v>
      </c>
      <c r="H15" s="5441" t="n">
        <v>22.0</v>
      </c>
      <c r="I15" s="5442" t="s">
        <v>434</v>
      </c>
      <c r="J15" s="5443" t="s">
        <v>929</v>
      </c>
      <c r="K15" s="5444" t="s">
        <v>433</v>
      </c>
      <c r="L15" s="5445" t="s">
        <v>433</v>
      </c>
      <c r="M15" s="5446" t="s">
        <v>433</v>
      </c>
      <c r="N15" s="5447" t="s">
        <v>433</v>
      </c>
      <c r="O15" s="5448" t="s">
        <v>831</v>
      </c>
      <c r="P15" s="5449" t="s">
        <v>433</v>
      </c>
    </row>
    <row r="16">
      <c r="A16" s="5450" t="s">
        <v>830</v>
      </c>
      <c r="B16" s="5451" t="s">
        <v>574</v>
      </c>
      <c r="C16" s="5452" t="s">
        <v>838</v>
      </c>
      <c r="D16" s="5453" t="s">
        <v>435</v>
      </c>
      <c r="E16" s="5454" t="s">
        <v>829</v>
      </c>
      <c r="F16" s="5455" t="n">
        <v>21.19</v>
      </c>
      <c r="G16" s="5456" t="s">
        <v>434</v>
      </c>
      <c r="H16" s="5457" t="n">
        <v>21.19</v>
      </c>
      <c r="I16" s="5458" t="s">
        <v>434</v>
      </c>
      <c r="J16" s="5459" t="s">
        <v>929</v>
      </c>
      <c r="K16" s="5460" t="s">
        <v>433</v>
      </c>
      <c r="L16" s="5461" t="s">
        <v>433</v>
      </c>
      <c r="M16" s="5462" t="s">
        <v>433</v>
      </c>
      <c r="N16" s="5463" t="s">
        <v>433</v>
      </c>
      <c r="O16" s="5464" t="s">
        <v>433</v>
      </c>
      <c r="P16" s="5465" t="s">
        <v>433</v>
      </c>
    </row>
    <row r="17">
      <c r="A17" s="5466" t="s">
        <v>830</v>
      </c>
      <c r="B17" s="5467" t="s">
        <v>441</v>
      </c>
      <c r="C17" s="5468" t="s">
        <v>836</v>
      </c>
      <c r="D17" s="5469" t="s">
        <v>435</v>
      </c>
      <c r="E17" s="5470" t="s">
        <v>829</v>
      </c>
      <c r="F17" s="5471" t="n">
        <v>15.0</v>
      </c>
      <c r="G17" s="5472" t="s">
        <v>434</v>
      </c>
      <c r="H17" s="5473" t="n">
        <v>15.0</v>
      </c>
      <c r="I17" s="5474" t="s">
        <v>434</v>
      </c>
      <c r="J17" s="5475" t="s">
        <v>929</v>
      </c>
      <c r="K17" s="5476" t="s">
        <v>433</v>
      </c>
      <c r="L17" s="5477" t="s">
        <v>433</v>
      </c>
      <c r="M17" s="5478" t="s">
        <v>433</v>
      </c>
      <c r="N17" s="5479" t="s">
        <v>433</v>
      </c>
      <c r="O17" s="5480" t="s">
        <v>835</v>
      </c>
      <c r="P17" s="5481" t="s">
        <v>433</v>
      </c>
    </row>
    <row r="18">
      <c r="A18" s="5482" t="s">
        <v>830</v>
      </c>
      <c r="B18" s="5483" t="s">
        <v>441</v>
      </c>
      <c r="C18" s="5484" t="s">
        <v>836</v>
      </c>
      <c r="D18" s="5485" t="s">
        <v>435</v>
      </c>
      <c r="E18" s="5486" t="s">
        <v>829</v>
      </c>
      <c r="F18" s="5487" t="n">
        <v>11.0</v>
      </c>
      <c r="G18" s="5488" t="s">
        <v>434</v>
      </c>
      <c r="H18" s="5489" t="n">
        <v>11.0</v>
      </c>
      <c r="I18" s="5490" t="s">
        <v>434</v>
      </c>
      <c r="J18" s="5491" t="s">
        <v>929</v>
      </c>
      <c r="K18" s="5492" t="s">
        <v>433</v>
      </c>
      <c r="L18" s="5493" t="s">
        <v>433</v>
      </c>
      <c r="M18" s="5494" t="s">
        <v>433</v>
      </c>
      <c r="N18" s="5495" t="s">
        <v>433</v>
      </c>
      <c r="O18" s="5496" t="s">
        <v>835</v>
      </c>
      <c r="P18" s="5497" t="s">
        <v>433</v>
      </c>
    </row>
    <row r="19">
      <c r="A19" s="5498" t="s">
        <v>830</v>
      </c>
      <c r="B19" s="5499" t="s">
        <v>513</v>
      </c>
      <c r="C19" s="5500" t="s">
        <v>860</v>
      </c>
      <c r="D19" s="5501" t="s">
        <v>435</v>
      </c>
      <c r="E19" s="5502" t="s">
        <v>829</v>
      </c>
      <c r="F19" s="5503" t="n">
        <v>20.0</v>
      </c>
      <c r="G19" s="5504" t="s">
        <v>434</v>
      </c>
      <c r="H19" s="5505" t="n">
        <v>20.0</v>
      </c>
      <c r="I19" s="5506" t="s">
        <v>434</v>
      </c>
      <c r="J19" s="5507" t="s">
        <v>929</v>
      </c>
      <c r="K19" s="5508" t="s">
        <v>575</v>
      </c>
      <c r="L19" s="5509" t="s">
        <v>433</v>
      </c>
      <c r="M19" s="5510" t="s">
        <v>433</v>
      </c>
      <c r="N19" s="5511" t="s">
        <v>433</v>
      </c>
      <c r="O19" s="5512" t="s">
        <v>835</v>
      </c>
      <c r="P19" s="5513" t="s">
        <v>433</v>
      </c>
    </row>
    <row r="20">
      <c r="A20" s="5514" t="s">
        <v>892</v>
      </c>
      <c r="B20" s="5515" t="s">
        <v>460</v>
      </c>
      <c r="C20" s="5516" t="s">
        <v>841</v>
      </c>
      <c r="D20" s="5517" t="s">
        <v>435</v>
      </c>
      <c r="E20" s="5518" t="s">
        <v>829</v>
      </c>
      <c r="F20" s="5519" t="n">
        <v>214.17</v>
      </c>
      <c r="G20" s="5520" t="s">
        <v>434</v>
      </c>
      <c r="H20" s="5521" t="n">
        <v>214.17</v>
      </c>
      <c r="I20" s="5522" t="s">
        <v>434</v>
      </c>
      <c r="J20" s="5523" t="s">
        <v>929</v>
      </c>
      <c r="K20" s="5524" t="s">
        <v>433</v>
      </c>
      <c r="L20" s="5525" t="s">
        <v>433</v>
      </c>
      <c r="M20" s="5526" t="s">
        <v>433</v>
      </c>
      <c r="N20" s="5527" t="s">
        <v>433</v>
      </c>
      <c r="O20" s="5528" t="s">
        <v>833</v>
      </c>
      <c r="P20" s="5529" t="s">
        <v>433</v>
      </c>
    </row>
    <row r="21">
      <c r="A21" s="5530" t="s">
        <v>892</v>
      </c>
      <c r="B21" s="5531" t="s">
        <v>681</v>
      </c>
      <c r="C21" s="5532" t="s">
        <v>870</v>
      </c>
      <c r="D21" s="5533" t="s">
        <v>435</v>
      </c>
      <c r="E21" s="5534" t="s">
        <v>874</v>
      </c>
      <c r="F21" s="5535" t="n">
        <v>304.87</v>
      </c>
      <c r="G21" s="5536" t="s">
        <v>434</v>
      </c>
      <c r="H21" s="5537" t="n">
        <v>3658.0</v>
      </c>
      <c r="I21" s="5538" t="s">
        <v>434</v>
      </c>
      <c r="J21" s="5539" t="s">
        <v>929</v>
      </c>
      <c r="K21" s="5540" t="s">
        <v>785</v>
      </c>
      <c r="L21" s="5541" t="s">
        <v>433</v>
      </c>
      <c r="M21" s="5542" t="s">
        <v>433</v>
      </c>
      <c r="N21" s="5543" t="s">
        <v>433</v>
      </c>
      <c r="O21" s="5544" t="s">
        <v>833</v>
      </c>
      <c r="P21" s="5545" t="s">
        <v>433</v>
      </c>
    </row>
    <row r="22">
      <c r="A22" s="5546" t="s">
        <v>892</v>
      </c>
      <c r="B22" s="5547" t="s">
        <v>439</v>
      </c>
      <c r="C22" s="5548" t="s">
        <v>828</v>
      </c>
      <c r="D22" s="5549" t="s">
        <v>435</v>
      </c>
      <c r="E22" s="5550" t="s">
        <v>829</v>
      </c>
      <c r="F22" s="5551" t="n">
        <v>70.35</v>
      </c>
      <c r="G22" s="5552" t="s">
        <v>434</v>
      </c>
      <c r="H22" s="5553" t="n">
        <v>70.35</v>
      </c>
      <c r="I22" s="5554" t="s">
        <v>434</v>
      </c>
      <c r="J22" s="5555" t="s">
        <v>929</v>
      </c>
      <c r="K22" s="5556" t="s">
        <v>433</v>
      </c>
      <c r="L22" s="5557" t="s">
        <v>433</v>
      </c>
      <c r="M22" s="5558" t="s">
        <v>433</v>
      </c>
      <c r="N22" s="5559" t="s">
        <v>433</v>
      </c>
      <c r="O22" s="5560" t="s">
        <v>833</v>
      </c>
      <c r="P22" s="5561" t="s">
        <v>433</v>
      </c>
    </row>
    <row r="23">
      <c r="A23" s="5562" t="s">
        <v>892</v>
      </c>
      <c r="B23" s="5563" t="s">
        <v>440</v>
      </c>
      <c r="C23" s="5564" t="s">
        <v>836</v>
      </c>
      <c r="D23" s="5565" t="s">
        <v>435</v>
      </c>
      <c r="E23" s="5566" t="s">
        <v>829</v>
      </c>
      <c r="F23" s="5567" t="n">
        <v>90.0</v>
      </c>
      <c r="G23" s="5568" t="s">
        <v>434</v>
      </c>
      <c r="H23" s="5569" t="n">
        <v>90.0</v>
      </c>
      <c r="I23" s="5570" t="s">
        <v>434</v>
      </c>
      <c r="J23" s="5571" t="s">
        <v>929</v>
      </c>
      <c r="K23" s="5572" t="s">
        <v>433</v>
      </c>
      <c r="L23" s="5573" t="s">
        <v>433</v>
      </c>
      <c r="M23" s="5574" t="s">
        <v>433</v>
      </c>
      <c r="N23" s="5575" t="s">
        <v>433</v>
      </c>
      <c r="O23" s="5576" t="s">
        <v>833</v>
      </c>
      <c r="P23" s="5577" t="s">
        <v>433</v>
      </c>
    </row>
    <row r="24">
      <c r="A24" s="5578" t="s">
        <v>930</v>
      </c>
      <c r="B24" s="5579" t="s">
        <v>579</v>
      </c>
      <c r="C24" s="5580" t="s">
        <v>828</v>
      </c>
      <c r="D24" s="5581" t="s">
        <v>435</v>
      </c>
      <c r="E24" s="5582" t="s">
        <v>829</v>
      </c>
      <c r="F24" s="5583" t="n">
        <v>20.0</v>
      </c>
      <c r="G24" s="5584" t="s">
        <v>434</v>
      </c>
      <c r="H24" s="5585" t="n">
        <v>20.0</v>
      </c>
      <c r="I24" s="5586" t="s">
        <v>434</v>
      </c>
      <c r="J24" s="5587" t="s">
        <v>929</v>
      </c>
      <c r="K24" s="5588" t="s">
        <v>433</v>
      </c>
      <c r="L24" s="5589" t="s">
        <v>433</v>
      </c>
      <c r="M24" s="5590" t="s">
        <v>433</v>
      </c>
      <c r="N24" s="5591" t="s">
        <v>433</v>
      </c>
      <c r="O24" s="5592" t="s">
        <v>833</v>
      </c>
      <c r="P24" s="5593" t="s">
        <v>433</v>
      </c>
    </row>
    <row r="25">
      <c r="A25" s="5594" t="s">
        <v>930</v>
      </c>
      <c r="B25" s="5595" t="s">
        <v>439</v>
      </c>
      <c r="C25" s="5596" t="s">
        <v>828</v>
      </c>
      <c r="D25" s="5597" t="s">
        <v>435</v>
      </c>
      <c r="E25" s="5598" t="s">
        <v>829</v>
      </c>
      <c r="F25" s="5599" t="n">
        <v>94.95</v>
      </c>
      <c r="G25" s="5600" t="s">
        <v>434</v>
      </c>
      <c r="H25" s="5601" t="n">
        <v>94.95</v>
      </c>
      <c r="I25" s="5602" t="s">
        <v>434</v>
      </c>
      <c r="J25" s="5603" t="s">
        <v>929</v>
      </c>
      <c r="K25" s="5604" t="s">
        <v>433</v>
      </c>
      <c r="L25" s="5605" t="s">
        <v>433</v>
      </c>
      <c r="M25" s="5606" t="s">
        <v>433</v>
      </c>
      <c r="N25" s="5607" t="s">
        <v>433</v>
      </c>
      <c r="O25" s="5608" t="s">
        <v>833</v>
      </c>
      <c r="P25" s="5609" t="s">
        <v>433</v>
      </c>
    </row>
    <row r="26">
      <c r="A26" s="5610" t="s">
        <v>930</v>
      </c>
      <c r="B26" s="5611" t="s">
        <v>439</v>
      </c>
      <c r="C26" s="5612" t="s">
        <v>828</v>
      </c>
      <c r="D26" s="5613" t="s">
        <v>435</v>
      </c>
      <c r="E26" s="5614" t="s">
        <v>829</v>
      </c>
      <c r="F26" s="5615" t="n">
        <v>86.45</v>
      </c>
      <c r="G26" s="5616" t="s">
        <v>434</v>
      </c>
      <c r="H26" s="5617" t="n">
        <v>86.45</v>
      </c>
      <c r="I26" s="5618" t="s">
        <v>434</v>
      </c>
      <c r="J26" s="5619" t="s">
        <v>929</v>
      </c>
      <c r="K26" s="5620" t="s">
        <v>433</v>
      </c>
      <c r="L26" s="5621" t="s">
        <v>433</v>
      </c>
      <c r="M26" s="5622" t="s">
        <v>433</v>
      </c>
      <c r="N26" s="5623" t="s">
        <v>433</v>
      </c>
      <c r="O26" s="5624" t="s">
        <v>833</v>
      </c>
      <c r="P26" s="5625" t="s">
        <v>433</v>
      </c>
    </row>
    <row r="27">
      <c r="A27" s="5626" t="s">
        <v>930</v>
      </c>
      <c r="B27" s="5627" t="s">
        <v>441</v>
      </c>
      <c r="C27" s="5628" t="s">
        <v>836</v>
      </c>
      <c r="D27" s="5629" t="s">
        <v>435</v>
      </c>
      <c r="E27" s="5630" t="s">
        <v>829</v>
      </c>
      <c r="F27" s="5631" t="n">
        <v>12.0</v>
      </c>
      <c r="G27" s="5632" t="s">
        <v>434</v>
      </c>
      <c r="H27" s="5633" t="n">
        <v>12.0</v>
      </c>
      <c r="I27" s="5634" t="s">
        <v>434</v>
      </c>
      <c r="J27" s="5635" t="s">
        <v>929</v>
      </c>
      <c r="K27" s="5636" t="s">
        <v>433</v>
      </c>
      <c r="L27" s="5637" t="s">
        <v>433</v>
      </c>
      <c r="M27" s="5638" t="s">
        <v>433</v>
      </c>
      <c r="N27" s="5639" t="s">
        <v>433</v>
      </c>
      <c r="O27" s="5640" t="s">
        <v>833</v>
      </c>
      <c r="P27" s="5641" t="s">
        <v>433</v>
      </c>
    </row>
    <row r="28">
      <c r="A28" s="5642" t="s">
        <v>931</v>
      </c>
      <c r="B28" s="5643" t="s">
        <v>470</v>
      </c>
      <c r="C28" s="5644" t="s">
        <v>845</v>
      </c>
      <c r="D28" s="5645" t="s">
        <v>435</v>
      </c>
      <c r="E28" s="5646" t="s">
        <v>829</v>
      </c>
      <c r="F28" s="5647" t="n">
        <v>171.19</v>
      </c>
      <c r="G28" s="5648" t="s">
        <v>434</v>
      </c>
      <c r="H28" s="5649" t="n">
        <v>171.19</v>
      </c>
      <c r="I28" s="5650" t="s">
        <v>434</v>
      </c>
      <c r="J28" s="5651" t="s">
        <v>929</v>
      </c>
      <c r="K28" s="5652" t="s">
        <v>437</v>
      </c>
      <c r="L28" s="5653" t="s">
        <v>433</v>
      </c>
      <c r="M28" s="5654" t="s">
        <v>433</v>
      </c>
      <c r="N28" s="5655" t="s">
        <v>433</v>
      </c>
      <c r="O28" s="5656" t="s">
        <v>833</v>
      </c>
      <c r="P28" s="5657" t="s">
        <v>433</v>
      </c>
    </row>
    <row r="29">
      <c r="A29" s="5658" t="s">
        <v>931</v>
      </c>
      <c r="B29" s="5659" t="s">
        <v>583</v>
      </c>
      <c r="C29" s="5660" t="s">
        <v>828</v>
      </c>
      <c r="D29" s="5661" t="s">
        <v>435</v>
      </c>
      <c r="E29" s="5662" t="s">
        <v>829</v>
      </c>
      <c r="F29" s="5663" t="n">
        <v>84.2</v>
      </c>
      <c r="G29" s="5664" t="s">
        <v>434</v>
      </c>
      <c r="H29" s="5665" t="n">
        <v>86.8</v>
      </c>
      <c r="I29" s="5666" t="s">
        <v>434</v>
      </c>
      <c r="J29" s="5667" t="s">
        <v>929</v>
      </c>
      <c r="K29" s="5668" t="s">
        <v>433</v>
      </c>
      <c r="L29" s="5669" t="s">
        <v>433</v>
      </c>
      <c r="M29" s="5670" t="s">
        <v>932</v>
      </c>
      <c r="N29" s="5671" t="s">
        <v>433</v>
      </c>
      <c r="O29" s="5672" t="s">
        <v>833</v>
      </c>
      <c r="P29" s="5673" t="s">
        <v>433</v>
      </c>
    </row>
    <row r="30">
      <c r="A30" s="5674" t="s">
        <v>931</v>
      </c>
      <c r="B30" s="5675" t="s">
        <v>439</v>
      </c>
      <c r="C30" s="5676" t="s">
        <v>828</v>
      </c>
      <c r="D30" s="5677" t="s">
        <v>435</v>
      </c>
      <c r="E30" s="5678" t="s">
        <v>829</v>
      </c>
      <c r="F30" s="5679" t="n">
        <v>75.0</v>
      </c>
      <c r="G30" s="5680" t="s">
        <v>434</v>
      </c>
      <c r="H30" s="5681" t="n">
        <v>75.0</v>
      </c>
      <c r="I30" s="5682" t="s">
        <v>434</v>
      </c>
      <c r="J30" s="5683" t="s">
        <v>929</v>
      </c>
      <c r="K30" s="5684" t="s">
        <v>433</v>
      </c>
      <c r="L30" s="5685" t="s">
        <v>433</v>
      </c>
      <c r="M30" s="5686" t="s">
        <v>433</v>
      </c>
      <c r="N30" s="5687" t="s">
        <v>433</v>
      </c>
      <c r="O30" s="5688" t="s">
        <v>833</v>
      </c>
      <c r="P30" s="5689" t="s">
        <v>433</v>
      </c>
    </row>
    <row r="31">
      <c r="A31" s="5690" t="s">
        <v>933</v>
      </c>
      <c r="B31" s="5691" t="s">
        <v>585</v>
      </c>
      <c r="C31" s="5692" t="s">
        <v>841</v>
      </c>
      <c r="D31" s="5693" t="s">
        <v>435</v>
      </c>
      <c r="E31" s="5694" t="s">
        <v>829</v>
      </c>
      <c r="F31" s="5695" t="n">
        <v>22.9</v>
      </c>
      <c r="G31" s="5696" t="s">
        <v>434</v>
      </c>
      <c r="H31" s="5697" t="n">
        <v>22.9</v>
      </c>
      <c r="I31" s="5698" t="s">
        <v>434</v>
      </c>
      <c r="J31" s="5699" t="s">
        <v>929</v>
      </c>
      <c r="K31" s="5700" t="s">
        <v>433</v>
      </c>
      <c r="L31" s="5701" t="s">
        <v>433</v>
      </c>
      <c r="M31" s="5702" t="s">
        <v>433</v>
      </c>
      <c r="N31" s="5703" t="s">
        <v>433</v>
      </c>
      <c r="O31" s="5704" t="s">
        <v>433</v>
      </c>
      <c r="P31" s="5705" t="s">
        <v>433</v>
      </c>
    </row>
    <row r="32">
      <c r="A32" s="5706" t="s">
        <v>933</v>
      </c>
      <c r="B32" s="5707" t="s">
        <v>573</v>
      </c>
      <c r="C32" s="5708" t="s">
        <v>838</v>
      </c>
      <c r="D32" s="5709" t="s">
        <v>435</v>
      </c>
      <c r="E32" s="5710" t="s">
        <v>829</v>
      </c>
      <c r="F32" s="5711" t="n">
        <v>28.05</v>
      </c>
      <c r="G32" s="5712" t="s">
        <v>434</v>
      </c>
      <c r="H32" s="5713" t="n">
        <v>28.05</v>
      </c>
      <c r="I32" s="5714" t="s">
        <v>434</v>
      </c>
      <c r="J32" s="5715" t="s">
        <v>929</v>
      </c>
      <c r="K32" s="5716" t="s">
        <v>433</v>
      </c>
      <c r="L32" s="5717" t="s">
        <v>433</v>
      </c>
      <c r="M32" s="5718" t="s">
        <v>433</v>
      </c>
      <c r="N32" s="5719" t="s">
        <v>433</v>
      </c>
      <c r="O32" s="5720" t="s">
        <v>433</v>
      </c>
      <c r="P32" s="5721" t="s">
        <v>433</v>
      </c>
    </row>
    <row r="33">
      <c r="A33" s="5722" t="s">
        <v>933</v>
      </c>
      <c r="B33" s="5723" t="s">
        <v>439</v>
      </c>
      <c r="C33" s="5724" t="s">
        <v>828</v>
      </c>
      <c r="D33" s="5725" t="s">
        <v>435</v>
      </c>
      <c r="E33" s="5726" t="s">
        <v>829</v>
      </c>
      <c r="F33" s="5727" t="n">
        <v>95.4</v>
      </c>
      <c r="G33" s="5728" t="s">
        <v>434</v>
      </c>
      <c r="H33" s="5729" t="n">
        <v>95.4</v>
      </c>
      <c r="I33" s="5730" t="s">
        <v>434</v>
      </c>
      <c r="J33" s="5731" t="s">
        <v>929</v>
      </c>
      <c r="K33" s="5732" t="s">
        <v>433</v>
      </c>
      <c r="L33" s="5733" t="s">
        <v>433</v>
      </c>
      <c r="M33" s="5734" t="s">
        <v>433</v>
      </c>
      <c r="N33" s="5735" t="s">
        <v>433</v>
      </c>
      <c r="O33" s="5736" t="s">
        <v>833</v>
      </c>
      <c r="P33" s="5737" t="s">
        <v>433</v>
      </c>
    </row>
    <row r="34">
      <c r="A34" s="5738" t="s">
        <v>933</v>
      </c>
      <c r="B34" s="5739" t="s">
        <v>586</v>
      </c>
      <c r="C34" s="5740" t="s">
        <v>838</v>
      </c>
      <c r="D34" s="5741" t="s">
        <v>435</v>
      </c>
      <c r="E34" s="5742" t="s">
        <v>829</v>
      </c>
      <c r="F34" s="5743" t="n">
        <v>206.01</v>
      </c>
      <c r="G34" s="5744" t="s">
        <v>434</v>
      </c>
      <c r="H34" s="5745" t="n">
        <v>206.01</v>
      </c>
      <c r="I34" s="5746" t="s">
        <v>434</v>
      </c>
      <c r="J34" s="5747" t="s">
        <v>929</v>
      </c>
      <c r="K34" s="5748" t="s">
        <v>433</v>
      </c>
      <c r="L34" s="5749" t="s">
        <v>433</v>
      </c>
      <c r="M34" s="5750" t="s">
        <v>433</v>
      </c>
      <c r="N34" s="5751" t="s">
        <v>433</v>
      </c>
      <c r="O34" s="5752" t="s">
        <v>433</v>
      </c>
      <c r="P34" s="5753" t="s">
        <v>433</v>
      </c>
    </row>
    <row r="35">
      <c r="A35" s="5754" t="s">
        <v>934</v>
      </c>
      <c r="B35" s="5755" t="s">
        <v>525</v>
      </c>
      <c r="C35" s="5756" t="s">
        <v>841</v>
      </c>
      <c r="D35" s="5757" t="s">
        <v>435</v>
      </c>
      <c r="E35" s="5758" t="s">
        <v>829</v>
      </c>
      <c r="F35" s="5759" t="n">
        <v>17.8</v>
      </c>
      <c r="G35" s="5760" t="s">
        <v>434</v>
      </c>
      <c r="H35" s="5761" t="n">
        <v>17.8</v>
      </c>
      <c r="I35" s="5762" t="s">
        <v>434</v>
      </c>
      <c r="J35" s="5763" t="s">
        <v>929</v>
      </c>
      <c r="K35" s="5764" t="s">
        <v>433</v>
      </c>
      <c r="L35" s="5765" t="s">
        <v>433</v>
      </c>
      <c r="M35" s="5766" t="s">
        <v>433</v>
      </c>
      <c r="N35" s="5767" t="s">
        <v>433</v>
      </c>
      <c r="O35" s="5768" t="s">
        <v>433</v>
      </c>
      <c r="P35" s="5769" t="s">
        <v>433</v>
      </c>
    </row>
    <row r="36">
      <c r="A36" s="5770" t="s">
        <v>934</v>
      </c>
      <c r="B36" s="5771" t="s">
        <v>458</v>
      </c>
      <c r="C36" s="5772" t="s">
        <v>828</v>
      </c>
      <c r="D36" s="5773" t="s">
        <v>435</v>
      </c>
      <c r="E36" s="5774" t="s">
        <v>829</v>
      </c>
      <c r="F36" s="5775" t="n">
        <v>5.0</v>
      </c>
      <c r="G36" s="5776" t="s">
        <v>434</v>
      </c>
      <c r="H36" s="5777" t="n">
        <v>5.0</v>
      </c>
      <c r="I36" s="5778" t="s">
        <v>434</v>
      </c>
      <c r="J36" s="5779" t="s">
        <v>929</v>
      </c>
      <c r="K36" s="5780" t="s">
        <v>433</v>
      </c>
      <c r="L36" s="5781" t="s">
        <v>433</v>
      </c>
      <c r="M36" s="5782" t="s">
        <v>433</v>
      </c>
      <c r="N36" s="5783" t="s">
        <v>433</v>
      </c>
      <c r="O36" s="5784" t="s">
        <v>835</v>
      </c>
      <c r="P36" s="5785" t="s">
        <v>433</v>
      </c>
    </row>
    <row r="37">
      <c r="A37" s="5786" t="s">
        <v>934</v>
      </c>
      <c r="B37" s="5787" t="s">
        <v>441</v>
      </c>
      <c r="C37" s="5788" t="s">
        <v>836</v>
      </c>
      <c r="D37" s="5789" t="s">
        <v>435</v>
      </c>
      <c r="E37" s="5790" t="s">
        <v>829</v>
      </c>
      <c r="F37" s="5791" t="n">
        <v>15.0</v>
      </c>
      <c r="G37" s="5792" t="s">
        <v>434</v>
      </c>
      <c r="H37" s="5793" t="n">
        <v>15.0</v>
      </c>
      <c r="I37" s="5794" t="s">
        <v>434</v>
      </c>
      <c r="J37" s="5795" t="s">
        <v>929</v>
      </c>
      <c r="K37" s="5796" t="s">
        <v>433</v>
      </c>
      <c r="L37" s="5797" t="s">
        <v>433</v>
      </c>
      <c r="M37" s="5798" t="s">
        <v>433</v>
      </c>
      <c r="N37" s="5799" t="s">
        <v>433</v>
      </c>
      <c r="O37" s="5800" t="s">
        <v>835</v>
      </c>
      <c r="P37" s="5801" t="s">
        <v>433</v>
      </c>
    </row>
    <row r="38">
      <c r="A38" s="5802" t="s">
        <v>934</v>
      </c>
      <c r="B38" s="5803" t="s">
        <v>441</v>
      </c>
      <c r="C38" s="5804" t="s">
        <v>836</v>
      </c>
      <c r="D38" s="5805" t="s">
        <v>435</v>
      </c>
      <c r="E38" s="5806" t="s">
        <v>829</v>
      </c>
      <c r="F38" s="5807" t="n">
        <v>18.0</v>
      </c>
      <c r="G38" s="5808" t="s">
        <v>434</v>
      </c>
      <c r="H38" s="5809" t="n">
        <v>18.0</v>
      </c>
      <c r="I38" s="5810" t="s">
        <v>434</v>
      </c>
      <c r="J38" s="5811" t="s">
        <v>929</v>
      </c>
      <c r="K38" s="5812" t="s">
        <v>433</v>
      </c>
      <c r="L38" s="5813" t="s">
        <v>433</v>
      </c>
      <c r="M38" s="5814" t="s">
        <v>433</v>
      </c>
      <c r="N38" s="5815" t="s">
        <v>433</v>
      </c>
      <c r="O38" s="5816" t="s">
        <v>835</v>
      </c>
      <c r="P38" s="5817" t="s">
        <v>433</v>
      </c>
    </row>
    <row r="39">
      <c r="A39" s="5818" t="s">
        <v>934</v>
      </c>
      <c r="B39" s="5819" t="s">
        <v>441</v>
      </c>
      <c r="C39" s="5820" t="s">
        <v>836</v>
      </c>
      <c r="D39" s="5821" t="s">
        <v>435</v>
      </c>
      <c r="E39" s="5822" t="s">
        <v>829</v>
      </c>
      <c r="F39" s="5823" t="n">
        <v>34.0</v>
      </c>
      <c r="G39" s="5824" t="s">
        <v>434</v>
      </c>
      <c r="H39" s="5825" t="n">
        <v>34.0</v>
      </c>
      <c r="I39" s="5826" t="s">
        <v>434</v>
      </c>
      <c r="J39" s="5827" t="s">
        <v>929</v>
      </c>
      <c r="K39" s="5828" t="s">
        <v>433</v>
      </c>
      <c r="L39" s="5829" t="s">
        <v>433</v>
      </c>
      <c r="M39" s="5830" t="s">
        <v>433</v>
      </c>
      <c r="N39" s="5831" t="s">
        <v>433</v>
      </c>
      <c r="O39" s="5832" t="s">
        <v>835</v>
      </c>
      <c r="P39" s="5833" t="s">
        <v>433</v>
      </c>
    </row>
    <row r="40">
      <c r="A40" s="5834" t="s">
        <v>935</v>
      </c>
      <c r="B40" s="5835" t="s">
        <v>589</v>
      </c>
      <c r="C40" s="5836" t="s">
        <v>828</v>
      </c>
      <c r="D40" s="5837" t="s">
        <v>435</v>
      </c>
      <c r="E40" s="5838" t="s">
        <v>829</v>
      </c>
      <c r="F40" s="5839" t="n">
        <v>16.9</v>
      </c>
      <c r="G40" s="5840" t="s">
        <v>434</v>
      </c>
      <c r="H40" s="5841" t="n">
        <v>16.9</v>
      </c>
      <c r="I40" s="5842" t="s">
        <v>434</v>
      </c>
      <c r="J40" s="5843" t="s">
        <v>929</v>
      </c>
      <c r="K40" s="5844" t="s">
        <v>433</v>
      </c>
      <c r="L40" s="5845" t="s">
        <v>433</v>
      </c>
      <c r="M40" s="5846" t="s">
        <v>433</v>
      </c>
      <c r="N40" s="5847" t="s">
        <v>433</v>
      </c>
      <c r="O40" s="5848" t="s">
        <v>835</v>
      </c>
      <c r="P40" s="5849" t="s">
        <v>433</v>
      </c>
    </row>
    <row r="41">
      <c r="A41" s="5850" t="s">
        <v>935</v>
      </c>
      <c r="B41" s="5851" t="s">
        <v>475</v>
      </c>
      <c r="C41" s="5852" t="s">
        <v>838</v>
      </c>
      <c r="D41" s="5853" t="s">
        <v>435</v>
      </c>
      <c r="E41" s="5854" t="s">
        <v>829</v>
      </c>
      <c r="F41" s="5855" t="n">
        <v>8.9</v>
      </c>
      <c r="G41" s="5856" t="s">
        <v>434</v>
      </c>
      <c r="H41" s="5857" t="n">
        <v>8.9</v>
      </c>
      <c r="I41" s="5858" t="s">
        <v>434</v>
      </c>
      <c r="J41" s="5859" t="s">
        <v>929</v>
      </c>
      <c r="K41" s="5860" t="s">
        <v>433</v>
      </c>
      <c r="L41" s="5861" t="s">
        <v>433</v>
      </c>
      <c r="M41" s="5862" t="s">
        <v>433</v>
      </c>
      <c r="N41" s="5863" t="s">
        <v>433</v>
      </c>
      <c r="O41" s="5864" t="s">
        <v>433</v>
      </c>
      <c r="P41" s="5865" t="s">
        <v>433</v>
      </c>
    </row>
    <row r="42">
      <c r="A42" s="5866" t="s">
        <v>935</v>
      </c>
      <c r="B42" s="5867" t="s">
        <v>439</v>
      </c>
      <c r="C42" s="5868" t="s">
        <v>828</v>
      </c>
      <c r="D42" s="5869" t="s">
        <v>435</v>
      </c>
      <c r="E42" s="5870" t="s">
        <v>829</v>
      </c>
      <c r="F42" s="5871" t="n">
        <v>65.1</v>
      </c>
      <c r="G42" s="5872" t="s">
        <v>434</v>
      </c>
      <c r="H42" s="5873" t="n">
        <v>65.1</v>
      </c>
      <c r="I42" s="5874" t="s">
        <v>434</v>
      </c>
      <c r="J42" s="5875" t="s">
        <v>929</v>
      </c>
      <c r="K42" s="5876" t="s">
        <v>433</v>
      </c>
      <c r="L42" s="5877" t="s">
        <v>433</v>
      </c>
      <c r="M42" s="5878" t="s">
        <v>433</v>
      </c>
      <c r="N42" s="5879" t="s">
        <v>433</v>
      </c>
      <c r="O42" s="5880" t="s">
        <v>833</v>
      </c>
      <c r="P42" s="5881" t="s">
        <v>433</v>
      </c>
    </row>
    <row r="43">
      <c r="A43" s="5882" t="s">
        <v>936</v>
      </c>
      <c r="B43" s="5883" t="s">
        <v>543</v>
      </c>
      <c r="C43" s="5884" t="s">
        <v>870</v>
      </c>
      <c r="D43" s="5885" t="s">
        <v>435</v>
      </c>
      <c r="E43" s="5886" t="s">
        <v>829</v>
      </c>
      <c r="F43" s="5887" t="n">
        <v>150.0</v>
      </c>
      <c r="G43" s="5888" t="s">
        <v>434</v>
      </c>
      <c r="H43" s="5889" t="n">
        <v>150.0</v>
      </c>
      <c r="I43" s="5890" t="s">
        <v>434</v>
      </c>
      <c r="J43" s="5891" t="s">
        <v>929</v>
      </c>
      <c r="K43" s="5892" t="s">
        <v>433</v>
      </c>
      <c r="L43" s="5893" t="s">
        <v>433</v>
      </c>
      <c r="M43" s="5894" t="s">
        <v>433</v>
      </c>
      <c r="N43" s="5895" t="s">
        <v>433</v>
      </c>
      <c r="O43" s="5896" t="s">
        <v>833</v>
      </c>
      <c r="P43" s="5897" t="s">
        <v>433</v>
      </c>
    </row>
    <row r="44">
      <c r="A44" s="5898" t="s">
        <v>936</v>
      </c>
      <c r="B44" s="5899" t="s">
        <v>442</v>
      </c>
      <c r="C44" s="5900" t="s">
        <v>836</v>
      </c>
      <c r="D44" s="5901" t="s">
        <v>435</v>
      </c>
      <c r="E44" s="5902" t="s">
        <v>829</v>
      </c>
      <c r="F44" s="5903" t="n">
        <v>150.0</v>
      </c>
      <c r="G44" s="5904" t="s">
        <v>434</v>
      </c>
      <c r="H44" s="5905" t="n">
        <v>150.0</v>
      </c>
      <c r="I44" s="5906" t="s">
        <v>434</v>
      </c>
      <c r="J44" s="5907" t="s">
        <v>929</v>
      </c>
      <c r="K44" s="5908" t="s">
        <v>433</v>
      </c>
      <c r="L44" s="5909" t="s">
        <v>433</v>
      </c>
      <c r="M44" s="5910" t="s">
        <v>433</v>
      </c>
      <c r="N44" s="5911" t="s">
        <v>433</v>
      </c>
      <c r="O44" s="5912" t="s">
        <v>835</v>
      </c>
      <c r="P44" s="5913" t="s">
        <v>433</v>
      </c>
    </row>
    <row r="45">
      <c r="A45" s="5914" t="s">
        <v>936</v>
      </c>
      <c r="B45" s="5915" t="s">
        <v>439</v>
      </c>
      <c r="C45" s="5916" t="s">
        <v>828</v>
      </c>
      <c r="D45" s="5917" t="s">
        <v>435</v>
      </c>
      <c r="E45" s="5918" t="s">
        <v>829</v>
      </c>
      <c r="F45" s="5919" t="n">
        <v>147.9</v>
      </c>
      <c r="G45" s="5920" t="s">
        <v>434</v>
      </c>
      <c r="H45" s="5921" t="n">
        <v>147.9</v>
      </c>
      <c r="I45" s="5922" t="s">
        <v>434</v>
      </c>
      <c r="J45" s="5923" t="s">
        <v>929</v>
      </c>
      <c r="K45" s="5924" t="s">
        <v>433</v>
      </c>
      <c r="L45" s="5925" t="s">
        <v>433</v>
      </c>
      <c r="M45" s="5926" t="s">
        <v>433</v>
      </c>
      <c r="N45" s="5927" t="s">
        <v>433</v>
      </c>
      <c r="O45" s="5928" t="s">
        <v>833</v>
      </c>
      <c r="P45" s="5929" t="s">
        <v>433</v>
      </c>
    </row>
    <row r="46">
      <c r="A46" s="5930" t="s">
        <v>936</v>
      </c>
      <c r="B46" s="5931" t="s">
        <v>439</v>
      </c>
      <c r="C46" s="5932" t="s">
        <v>828</v>
      </c>
      <c r="D46" s="5933" t="s">
        <v>435</v>
      </c>
      <c r="E46" s="5934" t="s">
        <v>829</v>
      </c>
      <c r="F46" s="5935" t="n">
        <v>138.08</v>
      </c>
      <c r="G46" s="5936" t="s">
        <v>434</v>
      </c>
      <c r="H46" s="5937" t="n">
        <v>138.08</v>
      </c>
      <c r="I46" s="5938" t="s">
        <v>434</v>
      </c>
      <c r="J46" s="5939" t="s">
        <v>929</v>
      </c>
      <c r="K46" s="5940" t="s">
        <v>433</v>
      </c>
      <c r="L46" s="5941" t="s">
        <v>433</v>
      </c>
      <c r="M46" s="5942" t="s">
        <v>433</v>
      </c>
      <c r="N46" s="5943" t="s">
        <v>433</v>
      </c>
      <c r="O46" s="5944" t="s">
        <v>833</v>
      </c>
      <c r="P46" s="5945" t="s">
        <v>433</v>
      </c>
    </row>
    <row r="47">
      <c r="A47" s="5946" t="s">
        <v>937</v>
      </c>
      <c r="B47" s="5947" t="s">
        <v>481</v>
      </c>
      <c r="C47" s="5948" t="s">
        <v>845</v>
      </c>
      <c r="D47" s="5949" t="s">
        <v>435</v>
      </c>
      <c r="E47" s="5950" t="s">
        <v>829</v>
      </c>
      <c r="F47" s="5951" t="n">
        <v>39.9</v>
      </c>
      <c r="G47" s="5952" t="s">
        <v>434</v>
      </c>
      <c r="H47" s="5953" t="n">
        <v>39.9</v>
      </c>
      <c r="I47" s="5954" t="s">
        <v>434</v>
      </c>
      <c r="J47" s="5955" t="s">
        <v>929</v>
      </c>
      <c r="K47" s="5956" t="s">
        <v>437</v>
      </c>
      <c r="L47" s="5957" t="s">
        <v>433</v>
      </c>
      <c r="M47" s="5958" t="s">
        <v>433</v>
      </c>
      <c r="N47" s="5959" t="s">
        <v>433</v>
      </c>
      <c r="O47" s="5960" t="s">
        <v>833</v>
      </c>
      <c r="P47" s="5961" t="s">
        <v>433</v>
      </c>
    </row>
    <row r="48">
      <c r="A48" s="5962" t="s">
        <v>937</v>
      </c>
      <c r="B48" s="5963" t="s">
        <v>594</v>
      </c>
      <c r="C48" s="5964" t="s">
        <v>834</v>
      </c>
      <c r="D48" s="5965" t="s">
        <v>435</v>
      </c>
      <c r="E48" s="5966" t="s">
        <v>829</v>
      </c>
      <c r="F48" s="5967" t="n">
        <v>69.62</v>
      </c>
      <c r="G48" s="5968" t="s">
        <v>434</v>
      </c>
      <c r="H48" s="5969" t="n">
        <v>69.62</v>
      </c>
      <c r="I48" s="5970" t="s">
        <v>434</v>
      </c>
      <c r="J48" s="5971" t="s">
        <v>929</v>
      </c>
      <c r="K48" s="5972" t="s">
        <v>437</v>
      </c>
      <c r="L48" s="5973" t="s">
        <v>433</v>
      </c>
      <c r="M48" s="5974" t="s">
        <v>433</v>
      </c>
      <c r="N48" s="5975" t="s">
        <v>433</v>
      </c>
      <c r="O48" s="5976" t="s">
        <v>833</v>
      </c>
      <c r="P48" s="5977" t="s">
        <v>433</v>
      </c>
    </row>
    <row r="49">
      <c r="A49" s="5978" t="s">
        <v>937</v>
      </c>
      <c r="B49" s="5979" t="s">
        <v>595</v>
      </c>
      <c r="C49" s="5980" t="s">
        <v>838</v>
      </c>
      <c r="D49" s="5981" t="s">
        <v>435</v>
      </c>
      <c r="E49" s="5982" t="s">
        <v>829</v>
      </c>
      <c r="F49" s="5983" t="n">
        <v>29.8</v>
      </c>
      <c r="G49" s="5984" t="s">
        <v>434</v>
      </c>
      <c r="H49" s="5985" t="n">
        <v>29.8</v>
      </c>
      <c r="I49" s="5986" t="s">
        <v>434</v>
      </c>
      <c r="J49" s="5987" t="s">
        <v>929</v>
      </c>
      <c r="K49" s="5988" t="s">
        <v>433</v>
      </c>
      <c r="L49" s="5989" t="s">
        <v>433</v>
      </c>
      <c r="M49" s="5990" t="s">
        <v>433</v>
      </c>
      <c r="N49" s="5991" t="s">
        <v>433</v>
      </c>
      <c r="O49" s="5992" t="s">
        <v>433</v>
      </c>
      <c r="P49" s="5993" t="s">
        <v>433</v>
      </c>
    </row>
    <row r="50">
      <c r="A50" s="5994" t="s">
        <v>937</v>
      </c>
      <c r="B50" s="5995" t="s">
        <v>596</v>
      </c>
      <c r="C50" s="5996" t="s">
        <v>838</v>
      </c>
      <c r="D50" s="5997" t="s">
        <v>435</v>
      </c>
      <c r="E50" s="5998" t="s">
        <v>829</v>
      </c>
      <c r="F50" s="5999" t="n">
        <v>110.0</v>
      </c>
      <c r="G50" s="6000" t="s">
        <v>434</v>
      </c>
      <c r="H50" s="6001" t="n">
        <v>110.0</v>
      </c>
      <c r="I50" s="6002" t="s">
        <v>434</v>
      </c>
      <c r="J50" s="6003" t="s">
        <v>929</v>
      </c>
      <c r="K50" s="6004" t="s">
        <v>433</v>
      </c>
      <c r="L50" s="6005" t="s">
        <v>433</v>
      </c>
      <c r="M50" s="6006" t="s">
        <v>433</v>
      </c>
      <c r="N50" s="6007" t="s">
        <v>433</v>
      </c>
      <c r="O50" s="6008" t="s">
        <v>433</v>
      </c>
      <c r="P50" s="6009" t="s">
        <v>433</v>
      </c>
    </row>
    <row r="51">
      <c r="A51" s="6010" t="s">
        <v>938</v>
      </c>
      <c r="B51" s="6011" t="s">
        <v>475</v>
      </c>
      <c r="C51" s="6012" t="s">
        <v>838</v>
      </c>
      <c r="D51" s="6013" t="s">
        <v>435</v>
      </c>
      <c r="E51" s="6014" t="s">
        <v>829</v>
      </c>
      <c r="F51" s="6015" t="n">
        <v>15.8</v>
      </c>
      <c r="G51" s="6016" t="s">
        <v>434</v>
      </c>
      <c r="H51" s="6017" t="n">
        <v>15.8</v>
      </c>
      <c r="I51" s="6018" t="s">
        <v>434</v>
      </c>
      <c r="J51" s="6019" t="s">
        <v>929</v>
      </c>
      <c r="K51" s="6020" t="s">
        <v>433</v>
      </c>
      <c r="L51" s="6021" t="s">
        <v>433</v>
      </c>
      <c r="M51" s="6022" t="s">
        <v>433</v>
      </c>
      <c r="N51" s="6023" t="s">
        <v>433</v>
      </c>
      <c r="O51" s="6024" t="s">
        <v>433</v>
      </c>
      <c r="P51" s="6025" t="s">
        <v>433</v>
      </c>
    </row>
    <row r="52">
      <c r="A52" s="6026" t="s">
        <v>938</v>
      </c>
      <c r="B52" s="6027" t="s">
        <v>598</v>
      </c>
      <c r="C52" s="6028" t="s">
        <v>841</v>
      </c>
      <c r="D52" s="6029" t="s">
        <v>435</v>
      </c>
      <c r="E52" s="6030" t="s">
        <v>829</v>
      </c>
      <c r="F52" s="6031" t="n">
        <v>229.0</v>
      </c>
      <c r="G52" s="6032" t="s">
        <v>434</v>
      </c>
      <c r="H52" s="6033" t="n">
        <v>229.0</v>
      </c>
      <c r="I52" s="6034" t="s">
        <v>434</v>
      </c>
      <c r="J52" s="6035" t="s">
        <v>929</v>
      </c>
      <c r="K52" s="6036" t="s">
        <v>433</v>
      </c>
      <c r="L52" s="6037" t="s">
        <v>433</v>
      </c>
      <c r="M52" s="6038" t="s">
        <v>433</v>
      </c>
      <c r="N52" s="6039" t="s">
        <v>433</v>
      </c>
      <c r="O52" s="6040" t="s">
        <v>835</v>
      </c>
      <c r="P52" s="6041" t="s">
        <v>433</v>
      </c>
    </row>
    <row r="53">
      <c r="A53" s="6042" t="s">
        <v>938</v>
      </c>
      <c r="B53" s="6043" t="s">
        <v>531</v>
      </c>
      <c r="C53" s="6044" t="s">
        <v>836</v>
      </c>
      <c r="D53" s="6045" t="s">
        <v>435</v>
      </c>
      <c r="E53" s="6046" t="s">
        <v>829</v>
      </c>
      <c r="F53" s="6047" t="n">
        <v>58.0</v>
      </c>
      <c r="G53" s="6048" t="s">
        <v>434</v>
      </c>
      <c r="H53" s="6049" t="n">
        <v>58.0</v>
      </c>
      <c r="I53" s="6050" t="s">
        <v>434</v>
      </c>
      <c r="J53" s="6051" t="s">
        <v>929</v>
      </c>
      <c r="K53" s="6052" t="s">
        <v>433</v>
      </c>
      <c r="L53" s="6053" t="s">
        <v>433</v>
      </c>
      <c r="M53" s="6054" t="s">
        <v>433</v>
      </c>
      <c r="N53" s="6055" t="s">
        <v>433</v>
      </c>
      <c r="O53" s="6056" t="s">
        <v>833</v>
      </c>
      <c r="P53" s="6057" t="s">
        <v>433</v>
      </c>
    </row>
    <row r="54">
      <c r="A54" s="6058" t="s">
        <v>938</v>
      </c>
      <c r="B54" s="6059" t="s">
        <v>442</v>
      </c>
      <c r="C54" s="6060" t="s">
        <v>836</v>
      </c>
      <c r="D54" s="6061" t="s">
        <v>435</v>
      </c>
      <c r="E54" s="6062" t="s">
        <v>829</v>
      </c>
      <c r="F54" s="6063" t="n">
        <v>190.0</v>
      </c>
      <c r="G54" s="6064" t="s">
        <v>434</v>
      </c>
      <c r="H54" s="6065" t="n">
        <v>190.0</v>
      </c>
      <c r="I54" s="6066" t="s">
        <v>434</v>
      </c>
      <c r="J54" s="6067" t="s">
        <v>929</v>
      </c>
      <c r="K54" s="6068" t="s">
        <v>433</v>
      </c>
      <c r="L54" s="6069" t="s">
        <v>433</v>
      </c>
      <c r="M54" s="6070" t="s">
        <v>433</v>
      </c>
      <c r="N54" s="6071" t="s">
        <v>433</v>
      </c>
      <c r="O54" s="6072" t="s">
        <v>835</v>
      </c>
      <c r="P54" s="6073" t="s">
        <v>433</v>
      </c>
    </row>
    <row r="55">
      <c r="A55" s="6074" t="s">
        <v>939</v>
      </c>
      <c r="B55" s="6075" t="s">
        <v>475</v>
      </c>
      <c r="C55" s="6076" t="s">
        <v>838</v>
      </c>
      <c r="D55" s="6077" t="s">
        <v>435</v>
      </c>
      <c r="E55" s="6078" t="s">
        <v>829</v>
      </c>
      <c r="F55" s="6079" t="n">
        <v>12.8</v>
      </c>
      <c r="G55" s="6080" t="s">
        <v>434</v>
      </c>
      <c r="H55" s="6081" t="n">
        <v>12.8</v>
      </c>
      <c r="I55" s="6082" t="s">
        <v>434</v>
      </c>
      <c r="J55" s="6083" t="s">
        <v>929</v>
      </c>
      <c r="K55" s="6084" t="s">
        <v>433</v>
      </c>
      <c r="L55" s="6085" t="s">
        <v>433</v>
      </c>
      <c r="M55" s="6086" t="s">
        <v>433</v>
      </c>
      <c r="N55" s="6087" t="s">
        <v>433</v>
      </c>
      <c r="O55" s="6088" t="s">
        <v>433</v>
      </c>
      <c r="P55" s="6089" t="s">
        <v>433</v>
      </c>
    </row>
    <row r="56">
      <c r="A56" s="6090" t="s">
        <v>939</v>
      </c>
      <c r="B56" s="6091" t="s">
        <v>439</v>
      </c>
      <c r="C56" s="6092" t="s">
        <v>828</v>
      </c>
      <c r="D56" s="6093" t="s">
        <v>435</v>
      </c>
      <c r="E56" s="6094" t="s">
        <v>829</v>
      </c>
      <c r="F56" s="6095" t="n">
        <v>53.55</v>
      </c>
      <c r="G56" s="6096" t="s">
        <v>434</v>
      </c>
      <c r="H56" s="6097" t="n">
        <v>53.55</v>
      </c>
      <c r="I56" s="6098" t="s">
        <v>434</v>
      </c>
      <c r="J56" s="6099" t="s">
        <v>929</v>
      </c>
      <c r="K56" s="6100" t="s">
        <v>433</v>
      </c>
      <c r="L56" s="6101" t="s">
        <v>433</v>
      </c>
      <c r="M56" s="6102" t="s">
        <v>433</v>
      </c>
      <c r="N56" s="6103" t="s">
        <v>433</v>
      </c>
      <c r="O56" s="6104" t="s">
        <v>833</v>
      </c>
      <c r="P56" s="6105" t="s">
        <v>433</v>
      </c>
    </row>
    <row r="57">
      <c r="A57" s="6106" t="s">
        <v>939</v>
      </c>
      <c r="B57" s="6107" t="s">
        <v>439</v>
      </c>
      <c r="C57" s="6108" t="s">
        <v>828</v>
      </c>
      <c r="D57" s="6109" t="s">
        <v>435</v>
      </c>
      <c r="E57" s="6110" t="s">
        <v>829</v>
      </c>
      <c r="F57" s="6111" t="n">
        <v>51.0</v>
      </c>
      <c r="G57" s="6112" t="s">
        <v>434</v>
      </c>
      <c r="H57" s="6113" t="n">
        <v>51.0</v>
      </c>
      <c r="I57" s="6114" t="s">
        <v>434</v>
      </c>
      <c r="J57" s="6115" t="s">
        <v>929</v>
      </c>
      <c r="K57" s="6116" t="s">
        <v>433</v>
      </c>
      <c r="L57" s="6117" t="s">
        <v>433</v>
      </c>
      <c r="M57" s="6118" t="s">
        <v>433</v>
      </c>
      <c r="N57" s="6119" t="s">
        <v>433</v>
      </c>
      <c r="O57" s="6120" t="s">
        <v>833</v>
      </c>
      <c r="P57" s="6121" t="s">
        <v>433</v>
      </c>
    </row>
    <row r="58">
      <c r="A58" s="6122" t="s">
        <v>939</v>
      </c>
      <c r="B58" s="6123" t="s">
        <v>439</v>
      </c>
      <c r="C58" s="6124" t="s">
        <v>828</v>
      </c>
      <c r="D58" s="6125" t="s">
        <v>435</v>
      </c>
      <c r="E58" s="6126" t="s">
        <v>829</v>
      </c>
      <c r="F58" s="6127" t="n">
        <v>70.12</v>
      </c>
      <c r="G58" s="6128" t="s">
        <v>434</v>
      </c>
      <c r="H58" s="6129" t="n">
        <v>70.12</v>
      </c>
      <c r="I58" s="6130" t="s">
        <v>434</v>
      </c>
      <c r="J58" s="6131" t="s">
        <v>929</v>
      </c>
      <c r="K58" s="6132" t="s">
        <v>433</v>
      </c>
      <c r="L58" s="6133" t="s">
        <v>433</v>
      </c>
      <c r="M58" s="6134" t="s">
        <v>433</v>
      </c>
      <c r="N58" s="6135" t="s">
        <v>433</v>
      </c>
      <c r="O58" s="6136" t="s">
        <v>833</v>
      </c>
      <c r="P58" s="6137" t="s">
        <v>433</v>
      </c>
    </row>
    <row r="59">
      <c r="A59" s="6138" t="s">
        <v>939</v>
      </c>
      <c r="B59" s="6139" t="s">
        <v>439</v>
      </c>
      <c r="C59" s="6140" t="s">
        <v>828</v>
      </c>
      <c r="D59" s="6141" t="s">
        <v>435</v>
      </c>
      <c r="E59" s="6142" t="s">
        <v>829</v>
      </c>
      <c r="F59" s="6143" t="n">
        <v>88.2</v>
      </c>
      <c r="G59" s="6144" t="s">
        <v>434</v>
      </c>
      <c r="H59" s="6145" t="n">
        <v>88.2</v>
      </c>
      <c r="I59" s="6146" t="s">
        <v>434</v>
      </c>
      <c r="J59" s="6147" t="s">
        <v>929</v>
      </c>
      <c r="K59" s="6148" t="s">
        <v>433</v>
      </c>
      <c r="L59" s="6149" t="s">
        <v>433</v>
      </c>
      <c r="M59" s="6150" t="s">
        <v>433</v>
      </c>
      <c r="N59" s="6151" t="s">
        <v>433</v>
      </c>
      <c r="O59" s="6152" t="s">
        <v>833</v>
      </c>
      <c r="P59" s="6153" t="s">
        <v>433</v>
      </c>
    </row>
    <row r="60">
      <c r="A60" s="6154" t="s">
        <v>940</v>
      </c>
      <c r="B60" s="6155" t="s">
        <v>605</v>
      </c>
      <c r="C60" s="6156" t="s">
        <v>828</v>
      </c>
      <c r="D60" s="6157" t="s">
        <v>435</v>
      </c>
      <c r="E60" s="6158" t="s">
        <v>829</v>
      </c>
      <c r="F60" s="6159" t="n">
        <v>100.0</v>
      </c>
      <c r="G60" s="6160" t="s">
        <v>434</v>
      </c>
      <c r="H60" s="6161" t="n">
        <v>100.0</v>
      </c>
      <c r="I60" s="6162" t="s">
        <v>434</v>
      </c>
      <c r="J60" s="6163" t="s">
        <v>929</v>
      </c>
      <c r="K60" s="6164" t="s">
        <v>433</v>
      </c>
      <c r="L60" s="6165" t="s">
        <v>433</v>
      </c>
      <c r="M60" s="6166" t="s">
        <v>433</v>
      </c>
      <c r="N60" s="6167" t="s">
        <v>433</v>
      </c>
      <c r="O60" s="6168" t="s">
        <v>433</v>
      </c>
      <c r="P60" s="6169" t="s">
        <v>433</v>
      </c>
    </row>
    <row r="61">
      <c r="A61" s="6170" t="s">
        <v>941</v>
      </c>
      <c r="B61" s="6171" t="s">
        <v>607</v>
      </c>
      <c r="C61" s="6172" t="s">
        <v>836</v>
      </c>
      <c r="D61" s="6173" t="s">
        <v>435</v>
      </c>
      <c r="E61" s="6174" t="s">
        <v>829</v>
      </c>
      <c r="F61" s="6175" t="n">
        <v>12.0</v>
      </c>
      <c r="G61" s="6176" t="s">
        <v>434</v>
      </c>
      <c r="H61" s="6177" t="n">
        <v>12.0</v>
      </c>
      <c r="I61" s="6178" t="s">
        <v>434</v>
      </c>
      <c r="J61" s="6179" t="s">
        <v>929</v>
      </c>
      <c r="K61" s="6180" t="s">
        <v>433</v>
      </c>
      <c r="L61" s="6181" t="s">
        <v>433</v>
      </c>
      <c r="M61" s="6182" t="s">
        <v>433</v>
      </c>
      <c r="N61" s="6183" t="s">
        <v>433</v>
      </c>
      <c r="O61" s="6184" t="s">
        <v>831</v>
      </c>
      <c r="P61" s="6185" t="s">
        <v>433</v>
      </c>
    </row>
    <row r="62">
      <c r="A62" s="6186" t="s">
        <v>941</v>
      </c>
      <c r="B62" s="6187" t="s">
        <v>607</v>
      </c>
      <c r="C62" s="6188" t="s">
        <v>836</v>
      </c>
      <c r="D62" s="6189" t="s">
        <v>435</v>
      </c>
      <c r="E62" s="6190" t="s">
        <v>829</v>
      </c>
      <c r="F62" s="6191" t="n">
        <v>25.0</v>
      </c>
      <c r="G62" s="6192" t="s">
        <v>434</v>
      </c>
      <c r="H62" s="6193" t="n">
        <v>25.0</v>
      </c>
      <c r="I62" s="6194" t="s">
        <v>434</v>
      </c>
      <c r="J62" s="6195" t="s">
        <v>929</v>
      </c>
      <c r="K62" s="6196" t="s">
        <v>433</v>
      </c>
      <c r="L62" s="6197" t="s">
        <v>433</v>
      </c>
      <c r="M62" s="6198" t="s">
        <v>433</v>
      </c>
      <c r="N62" s="6199" t="s">
        <v>433</v>
      </c>
      <c r="O62" s="6200" t="s">
        <v>831</v>
      </c>
      <c r="P62" s="6201" t="s">
        <v>433</v>
      </c>
    </row>
    <row r="63">
      <c r="A63" s="6202" t="s">
        <v>941</v>
      </c>
      <c r="B63" s="6203" t="s">
        <v>607</v>
      </c>
      <c r="C63" s="6204" t="s">
        <v>836</v>
      </c>
      <c r="D63" s="6205" t="s">
        <v>435</v>
      </c>
      <c r="E63" s="6206" t="s">
        <v>829</v>
      </c>
      <c r="F63" s="6207" t="n">
        <v>34.0</v>
      </c>
      <c r="G63" s="6208" t="s">
        <v>434</v>
      </c>
      <c r="H63" s="6209" t="n">
        <v>34.0</v>
      </c>
      <c r="I63" s="6210" t="s">
        <v>434</v>
      </c>
      <c r="J63" s="6211" t="s">
        <v>929</v>
      </c>
      <c r="K63" s="6212" t="s">
        <v>433</v>
      </c>
      <c r="L63" s="6213" t="s">
        <v>433</v>
      </c>
      <c r="M63" s="6214" t="s">
        <v>433</v>
      </c>
      <c r="N63" s="6215" t="s">
        <v>433</v>
      </c>
      <c r="O63" s="6216" t="s">
        <v>433</v>
      </c>
      <c r="P63" s="6217" t="s">
        <v>433</v>
      </c>
    </row>
    <row r="64">
      <c r="A64" s="6218" t="s">
        <v>941</v>
      </c>
      <c r="B64" s="6219" t="s">
        <v>442</v>
      </c>
      <c r="C64" s="6220" t="s">
        <v>836</v>
      </c>
      <c r="D64" s="6221" t="s">
        <v>435</v>
      </c>
      <c r="E64" s="6222" t="s">
        <v>829</v>
      </c>
      <c r="F64" s="6223" t="n">
        <v>190.0</v>
      </c>
      <c r="G64" s="6224" t="s">
        <v>434</v>
      </c>
      <c r="H64" s="6225" t="n">
        <v>190.0</v>
      </c>
      <c r="I64" s="6226" t="s">
        <v>434</v>
      </c>
      <c r="J64" s="6227" t="s">
        <v>929</v>
      </c>
      <c r="K64" s="6228" t="s">
        <v>433</v>
      </c>
      <c r="L64" s="6229" t="s">
        <v>433</v>
      </c>
      <c r="M64" s="6230" t="s">
        <v>433</v>
      </c>
      <c r="N64" s="6231" t="s">
        <v>433</v>
      </c>
      <c r="O64" s="6232" t="s">
        <v>835</v>
      </c>
      <c r="P64" s="6233" t="s">
        <v>433</v>
      </c>
    </row>
    <row r="65">
      <c r="A65" s="6234" t="s">
        <v>942</v>
      </c>
      <c r="B65" s="6235" t="s">
        <v>475</v>
      </c>
      <c r="C65" s="6236" t="s">
        <v>838</v>
      </c>
      <c r="D65" s="6237" t="s">
        <v>435</v>
      </c>
      <c r="E65" s="6238" t="s">
        <v>829</v>
      </c>
      <c r="F65" s="6239" t="n">
        <v>9.8</v>
      </c>
      <c r="G65" s="6240" t="s">
        <v>434</v>
      </c>
      <c r="H65" s="6241" t="n">
        <v>9.8</v>
      </c>
      <c r="I65" s="6242" t="s">
        <v>434</v>
      </c>
      <c r="J65" s="6243" t="s">
        <v>929</v>
      </c>
      <c r="K65" s="6244" t="s">
        <v>433</v>
      </c>
      <c r="L65" s="6245" t="s">
        <v>433</v>
      </c>
      <c r="M65" s="6246" t="s">
        <v>433</v>
      </c>
      <c r="N65" s="6247" t="s">
        <v>433</v>
      </c>
      <c r="O65" s="6248" t="s">
        <v>433</v>
      </c>
      <c r="P65" s="6249" t="s">
        <v>433</v>
      </c>
    </row>
    <row r="66">
      <c r="A66" s="6250" t="s">
        <v>942</v>
      </c>
      <c r="B66" s="6251" t="s">
        <v>543</v>
      </c>
      <c r="C66" s="6252" t="s">
        <v>870</v>
      </c>
      <c r="D66" s="6253" t="s">
        <v>435</v>
      </c>
      <c r="E66" s="6254" t="s">
        <v>829</v>
      </c>
      <c r="F66" s="6255" t="n">
        <v>78.0</v>
      </c>
      <c r="G66" s="6256" t="s">
        <v>434</v>
      </c>
      <c r="H66" s="6257" t="n">
        <v>78.0</v>
      </c>
      <c r="I66" s="6258" t="s">
        <v>434</v>
      </c>
      <c r="J66" s="6259" t="s">
        <v>929</v>
      </c>
      <c r="K66" s="6260" t="s">
        <v>433</v>
      </c>
      <c r="L66" s="6261" t="s">
        <v>433</v>
      </c>
      <c r="M66" s="6262" t="s">
        <v>433</v>
      </c>
      <c r="N66" s="6263" t="s">
        <v>433</v>
      </c>
      <c r="O66" s="6264" t="s">
        <v>833</v>
      </c>
      <c r="P66" s="6265" t="s">
        <v>433</v>
      </c>
    </row>
    <row r="67">
      <c r="A67" s="6266" t="s">
        <v>943</v>
      </c>
      <c r="B67" s="6267" t="s">
        <v>456</v>
      </c>
      <c r="C67" s="6268" t="s">
        <v>836</v>
      </c>
      <c r="D67" s="6269" t="s">
        <v>435</v>
      </c>
      <c r="E67" s="6270" t="s">
        <v>829</v>
      </c>
      <c r="F67" s="6271" t="n">
        <v>349.0</v>
      </c>
      <c r="G67" s="6272" t="s">
        <v>434</v>
      </c>
      <c r="H67" s="6273" t="n">
        <v>349.0</v>
      </c>
      <c r="I67" s="6274" t="s">
        <v>434</v>
      </c>
      <c r="J67" s="6275" t="s">
        <v>929</v>
      </c>
      <c r="K67" s="6276" t="s">
        <v>433</v>
      </c>
      <c r="L67" s="6277" t="s">
        <v>433</v>
      </c>
      <c r="M67" s="6278" t="s">
        <v>433</v>
      </c>
      <c r="N67" s="6279" t="s">
        <v>433</v>
      </c>
      <c r="O67" s="6280" t="s">
        <v>833</v>
      </c>
      <c r="P67" s="6281" t="s">
        <v>433</v>
      </c>
    </row>
    <row r="68">
      <c r="A68" s="6282" t="s">
        <v>943</v>
      </c>
      <c r="B68" s="6283" t="s">
        <v>475</v>
      </c>
      <c r="C68" s="6284" t="s">
        <v>838</v>
      </c>
      <c r="D68" s="6285" t="s">
        <v>435</v>
      </c>
      <c r="E68" s="6286" t="s">
        <v>829</v>
      </c>
      <c r="F68" s="6287" t="n">
        <v>22.8</v>
      </c>
      <c r="G68" s="6288" t="s">
        <v>434</v>
      </c>
      <c r="H68" s="6289" t="n">
        <v>22.8</v>
      </c>
      <c r="I68" s="6290" t="s">
        <v>434</v>
      </c>
      <c r="J68" s="6291" t="s">
        <v>929</v>
      </c>
      <c r="K68" s="6292" t="s">
        <v>433</v>
      </c>
      <c r="L68" s="6293" t="s">
        <v>433</v>
      </c>
      <c r="M68" s="6294" t="s">
        <v>433</v>
      </c>
      <c r="N68" s="6295" t="s">
        <v>433</v>
      </c>
      <c r="O68" s="6296" t="s">
        <v>433</v>
      </c>
      <c r="P68" s="6297" t="s">
        <v>433</v>
      </c>
    </row>
    <row r="69">
      <c r="A69" s="6298" t="s">
        <v>943</v>
      </c>
      <c r="B69" s="6299" t="s">
        <v>460</v>
      </c>
      <c r="C69" s="6300" t="s">
        <v>841</v>
      </c>
      <c r="D69" s="6301" t="s">
        <v>435</v>
      </c>
      <c r="E69" s="6302" t="s">
        <v>829</v>
      </c>
      <c r="F69" s="6303" t="n">
        <v>155.03</v>
      </c>
      <c r="G69" s="6304" t="s">
        <v>434</v>
      </c>
      <c r="H69" s="6305" t="n">
        <v>155.03</v>
      </c>
      <c r="I69" s="6306" t="s">
        <v>434</v>
      </c>
      <c r="J69" s="6307" t="s">
        <v>929</v>
      </c>
      <c r="K69" s="6308" t="s">
        <v>433</v>
      </c>
      <c r="L69" s="6309" t="s">
        <v>433</v>
      </c>
      <c r="M69" s="6310" t="s">
        <v>433</v>
      </c>
      <c r="N69" s="6311" t="s">
        <v>433</v>
      </c>
      <c r="O69" s="6312" t="s">
        <v>833</v>
      </c>
      <c r="P69" s="6313" t="s">
        <v>433</v>
      </c>
    </row>
    <row r="70">
      <c r="A70" s="6314" t="s">
        <v>943</v>
      </c>
      <c r="B70" s="6315" t="s">
        <v>439</v>
      </c>
      <c r="C70" s="6316" t="s">
        <v>828</v>
      </c>
      <c r="D70" s="6317" t="s">
        <v>435</v>
      </c>
      <c r="E70" s="6318" t="s">
        <v>829</v>
      </c>
      <c r="F70" s="6319" t="n">
        <v>39.78</v>
      </c>
      <c r="G70" s="6320" t="s">
        <v>434</v>
      </c>
      <c r="H70" s="6321" t="n">
        <v>39.78</v>
      </c>
      <c r="I70" s="6322" t="s">
        <v>434</v>
      </c>
      <c r="J70" s="6323" t="s">
        <v>929</v>
      </c>
      <c r="K70" s="6324" t="s">
        <v>433</v>
      </c>
      <c r="L70" s="6325" t="s">
        <v>433</v>
      </c>
      <c r="M70" s="6326" t="s">
        <v>433</v>
      </c>
      <c r="N70" s="6327" t="s">
        <v>433</v>
      </c>
      <c r="O70" s="6328" t="s">
        <v>833</v>
      </c>
      <c r="P70" s="6329" t="s">
        <v>433</v>
      </c>
    </row>
    <row r="71">
      <c r="A71" s="6330" t="s">
        <v>943</v>
      </c>
      <c r="B71" s="6331" t="s">
        <v>439</v>
      </c>
      <c r="C71" s="6332" t="s">
        <v>828</v>
      </c>
      <c r="D71" s="6333" t="s">
        <v>435</v>
      </c>
      <c r="E71" s="6334" t="s">
        <v>829</v>
      </c>
      <c r="F71" s="6335" t="n">
        <v>10.4</v>
      </c>
      <c r="G71" s="6336" t="s">
        <v>434</v>
      </c>
      <c r="H71" s="6337" t="n">
        <v>10.4</v>
      </c>
      <c r="I71" s="6338" t="s">
        <v>434</v>
      </c>
      <c r="J71" s="6339" t="s">
        <v>929</v>
      </c>
      <c r="K71" s="6340" t="s">
        <v>433</v>
      </c>
      <c r="L71" s="6341" t="s">
        <v>433</v>
      </c>
      <c r="M71" s="6342" t="s">
        <v>433</v>
      </c>
      <c r="N71" s="6343" t="s">
        <v>433</v>
      </c>
      <c r="O71" s="6344" t="s">
        <v>833</v>
      </c>
      <c r="P71" s="6345" t="s">
        <v>433</v>
      </c>
    </row>
    <row r="72">
      <c r="A72" s="6346" t="s">
        <v>944</v>
      </c>
      <c r="B72" s="6347" t="s">
        <v>456</v>
      </c>
      <c r="C72" s="6348" t="s">
        <v>836</v>
      </c>
      <c r="D72" s="6349" t="s">
        <v>435</v>
      </c>
      <c r="E72" s="6350" t="s">
        <v>829</v>
      </c>
      <c r="F72" s="6351" t="n">
        <v>176.0</v>
      </c>
      <c r="G72" s="6352" t="s">
        <v>434</v>
      </c>
      <c r="H72" s="6353" t="n">
        <v>176.0</v>
      </c>
      <c r="I72" s="6354" t="s">
        <v>434</v>
      </c>
      <c r="J72" s="6355" t="s">
        <v>929</v>
      </c>
      <c r="K72" s="6356" t="s">
        <v>433</v>
      </c>
      <c r="L72" s="6357" t="s">
        <v>433</v>
      </c>
      <c r="M72" s="6358" t="s">
        <v>433</v>
      </c>
      <c r="N72" s="6359" t="s">
        <v>433</v>
      </c>
      <c r="O72" s="6360" t="s">
        <v>833</v>
      </c>
      <c r="P72" s="6361" t="s">
        <v>433</v>
      </c>
    </row>
    <row r="73">
      <c r="A73" s="6362" t="s">
        <v>944</v>
      </c>
      <c r="B73" s="6363" t="s">
        <v>525</v>
      </c>
      <c r="C73" s="6364" t="s">
        <v>841</v>
      </c>
      <c r="D73" s="6365" t="s">
        <v>435</v>
      </c>
      <c r="E73" s="6366" t="s">
        <v>829</v>
      </c>
      <c r="F73" s="6367" t="n">
        <v>24.8</v>
      </c>
      <c r="G73" s="6368" t="s">
        <v>434</v>
      </c>
      <c r="H73" s="6369" t="n">
        <v>24.8</v>
      </c>
      <c r="I73" s="6370" t="s">
        <v>434</v>
      </c>
      <c r="J73" s="6371" t="s">
        <v>929</v>
      </c>
      <c r="K73" s="6372" t="s">
        <v>433</v>
      </c>
      <c r="L73" s="6373" t="s">
        <v>433</v>
      </c>
      <c r="M73" s="6374" t="s">
        <v>433</v>
      </c>
      <c r="N73" s="6375" t="s">
        <v>433</v>
      </c>
      <c r="O73" s="6376" t="s">
        <v>433</v>
      </c>
      <c r="P73" s="6377" t="s">
        <v>433</v>
      </c>
    </row>
    <row r="74">
      <c r="A74" s="6378" t="s">
        <v>944</v>
      </c>
      <c r="B74" s="6379" t="s">
        <v>589</v>
      </c>
      <c r="C74" s="6380" t="s">
        <v>828</v>
      </c>
      <c r="D74" s="6381" t="s">
        <v>435</v>
      </c>
      <c r="E74" s="6382" t="s">
        <v>829</v>
      </c>
      <c r="F74" s="6383" t="n">
        <v>100.0</v>
      </c>
      <c r="G74" s="6384" t="s">
        <v>434</v>
      </c>
      <c r="H74" s="6385" t="n">
        <v>100.0</v>
      </c>
      <c r="I74" s="6386" t="s">
        <v>434</v>
      </c>
      <c r="J74" s="6387" t="s">
        <v>929</v>
      </c>
      <c r="K74" s="6388" t="s">
        <v>433</v>
      </c>
      <c r="L74" s="6389" t="s">
        <v>433</v>
      </c>
      <c r="M74" s="6390" t="s">
        <v>433</v>
      </c>
      <c r="N74" s="6391" t="s">
        <v>433</v>
      </c>
      <c r="O74" s="6392" t="s">
        <v>833</v>
      </c>
      <c r="P74" s="6393" t="s">
        <v>433</v>
      </c>
    </row>
    <row r="75">
      <c r="A75" s="6394" t="s">
        <v>944</v>
      </c>
      <c r="B75" s="6395" t="s">
        <v>471</v>
      </c>
      <c r="C75" s="6396" t="s">
        <v>838</v>
      </c>
      <c r="D75" s="6397" t="s">
        <v>435</v>
      </c>
      <c r="E75" s="6398" t="s">
        <v>829</v>
      </c>
      <c r="F75" s="6399" t="n">
        <v>34.7</v>
      </c>
      <c r="G75" s="6400" t="s">
        <v>434</v>
      </c>
      <c r="H75" s="6401" t="n">
        <v>34.7</v>
      </c>
      <c r="I75" s="6402" t="s">
        <v>434</v>
      </c>
      <c r="J75" s="6403" t="s">
        <v>929</v>
      </c>
      <c r="K75" s="6404" t="s">
        <v>433</v>
      </c>
      <c r="L75" s="6405" t="s">
        <v>433</v>
      </c>
      <c r="M75" s="6406" t="s">
        <v>433</v>
      </c>
      <c r="N75" s="6407" t="s">
        <v>433</v>
      </c>
      <c r="O75" s="6408" t="s">
        <v>433</v>
      </c>
      <c r="P75" s="6409" t="s">
        <v>433</v>
      </c>
    </row>
    <row r="76">
      <c r="A76" s="6410" t="s">
        <v>944</v>
      </c>
      <c r="B76" s="6411" t="s">
        <v>611</v>
      </c>
      <c r="C76" s="6412" t="s">
        <v>828</v>
      </c>
      <c r="D76" s="6413" t="s">
        <v>435</v>
      </c>
      <c r="E76" s="6414" t="s">
        <v>829</v>
      </c>
      <c r="F76" s="6415" t="n">
        <v>117.0</v>
      </c>
      <c r="G76" s="6416" t="s">
        <v>434</v>
      </c>
      <c r="H76" s="6417" t="n">
        <v>117.0</v>
      </c>
      <c r="I76" s="6418" t="s">
        <v>434</v>
      </c>
      <c r="J76" s="6419" t="s">
        <v>929</v>
      </c>
      <c r="K76" s="6420" t="s">
        <v>433</v>
      </c>
      <c r="L76" s="6421" t="s">
        <v>433</v>
      </c>
      <c r="M76" s="6422" t="s">
        <v>433</v>
      </c>
      <c r="N76" s="6423" t="s">
        <v>433</v>
      </c>
      <c r="O76" s="6424" t="s">
        <v>433</v>
      </c>
      <c r="P76" s="6425" t="s">
        <v>433</v>
      </c>
    </row>
    <row r="77">
      <c r="A77" s="6426" t="s">
        <v>944</v>
      </c>
      <c r="B77" s="6427" t="s">
        <v>440</v>
      </c>
      <c r="C77" s="6428" t="s">
        <v>836</v>
      </c>
      <c r="D77" s="6429" t="s">
        <v>435</v>
      </c>
      <c r="E77" s="6430" t="s">
        <v>829</v>
      </c>
      <c r="F77" s="6431" t="n">
        <v>90.0</v>
      </c>
      <c r="G77" s="6432" t="s">
        <v>434</v>
      </c>
      <c r="H77" s="6433" t="n">
        <v>90.0</v>
      </c>
      <c r="I77" s="6434" t="s">
        <v>434</v>
      </c>
      <c r="J77" s="6435" t="s">
        <v>929</v>
      </c>
      <c r="K77" s="6436" t="s">
        <v>433</v>
      </c>
      <c r="L77" s="6437" t="s">
        <v>433</v>
      </c>
      <c r="M77" s="6438" t="s">
        <v>433</v>
      </c>
      <c r="N77" s="6439" t="s">
        <v>433</v>
      </c>
      <c r="O77" s="6440" t="s">
        <v>833</v>
      </c>
      <c r="P77" s="6441" t="s">
        <v>433</v>
      </c>
    </row>
    <row r="78">
      <c r="A78" s="6442" t="s">
        <v>945</v>
      </c>
      <c r="B78" s="6443" t="s">
        <v>475</v>
      </c>
      <c r="C78" s="6444" t="s">
        <v>838</v>
      </c>
      <c r="D78" s="6445" t="s">
        <v>435</v>
      </c>
      <c r="E78" s="6446" t="s">
        <v>829</v>
      </c>
      <c r="F78" s="6447" t="n">
        <v>4.9</v>
      </c>
      <c r="G78" s="6448" t="s">
        <v>434</v>
      </c>
      <c r="H78" s="6449" t="n">
        <v>4.9</v>
      </c>
      <c r="I78" s="6450" t="s">
        <v>434</v>
      </c>
      <c r="J78" s="6451" t="s">
        <v>929</v>
      </c>
      <c r="K78" s="6452" t="s">
        <v>433</v>
      </c>
      <c r="L78" s="6453" t="s">
        <v>433</v>
      </c>
      <c r="M78" s="6454" t="s">
        <v>433</v>
      </c>
      <c r="N78" s="6455" t="s">
        <v>433</v>
      </c>
      <c r="O78" s="6456" t="s">
        <v>433</v>
      </c>
      <c r="P78" s="6457" t="s">
        <v>433</v>
      </c>
    </row>
    <row r="79">
      <c r="A79" s="6458" t="s">
        <v>945</v>
      </c>
      <c r="B79" s="6459" t="s">
        <v>533</v>
      </c>
      <c r="C79" s="6460" t="s">
        <v>836</v>
      </c>
      <c r="D79" s="6461" t="s">
        <v>435</v>
      </c>
      <c r="E79" s="6462" t="s">
        <v>829</v>
      </c>
      <c r="F79" s="6463" t="n">
        <v>20.0</v>
      </c>
      <c r="G79" s="6464" t="s">
        <v>434</v>
      </c>
      <c r="H79" s="6465" t="n">
        <v>20.0</v>
      </c>
      <c r="I79" s="6466" t="s">
        <v>434</v>
      </c>
      <c r="J79" s="6467" t="s">
        <v>929</v>
      </c>
      <c r="K79" s="6468" t="s">
        <v>433</v>
      </c>
      <c r="L79" s="6469" t="s">
        <v>433</v>
      </c>
      <c r="M79" s="6470" t="s">
        <v>433</v>
      </c>
      <c r="N79" s="6471" t="s">
        <v>433</v>
      </c>
      <c r="O79" s="6472" t="s">
        <v>433</v>
      </c>
      <c r="P79" s="6473" t="s">
        <v>433</v>
      </c>
    </row>
    <row r="80">
      <c r="A80" s="6474" t="s">
        <v>945</v>
      </c>
      <c r="B80" s="6475" t="s">
        <v>533</v>
      </c>
      <c r="C80" s="6476" t="s">
        <v>836</v>
      </c>
      <c r="D80" s="6477" t="s">
        <v>435</v>
      </c>
      <c r="E80" s="6478" t="s">
        <v>829</v>
      </c>
      <c r="F80" s="6479" t="n">
        <v>11.9</v>
      </c>
      <c r="G80" s="6480" t="s">
        <v>434</v>
      </c>
      <c r="H80" s="6481" t="n">
        <v>11.9</v>
      </c>
      <c r="I80" s="6482" t="s">
        <v>434</v>
      </c>
      <c r="J80" s="6483" t="s">
        <v>929</v>
      </c>
      <c r="K80" s="6484" t="s">
        <v>433</v>
      </c>
      <c r="L80" s="6485" t="s">
        <v>433</v>
      </c>
      <c r="M80" s="6486" t="s">
        <v>433</v>
      </c>
      <c r="N80" s="6487" t="s">
        <v>433</v>
      </c>
      <c r="O80" s="6488" t="s">
        <v>433</v>
      </c>
      <c r="P80" s="6489" t="s">
        <v>433</v>
      </c>
    </row>
    <row r="81">
      <c r="A81" s="6490" t="s">
        <v>945</v>
      </c>
      <c r="B81" s="6491" t="s">
        <v>441</v>
      </c>
      <c r="C81" s="6492" t="s">
        <v>836</v>
      </c>
      <c r="D81" s="6493" t="s">
        <v>435</v>
      </c>
      <c r="E81" s="6494" t="s">
        <v>829</v>
      </c>
      <c r="F81" s="6495" t="n">
        <v>12.0</v>
      </c>
      <c r="G81" s="6496" t="s">
        <v>434</v>
      </c>
      <c r="H81" s="6497" t="n">
        <v>12.0</v>
      </c>
      <c r="I81" s="6498" t="s">
        <v>434</v>
      </c>
      <c r="J81" s="6499" t="s">
        <v>929</v>
      </c>
      <c r="K81" s="6500" t="s">
        <v>433</v>
      </c>
      <c r="L81" s="6501" t="s">
        <v>433</v>
      </c>
      <c r="M81" s="6502" t="s">
        <v>433</v>
      </c>
      <c r="N81" s="6503" t="s">
        <v>433</v>
      </c>
      <c r="O81" s="6504" t="s">
        <v>833</v>
      </c>
      <c r="P81" s="6505" t="s">
        <v>433</v>
      </c>
    </row>
    <row r="82">
      <c r="A82" s="6506" t="s">
        <v>945</v>
      </c>
      <c r="B82" s="6507" t="s">
        <v>439</v>
      </c>
      <c r="C82" s="6508" t="s">
        <v>828</v>
      </c>
      <c r="D82" s="6509" t="s">
        <v>435</v>
      </c>
      <c r="E82" s="6510" t="s">
        <v>829</v>
      </c>
      <c r="F82" s="6511" t="n">
        <v>88.2</v>
      </c>
      <c r="G82" s="6512" t="s">
        <v>434</v>
      </c>
      <c r="H82" s="6513" t="n">
        <v>88.2</v>
      </c>
      <c r="I82" s="6514" t="s">
        <v>434</v>
      </c>
      <c r="J82" s="6515" t="s">
        <v>929</v>
      </c>
      <c r="K82" s="6516" t="s">
        <v>433</v>
      </c>
      <c r="L82" s="6517" t="s">
        <v>433</v>
      </c>
      <c r="M82" s="6518" t="s">
        <v>433</v>
      </c>
      <c r="N82" s="6519" t="s">
        <v>433</v>
      </c>
      <c r="O82" s="6520" t="s">
        <v>833</v>
      </c>
      <c r="P82" s="6521" t="s">
        <v>433</v>
      </c>
    </row>
    <row r="83">
      <c r="A83" s="6522" t="s">
        <v>945</v>
      </c>
      <c r="B83" s="6523" t="s">
        <v>439</v>
      </c>
      <c r="C83" s="6524" t="s">
        <v>828</v>
      </c>
      <c r="D83" s="6525" t="s">
        <v>435</v>
      </c>
      <c r="E83" s="6526" t="s">
        <v>829</v>
      </c>
      <c r="F83" s="6527" t="n">
        <v>55.0</v>
      </c>
      <c r="G83" s="6528" t="s">
        <v>434</v>
      </c>
      <c r="H83" s="6529" t="n">
        <v>55.0</v>
      </c>
      <c r="I83" s="6530" t="s">
        <v>434</v>
      </c>
      <c r="J83" s="6531" t="s">
        <v>929</v>
      </c>
      <c r="K83" s="6532" t="s">
        <v>433</v>
      </c>
      <c r="L83" s="6533" t="s">
        <v>433</v>
      </c>
      <c r="M83" s="6534" t="s">
        <v>433</v>
      </c>
      <c r="N83" s="6535" t="s">
        <v>433</v>
      </c>
      <c r="O83" s="6536" t="s">
        <v>833</v>
      </c>
      <c r="P83" s="6537" t="s">
        <v>433</v>
      </c>
    </row>
    <row r="84">
      <c r="A84" s="6538" t="s">
        <v>945</v>
      </c>
      <c r="B84" s="6539" t="s">
        <v>613</v>
      </c>
      <c r="C84" s="6540" t="s">
        <v>870</v>
      </c>
      <c r="D84" s="6541" t="s">
        <v>435</v>
      </c>
      <c r="E84" s="6542" t="s">
        <v>829</v>
      </c>
      <c r="F84" s="6543" t="n">
        <v>158.0</v>
      </c>
      <c r="G84" s="6544" t="s">
        <v>434</v>
      </c>
      <c r="H84" s="6545" t="n">
        <v>158.0</v>
      </c>
      <c r="I84" s="6546" t="s">
        <v>434</v>
      </c>
      <c r="J84" s="6547" t="s">
        <v>929</v>
      </c>
      <c r="K84" s="6548" t="s">
        <v>433</v>
      </c>
      <c r="L84" s="6549" t="s">
        <v>433</v>
      </c>
      <c r="M84" s="6550" t="s">
        <v>433</v>
      </c>
      <c r="N84" s="6551" t="s">
        <v>433</v>
      </c>
      <c r="O84" s="6552" t="s">
        <v>835</v>
      </c>
      <c r="P84" s="6553" t="s">
        <v>433</v>
      </c>
    </row>
    <row r="85">
      <c r="A85" s="6554" t="s">
        <v>946</v>
      </c>
      <c r="B85" s="6555" t="s">
        <v>525</v>
      </c>
      <c r="C85" s="6556" t="s">
        <v>841</v>
      </c>
      <c r="D85" s="6557" t="s">
        <v>435</v>
      </c>
      <c r="E85" s="6558" t="s">
        <v>829</v>
      </c>
      <c r="F85" s="6559" t="n">
        <v>24.8</v>
      </c>
      <c r="G85" s="6560" t="s">
        <v>434</v>
      </c>
      <c r="H85" s="6561" t="n">
        <v>24.8</v>
      </c>
      <c r="I85" s="6562" t="s">
        <v>434</v>
      </c>
      <c r="J85" s="6563" t="s">
        <v>929</v>
      </c>
      <c r="K85" s="6564" t="s">
        <v>433</v>
      </c>
      <c r="L85" s="6565" t="s">
        <v>433</v>
      </c>
      <c r="M85" s="6566" t="s">
        <v>433</v>
      </c>
      <c r="N85" s="6567" t="s">
        <v>433</v>
      </c>
      <c r="O85" s="6568" t="s">
        <v>433</v>
      </c>
      <c r="P85" s="6569" t="s">
        <v>433</v>
      </c>
    </row>
    <row r="86">
      <c r="A86" s="6570" t="s">
        <v>946</v>
      </c>
      <c r="B86" s="6571" t="s">
        <v>589</v>
      </c>
      <c r="C86" s="6572" t="s">
        <v>828</v>
      </c>
      <c r="D86" s="6573" t="s">
        <v>435</v>
      </c>
      <c r="E86" s="6574" t="s">
        <v>829</v>
      </c>
      <c r="F86" s="6575" t="n">
        <v>9.8</v>
      </c>
      <c r="G86" s="6576" t="s">
        <v>434</v>
      </c>
      <c r="H86" s="6577" t="n">
        <v>9.8</v>
      </c>
      <c r="I86" s="6578" t="s">
        <v>434</v>
      </c>
      <c r="J86" s="6579" t="s">
        <v>929</v>
      </c>
      <c r="K86" s="6580" t="s">
        <v>433</v>
      </c>
      <c r="L86" s="6581" t="s">
        <v>433</v>
      </c>
      <c r="M86" s="6582" t="s">
        <v>433</v>
      </c>
      <c r="N86" s="6583" t="s">
        <v>433</v>
      </c>
      <c r="O86" s="6584" t="s">
        <v>833</v>
      </c>
      <c r="P86" s="6585" t="s">
        <v>433</v>
      </c>
    </row>
    <row r="87">
      <c r="A87" s="6586" t="s">
        <v>946</v>
      </c>
      <c r="B87" s="6587" t="s">
        <v>616</v>
      </c>
      <c r="C87" s="6588" t="s">
        <v>828</v>
      </c>
      <c r="D87" s="6589" t="s">
        <v>435</v>
      </c>
      <c r="E87" s="6590" t="s">
        <v>829</v>
      </c>
      <c r="F87" s="6591" t="n">
        <v>40.0</v>
      </c>
      <c r="G87" s="6592" t="s">
        <v>434</v>
      </c>
      <c r="H87" s="6593" t="n">
        <v>40.0</v>
      </c>
      <c r="I87" s="6594" t="s">
        <v>434</v>
      </c>
      <c r="J87" s="6595" t="s">
        <v>929</v>
      </c>
      <c r="K87" s="6596" t="s">
        <v>433</v>
      </c>
      <c r="L87" s="6597" t="s">
        <v>433</v>
      </c>
      <c r="M87" s="6598" t="s">
        <v>433</v>
      </c>
      <c r="N87" s="6599" t="s">
        <v>433</v>
      </c>
      <c r="O87" s="6600" t="s">
        <v>433</v>
      </c>
      <c r="P87" s="6601" t="s">
        <v>433</v>
      </c>
    </row>
    <row r="88">
      <c r="A88" s="6602" t="s">
        <v>946</v>
      </c>
      <c r="B88" s="6603" t="s">
        <v>617</v>
      </c>
      <c r="C88" s="6604" t="s">
        <v>870</v>
      </c>
      <c r="D88" s="6605" t="s">
        <v>435</v>
      </c>
      <c r="E88" s="6606" t="s">
        <v>829</v>
      </c>
      <c r="F88" s="6607" t="n">
        <v>20.0</v>
      </c>
      <c r="G88" s="6608" t="s">
        <v>434</v>
      </c>
      <c r="H88" s="6609" t="n">
        <v>20.0</v>
      </c>
      <c r="I88" s="6610" t="s">
        <v>434</v>
      </c>
      <c r="J88" s="6611" t="s">
        <v>929</v>
      </c>
      <c r="K88" s="6612" t="s">
        <v>433</v>
      </c>
      <c r="L88" s="6613" t="s">
        <v>433</v>
      </c>
      <c r="M88" s="6614" t="s">
        <v>433</v>
      </c>
      <c r="N88" s="6615" t="s">
        <v>433</v>
      </c>
      <c r="O88" s="6616" t="s">
        <v>433</v>
      </c>
      <c r="P88" s="6617" t="s">
        <v>433</v>
      </c>
    </row>
    <row r="89">
      <c r="A89" s="6618" t="s">
        <v>946</v>
      </c>
      <c r="B89" s="6619" t="s">
        <v>618</v>
      </c>
      <c r="C89" s="6620" t="s">
        <v>828</v>
      </c>
      <c r="D89" s="6621" t="s">
        <v>435</v>
      </c>
      <c r="E89" s="6622" t="s">
        <v>829</v>
      </c>
      <c r="F89" s="6623" t="n">
        <v>18.0</v>
      </c>
      <c r="G89" s="6624" t="s">
        <v>434</v>
      </c>
      <c r="H89" s="6625" t="n">
        <v>18.0</v>
      </c>
      <c r="I89" s="6626" t="s">
        <v>434</v>
      </c>
      <c r="J89" s="6627" t="s">
        <v>929</v>
      </c>
      <c r="K89" s="6628" t="s">
        <v>433</v>
      </c>
      <c r="L89" s="6629" t="s">
        <v>433</v>
      </c>
      <c r="M89" s="6630" t="s">
        <v>433</v>
      </c>
      <c r="N89" s="6631" t="s">
        <v>433</v>
      </c>
      <c r="O89" s="6632" t="s">
        <v>831</v>
      </c>
      <c r="P89" s="6633" t="s">
        <v>433</v>
      </c>
    </row>
    <row r="90">
      <c r="A90" s="6634" t="s">
        <v>946</v>
      </c>
      <c r="B90" s="6635" t="s">
        <v>432</v>
      </c>
      <c r="C90" s="6636" t="s">
        <v>828</v>
      </c>
      <c r="D90" s="6637" t="s">
        <v>435</v>
      </c>
      <c r="E90" s="6638" t="s">
        <v>829</v>
      </c>
      <c r="F90" s="6639" t="n">
        <v>22.0</v>
      </c>
      <c r="G90" s="6640" t="s">
        <v>434</v>
      </c>
      <c r="H90" s="6641" t="n">
        <v>22.0</v>
      </c>
      <c r="I90" s="6642" t="s">
        <v>434</v>
      </c>
      <c r="J90" s="6643" t="s">
        <v>929</v>
      </c>
      <c r="K90" s="6644" t="s">
        <v>433</v>
      </c>
      <c r="L90" s="6645" t="s">
        <v>433</v>
      </c>
      <c r="M90" s="6646" t="s">
        <v>433</v>
      </c>
      <c r="N90" s="6647" t="s">
        <v>433</v>
      </c>
      <c r="O90" s="6648" t="s">
        <v>831</v>
      </c>
      <c r="P90" s="6649" t="s">
        <v>433</v>
      </c>
    </row>
    <row r="91">
      <c r="A91" s="6650" t="s">
        <v>946</v>
      </c>
      <c r="B91" s="6651" t="s">
        <v>619</v>
      </c>
      <c r="C91" s="6652" t="s">
        <v>828</v>
      </c>
      <c r="D91" s="6653" t="s">
        <v>435</v>
      </c>
      <c r="E91" s="6654" t="s">
        <v>829</v>
      </c>
      <c r="F91" s="6655" t="n">
        <v>48.25</v>
      </c>
      <c r="G91" s="6656" t="s">
        <v>434</v>
      </c>
      <c r="H91" s="6657" t="n">
        <v>50.0</v>
      </c>
      <c r="I91" s="6658" t="s">
        <v>434</v>
      </c>
      <c r="J91" s="6659" t="s">
        <v>929</v>
      </c>
      <c r="K91" s="6660" t="s">
        <v>433</v>
      </c>
      <c r="L91" s="6661" t="s">
        <v>433</v>
      </c>
      <c r="M91" s="6662" t="s">
        <v>947</v>
      </c>
      <c r="N91" s="6663" t="s">
        <v>433</v>
      </c>
      <c r="O91" s="6664" t="s">
        <v>433</v>
      </c>
      <c r="P91" s="6665" t="s">
        <v>433</v>
      </c>
    </row>
    <row r="92">
      <c r="A92" s="6666" t="s">
        <v>946</v>
      </c>
      <c r="B92" s="6667" t="s">
        <v>441</v>
      </c>
      <c r="C92" s="6668" t="s">
        <v>836</v>
      </c>
      <c r="D92" s="6669" t="s">
        <v>435</v>
      </c>
      <c r="E92" s="6670" t="s">
        <v>829</v>
      </c>
      <c r="F92" s="6671" t="n">
        <v>15.0</v>
      </c>
      <c r="G92" s="6672" t="s">
        <v>434</v>
      </c>
      <c r="H92" s="6673" t="n">
        <v>15.0</v>
      </c>
      <c r="I92" s="6674" t="s">
        <v>434</v>
      </c>
      <c r="J92" s="6675" t="s">
        <v>929</v>
      </c>
      <c r="K92" s="6676" t="s">
        <v>433</v>
      </c>
      <c r="L92" s="6677" t="s">
        <v>433</v>
      </c>
      <c r="M92" s="6678" t="s">
        <v>433</v>
      </c>
      <c r="N92" s="6679" t="s">
        <v>433</v>
      </c>
      <c r="O92" s="6680" t="s">
        <v>835</v>
      </c>
      <c r="P92" s="6681" t="s">
        <v>433</v>
      </c>
    </row>
    <row r="93">
      <c r="A93" s="6682" t="s">
        <v>893</v>
      </c>
      <c r="B93" s="6683" t="s">
        <v>621</v>
      </c>
      <c r="C93" s="6684" t="s">
        <v>879</v>
      </c>
      <c r="D93" s="6685" t="s">
        <v>435</v>
      </c>
      <c r="E93" s="6686" t="s">
        <v>829</v>
      </c>
      <c r="F93" s="6687" t="n">
        <v>59.6</v>
      </c>
      <c r="G93" s="6688" t="s">
        <v>434</v>
      </c>
      <c r="H93" s="6689" t="n">
        <v>59.6</v>
      </c>
      <c r="I93" s="6690" t="s">
        <v>434</v>
      </c>
      <c r="J93" s="6691" t="s">
        <v>929</v>
      </c>
      <c r="K93" s="6692" t="s">
        <v>433</v>
      </c>
      <c r="L93" s="6693" t="s">
        <v>433</v>
      </c>
      <c r="M93" s="6694" t="s">
        <v>433</v>
      </c>
      <c r="N93" s="6695" t="s">
        <v>433</v>
      </c>
      <c r="O93" s="6696" t="s">
        <v>833</v>
      </c>
      <c r="P93" s="6697" t="s">
        <v>433</v>
      </c>
    </row>
    <row r="94">
      <c r="A94" s="6698" t="s">
        <v>893</v>
      </c>
      <c r="B94" s="6699" t="s">
        <v>622</v>
      </c>
      <c r="C94" s="6700" t="s">
        <v>828</v>
      </c>
      <c r="D94" s="6701" t="s">
        <v>435</v>
      </c>
      <c r="E94" s="6702" t="s">
        <v>829</v>
      </c>
      <c r="F94" s="6703" t="n">
        <v>45.0</v>
      </c>
      <c r="G94" s="6704" t="s">
        <v>434</v>
      </c>
      <c r="H94" s="6705" t="n">
        <v>45.0</v>
      </c>
      <c r="I94" s="6706" t="s">
        <v>434</v>
      </c>
      <c r="J94" s="6707" t="s">
        <v>929</v>
      </c>
      <c r="K94" s="6708" t="s">
        <v>433</v>
      </c>
      <c r="L94" s="6709" t="s">
        <v>433</v>
      </c>
      <c r="M94" s="6710" t="s">
        <v>433</v>
      </c>
      <c r="N94" s="6711" t="s">
        <v>433</v>
      </c>
      <c r="O94" s="6712" t="s">
        <v>433</v>
      </c>
      <c r="P94" s="6713" t="s">
        <v>433</v>
      </c>
    </row>
    <row r="95">
      <c r="A95" s="6714" t="s">
        <v>893</v>
      </c>
      <c r="B95" s="6715" t="s">
        <v>623</v>
      </c>
      <c r="C95" s="6716" t="s">
        <v>879</v>
      </c>
      <c r="D95" s="6717" t="s">
        <v>435</v>
      </c>
      <c r="E95" s="6718" t="s">
        <v>829</v>
      </c>
      <c r="F95" s="6719" t="n">
        <v>25.0</v>
      </c>
      <c r="G95" s="6720" t="s">
        <v>434</v>
      </c>
      <c r="H95" s="6721" t="n">
        <v>25.0</v>
      </c>
      <c r="I95" s="6722" t="s">
        <v>434</v>
      </c>
      <c r="J95" s="6723" t="s">
        <v>929</v>
      </c>
      <c r="K95" s="6724" t="s">
        <v>433</v>
      </c>
      <c r="L95" s="6725" t="s">
        <v>433</v>
      </c>
      <c r="M95" s="6726" t="s">
        <v>433</v>
      </c>
      <c r="N95" s="6727" t="s">
        <v>433</v>
      </c>
      <c r="O95" s="6728" t="s">
        <v>433</v>
      </c>
      <c r="P95" s="6729" t="s">
        <v>433</v>
      </c>
    </row>
    <row r="96">
      <c r="A96" s="6730" t="s">
        <v>893</v>
      </c>
      <c r="B96" s="6731" t="s">
        <v>439</v>
      </c>
      <c r="C96" s="6732" t="s">
        <v>828</v>
      </c>
      <c r="D96" s="6733" t="s">
        <v>435</v>
      </c>
      <c r="E96" s="6734" t="s">
        <v>829</v>
      </c>
      <c r="F96" s="6735" t="n">
        <v>88.2</v>
      </c>
      <c r="G96" s="6736" t="s">
        <v>434</v>
      </c>
      <c r="H96" s="6737" t="n">
        <v>88.2</v>
      </c>
      <c r="I96" s="6738" t="s">
        <v>434</v>
      </c>
      <c r="J96" s="6739" t="s">
        <v>929</v>
      </c>
      <c r="K96" s="6740" t="s">
        <v>433</v>
      </c>
      <c r="L96" s="6741" t="s">
        <v>433</v>
      </c>
      <c r="M96" s="6742" t="s">
        <v>433</v>
      </c>
      <c r="N96" s="6743" t="s">
        <v>433</v>
      </c>
      <c r="O96" s="6744" t="s">
        <v>833</v>
      </c>
      <c r="P96" s="6745" t="s">
        <v>433</v>
      </c>
    </row>
    <row r="97">
      <c r="A97" s="6746" t="s">
        <v>893</v>
      </c>
      <c r="B97" s="6747" t="s">
        <v>439</v>
      </c>
      <c r="C97" s="6748" t="s">
        <v>828</v>
      </c>
      <c r="D97" s="6749" t="s">
        <v>435</v>
      </c>
      <c r="E97" s="6750" t="s">
        <v>829</v>
      </c>
      <c r="F97" s="6751" t="n">
        <v>27.4</v>
      </c>
      <c r="G97" s="6752" t="s">
        <v>434</v>
      </c>
      <c r="H97" s="6753" t="n">
        <v>27.4</v>
      </c>
      <c r="I97" s="6754" t="s">
        <v>434</v>
      </c>
      <c r="J97" s="6755" t="s">
        <v>929</v>
      </c>
      <c r="K97" s="6756" t="s">
        <v>433</v>
      </c>
      <c r="L97" s="6757" t="s">
        <v>433</v>
      </c>
      <c r="M97" s="6758" t="s">
        <v>433</v>
      </c>
      <c r="N97" s="6759" t="s">
        <v>433</v>
      </c>
      <c r="O97" s="6760" t="s">
        <v>833</v>
      </c>
      <c r="P97" s="6761" t="s">
        <v>433</v>
      </c>
    </row>
    <row r="98">
      <c r="A98" s="6762" t="s">
        <v>893</v>
      </c>
      <c r="B98" s="6763" t="s">
        <v>439</v>
      </c>
      <c r="C98" s="6764" t="s">
        <v>828</v>
      </c>
      <c r="D98" s="6765" t="s">
        <v>435</v>
      </c>
      <c r="E98" s="6766" t="s">
        <v>829</v>
      </c>
      <c r="F98" s="6767" t="n">
        <v>147.6</v>
      </c>
      <c r="G98" s="6768" t="s">
        <v>434</v>
      </c>
      <c r="H98" s="6769" t="n">
        <v>147.6</v>
      </c>
      <c r="I98" s="6770" t="s">
        <v>434</v>
      </c>
      <c r="J98" s="6771" t="s">
        <v>929</v>
      </c>
      <c r="K98" s="6772" t="s">
        <v>433</v>
      </c>
      <c r="L98" s="6773" t="s">
        <v>433</v>
      </c>
      <c r="M98" s="6774" t="s">
        <v>433</v>
      </c>
      <c r="N98" s="6775" t="s">
        <v>433</v>
      </c>
      <c r="O98" s="6776" t="s">
        <v>833</v>
      </c>
      <c r="P98" s="6777" t="s">
        <v>433</v>
      </c>
    </row>
    <row r="99">
      <c r="A99" s="6778" t="s">
        <v>893</v>
      </c>
      <c r="B99" s="6779" t="s">
        <v>786</v>
      </c>
      <c r="C99" s="6780" t="s">
        <v>894</v>
      </c>
      <c r="D99" s="6781" t="s">
        <v>435</v>
      </c>
      <c r="E99" s="6782" t="s">
        <v>874</v>
      </c>
      <c r="F99" s="6783" t="n">
        <v>580.0</v>
      </c>
      <c r="G99" s="6784" t="s">
        <v>434</v>
      </c>
      <c r="H99" s="6785" t="n">
        <v>5800.0</v>
      </c>
      <c r="I99" s="6786" t="s">
        <v>434</v>
      </c>
      <c r="J99" s="6787" t="s">
        <v>929</v>
      </c>
      <c r="K99" s="6788" t="s">
        <v>776</v>
      </c>
      <c r="L99" s="6789" t="s">
        <v>433</v>
      </c>
      <c r="M99" s="6790" t="s">
        <v>433</v>
      </c>
      <c r="N99" s="6791" t="s">
        <v>433</v>
      </c>
      <c r="O99" s="6792" t="s">
        <v>833</v>
      </c>
      <c r="P99" s="6793" t="s">
        <v>433</v>
      </c>
    </row>
    <row r="100">
      <c r="A100" s="6794" t="s">
        <v>948</v>
      </c>
      <c r="B100" s="6795" t="s">
        <v>442</v>
      </c>
      <c r="C100" s="6796" t="s">
        <v>836</v>
      </c>
      <c r="D100" s="6797" t="s">
        <v>435</v>
      </c>
      <c r="E100" s="6798" t="s">
        <v>829</v>
      </c>
      <c r="F100" s="6799" t="n">
        <v>190.0</v>
      </c>
      <c r="G100" s="6800" t="s">
        <v>434</v>
      </c>
      <c r="H100" s="6801" t="n">
        <v>190.0</v>
      </c>
      <c r="I100" s="6802" t="s">
        <v>434</v>
      </c>
      <c r="J100" s="6803" t="s">
        <v>929</v>
      </c>
      <c r="K100" s="6804" t="s">
        <v>433</v>
      </c>
      <c r="L100" s="6805" t="s">
        <v>433</v>
      </c>
      <c r="M100" s="6806" t="s">
        <v>433</v>
      </c>
      <c r="N100" s="6807" t="s">
        <v>433</v>
      </c>
      <c r="O100" s="6808" t="s">
        <v>835</v>
      </c>
      <c r="P100" s="6809" t="s">
        <v>433</v>
      </c>
    </row>
    <row r="101">
      <c r="A101" s="6810" t="s">
        <v>948</v>
      </c>
      <c r="B101" s="6811" t="s">
        <v>439</v>
      </c>
      <c r="C101" s="6812" t="s">
        <v>828</v>
      </c>
      <c r="D101" s="6813" t="s">
        <v>435</v>
      </c>
      <c r="E101" s="6814" t="s">
        <v>829</v>
      </c>
      <c r="F101" s="6815" t="n">
        <v>181.9</v>
      </c>
      <c r="G101" s="6816" t="s">
        <v>434</v>
      </c>
      <c r="H101" s="6817" t="n">
        <v>181.9</v>
      </c>
      <c r="I101" s="6818" t="s">
        <v>434</v>
      </c>
      <c r="J101" s="6819" t="s">
        <v>929</v>
      </c>
      <c r="K101" s="6820" t="s">
        <v>433</v>
      </c>
      <c r="L101" s="6821" t="s">
        <v>433</v>
      </c>
      <c r="M101" s="6822" t="s">
        <v>433</v>
      </c>
      <c r="N101" s="6823" t="s">
        <v>433</v>
      </c>
      <c r="O101" s="6824" t="s">
        <v>833</v>
      </c>
      <c r="P101" s="6825" t="s">
        <v>433</v>
      </c>
    </row>
    <row r="102">
      <c r="A102" s="6826" t="s">
        <v>949</v>
      </c>
      <c r="B102" s="6827" t="s">
        <v>585</v>
      </c>
      <c r="C102" s="6828" t="s">
        <v>841</v>
      </c>
      <c r="D102" s="6829" t="s">
        <v>435</v>
      </c>
      <c r="E102" s="6830" t="s">
        <v>829</v>
      </c>
      <c r="F102" s="6831" t="n">
        <v>36.8</v>
      </c>
      <c r="G102" s="6832" t="s">
        <v>434</v>
      </c>
      <c r="H102" s="6833" t="n">
        <v>36.8</v>
      </c>
      <c r="I102" s="6834" t="s">
        <v>434</v>
      </c>
      <c r="J102" s="6835" t="s">
        <v>929</v>
      </c>
      <c r="K102" s="6836" t="s">
        <v>433</v>
      </c>
      <c r="L102" s="6837" t="s">
        <v>433</v>
      </c>
      <c r="M102" s="6838" t="s">
        <v>433</v>
      </c>
      <c r="N102" s="6839" t="s">
        <v>433</v>
      </c>
      <c r="O102" s="6840" t="s">
        <v>433</v>
      </c>
      <c r="P102" s="6841" t="s">
        <v>433</v>
      </c>
    </row>
    <row r="103">
      <c r="A103" s="6842" t="s">
        <v>949</v>
      </c>
      <c r="B103" s="6843" t="s">
        <v>460</v>
      </c>
      <c r="C103" s="6844" t="s">
        <v>841</v>
      </c>
      <c r="D103" s="6845" t="s">
        <v>435</v>
      </c>
      <c r="E103" s="6846" t="s">
        <v>829</v>
      </c>
      <c r="F103" s="6847" t="n">
        <v>29.12</v>
      </c>
      <c r="G103" s="6848" t="s">
        <v>434</v>
      </c>
      <c r="H103" s="6849" t="n">
        <v>29.12</v>
      </c>
      <c r="I103" s="6850" t="s">
        <v>434</v>
      </c>
      <c r="J103" s="6851" t="s">
        <v>929</v>
      </c>
      <c r="K103" s="6852" t="s">
        <v>433</v>
      </c>
      <c r="L103" s="6853" t="s">
        <v>433</v>
      </c>
      <c r="M103" s="6854" t="s">
        <v>433</v>
      </c>
      <c r="N103" s="6855" t="s">
        <v>433</v>
      </c>
      <c r="O103" s="6856" t="s">
        <v>833</v>
      </c>
      <c r="P103" s="6857" t="s">
        <v>433</v>
      </c>
    </row>
    <row r="104">
      <c r="A104" s="6858" t="s">
        <v>949</v>
      </c>
      <c r="B104" s="6859" t="s">
        <v>627</v>
      </c>
      <c r="C104" s="6860" t="s">
        <v>836</v>
      </c>
      <c r="D104" s="6861" t="s">
        <v>435</v>
      </c>
      <c r="E104" s="6862" t="s">
        <v>829</v>
      </c>
      <c r="F104" s="6863" t="n">
        <v>41.25</v>
      </c>
      <c r="G104" s="6864" t="s">
        <v>434</v>
      </c>
      <c r="H104" s="6865" t="n">
        <v>41.25</v>
      </c>
      <c r="I104" s="6866" t="s">
        <v>434</v>
      </c>
      <c r="J104" s="6867" t="s">
        <v>929</v>
      </c>
      <c r="K104" s="6868" t="s">
        <v>433</v>
      </c>
      <c r="L104" s="6869" t="s">
        <v>433</v>
      </c>
      <c r="M104" s="6870" t="s">
        <v>433</v>
      </c>
      <c r="N104" s="6871" t="s">
        <v>433</v>
      </c>
      <c r="O104" s="6872" t="s">
        <v>833</v>
      </c>
      <c r="P104" s="6873" t="s">
        <v>433</v>
      </c>
    </row>
    <row r="105">
      <c r="A105" s="6874" t="s">
        <v>949</v>
      </c>
      <c r="B105" s="6875" t="s">
        <v>627</v>
      </c>
      <c r="C105" s="6876" t="s">
        <v>836</v>
      </c>
      <c r="D105" s="6877" t="s">
        <v>435</v>
      </c>
      <c r="E105" s="6878" t="s">
        <v>829</v>
      </c>
      <c r="F105" s="6879" t="n">
        <v>54.75</v>
      </c>
      <c r="G105" s="6880" t="s">
        <v>434</v>
      </c>
      <c r="H105" s="6881" t="n">
        <v>54.75</v>
      </c>
      <c r="I105" s="6882" t="s">
        <v>434</v>
      </c>
      <c r="J105" s="6883" t="s">
        <v>929</v>
      </c>
      <c r="K105" s="6884" t="s">
        <v>433</v>
      </c>
      <c r="L105" s="6885" t="s">
        <v>433</v>
      </c>
      <c r="M105" s="6886" t="s">
        <v>433</v>
      </c>
      <c r="N105" s="6887" t="s">
        <v>433</v>
      </c>
      <c r="O105" s="6888" t="s">
        <v>833</v>
      </c>
      <c r="P105" s="6889" t="s">
        <v>433</v>
      </c>
    </row>
    <row r="106">
      <c r="A106" s="6890" t="s">
        <v>949</v>
      </c>
      <c r="B106" s="6891" t="s">
        <v>574</v>
      </c>
      <c r="C106" s="6892" t="s">
        <v>838</v>
      </c>
      <c r="D106" s="6893" t="s">
        <v>435</v>
      </c>
      <c r="E106" s="6894" t="s">
        <v>829</v>
      </c>
      <c r="F106" s="6895" t="n">
        <v>25.0</v>
      </c>
      <c r="G106" s="6896" t="s">
        <v>434</v>
      </c>
      <c r="H106" s="6897" t="n">
        <v>25.0</v>
      </c>
      <c r="I106" s="6898" t="s">
        <v>434</v>
      </c>
      <c r="J106" s="6899" t="s">
        <v>929</v>
      </c>
      <c r="K106" s="6900" t="s">
        <v>433</v>
      </c>
      <c r="L106" s="6901" t="s">
        <v>433</v>
      </c>
      <c r="M106" s="6902" t="s">
        <v>433</v>
      </c>
      <c r="N106" s="6903" t="s">
        <v>433</v>
      </c>
      <c r="O106" s="6904" t="s">
        <v>433</v>
      </c>
      <c r="P106" s="6905" t="s">
        <v>433</v>
      </c>
    </row>
    <row r="107">
      <c r="A107" s="6906" t="s">
        <v>949</v>
      </c>
      <c r="B107" s="6907" t="s">
        <v>439</v>
      </c>
      <c r="C107" s="6908" t="s">
        <v>828</v>
      </c>
      <c r="D107" s="6909" t="s">
        <v>435</v>
      </c>
      <c r="E107" s="6910" t="s">
        <v>829</v>
      </c>
      <c r="F107" s="6911" t="n">
        <v>0.75</v>
      </c>
      <c r="G107" s="6912" t="s">
        <v>434</v>
      </c>
      <c r="H107" s="6913" t="n">
        <v>0.75</v>
      </c>
      <c r="I107" s="6914" t="s">
        <v>434</v>
      </c>
      <c r="J107" s="6915" t="s">
        <v>929</v>
      </c>
      <c r="K107" s="6916" t="s">
        <v>433</v>
      </c>
      <c r="L107" s="6917" t="s">
        <v>433</v>
      </c>
      <c r="M107" s="6918" t="s">
        <v>433</v>
      </c>
      <c r="N107" s="6919" t="s">
        <v>433</v>
      </c>
      <c r="O107" s="6920" t="s">
        <v>833</v>
      </c>
      <c r="P107" s="6921" t="s">
        <v>433</v>
      </c>
    </row>
    <row r="108">
      <c r="A108" s="6922" t="s">
        <v>949</v>
      </c>
      <c r="B108" s="6923" t="s">
        <v>439</v>
      </c>
      <c r="C108" s="6924" t="s">
        <v>828</v>
      </c>
      <c r="D108" s="6925" t="s">
        <v>435</v>
      </c>
      <c r="E108" s="6926" t="s">
        <v>829</v>
      </c>
      <c r="F108" s="6927" t="n">
        <v>59.7</v>
      </c>
      <c r="G108" s="6928" t="s">
        <v>434</v>
      </c>
      <c r="H108" s="6929" t="n">
        <v>59.7</v>
      </c>
      <c r="I108" s="6930" t="s">
        <v>434</v>
      </c>
      <c r="J108" s="6931" t="s">
        <v>929</v>
      </c>
      <c r="K108" s="6932" t="s">
        <v>433</v>
      </c>
      <c r="L108" s="6933" t="s">
        <v>433</v>
      </c>
      <c r="M108" s="6934" t="s">
        <v>433</v>
      </c>
      <c r="N108" s="6935" t="s">
        <v>433</v>
      </c>
      <c r="O108" s="6936" t="s">
        <v>833</v>
      </c>
      <c r="P108" s="6937" t="s">
        <v>433</v>
      </c>
    </row>
    <row r="109">
      <c r="A109" s="6938" t="s">
        <v>949</v>
      </c>
      <c r="B109" s="6939" t="s">
        <v>586</v>
      </c>
      <c r="C109" s="6940" t="s">
        <v>838</v>
      </c>
      <c r="D109" s="6941" t="s">
        <v>435</v>
      </c>
      <c r="E109" s="6942" t="s">
        <v>829</v>
      </c>
      <c r="F109" s="6943" t="n">
        <v>8.9</v>
      </c>
      <c r="G109" s="6944" t="s">
        <v>434</v>
      </c>
      <c r="H109" s="6945" t="n">
        <v>8.9</v>
      </c>
      <c r="I109" s="6946" t="s">
        <v>434</v>
      </c>
      <c r="J109" s="6947" t="s">
        <v>929</v>
      </c>
      <c r="K109" s="6948" t="s">
        <v>433</v>
      </c>
      <c r="L109" s="6949" t="s">
        <v>433</v>
      </c>
      <c r="M109" s="6950" t="s">
        <v>433</v>
      </c>
      <c r="N109" s="6951" t="s">
        <v>433</v>
      </c>
      <c r="O109" s="6952" t="s">
        <v>433</v>
      </c>
      <c r="P109" s="6953" t="s">
        <v>433</v>
      </c>
    </row>
    <row r="110">
      <c r="A110" s="6954" t="s">
        <v>949</v>
      </c>
      <c r="B110" s="6955" t="s">
        <v>586</v>
      </c>
      <c r="C110" s="6956" t="s">
        <v>838</v>
      </c>
      <c r="D110" s="6957" t="s">
        <v>435</v>
      </c>
      <c r="E110" s="6958" t="s">
        <v>829</v>
      </c>
      <c r="F110" s="6959" t="n">
        <v>13.9</v>
      </c>
      <c r="G110" s="6960" t="s">
        <v>434</v>
      </c>
      <c r="H110" s="6961" t="n">
        <v>13.9</v>
      </c>
      <c r="I110" s="6962" t="s">
        <v>434</v>
      </c>
      <c r="J110" s="6963" t="s">
        <v>929</v>
      </c>
      <c r="K110" s="6964" t="s">
        <v>433</v>
      </c>
      <c r="L110" s="6965" t="s">
        <v>433</v>
      </c>
      <c r="M110" s="6966" t="s">
        <v>433</v>
      </c>
      <c r="N110" s="6967" t="s">
        <v>433</v>
      </c>
      <c r="O110" s="6968" t="s">
        <v>433</v>
      </c>
      <c r="P110" s="6969" t="s">
        <v>433</v>
      </c>
    </row>
    <row r="111">
      <c r="A111" s="6970" t="s">
        <v>950</v>
      </c>
      <c r="B111" s="6971" t="s">
        <v>456</v>
      </c>
      <c r="C111" s="6972" t="s">
        <v>836</v>
      </c>
      <c r="D111" s="6973" t="s">
        <v>435</v>
      </c>
      <c r="E111" s="6974" t="s">
        <v>829</v>
      </c>
      <c r="F111" s="6975" t="n">
        <v>38.0</v>
      </c>
      <c r="G111" s="6976" t="s">
        <v>434</v>
      </c>
      <c r="H111" s="6977" t="n">
        <v>38.0</v>
      </c>
      <c r="I111" s="6978" t="s">
        <v>434</v>
      </c>
      <c r="J111" s="6979" t="s">
        <v>929</v>
      </c>
      <c r="K111" s="6980" t="s">
        <v>433</v>
      </c>
      <c r="L111" s="6981" t="s">
        <v>433</v>
      </c>
      <c r="M111" s="6982" t="s">
        <v>433</v>
      </c>
      <c r="N111" s="6983" t="s">
        <v>433</v>
      </c>
      <c r="O111" s="6984" t="s">
        <v>833</v>
      </c>
      <c r="P111" s="6985" t="s">
        <v>433</v>
      </c>
    </row>
    <row r="112">
      <c r="A112" s="6986" t="s">
        <v>950</v>
      </c>
      <c r="B112" s="6987" t="s">
        <v>629</v>
      </c>
      <c r="C112" s="6988" t="s">
        <v>843</v>
      </c>
      <c r="D112" s="6989" t="s">
        <v>435</v>
      </c>
      <c r="E112" s="6990" t="s">
        <v>829</v>
      </c>
      <c r="F112" s="6991" t="n">
        <v>20.0</v>
      </c>
      <c r="G112" s="6992" t="s">
        <v>434</v>
      </c>
      <c r="H112" s="6993" t="n">
        <v>20.0</v>
      </c>
      <c r="I112" s="6994" t="s">
        <v>434</v>
      </c>
      <c r="J112" s="6995" t="s">
        <v>929</v>
      </c>
      <c r="K112" s="6996" t="s">
        <v>433</v>
      </c>
      <c r="L112" s="6997" t="s">
        <v>433</v>
      </c>
      <c r="M112" s="6998" t="s">
        <v>433</v>
      </c>
      <c r="N112" s="6999" t="s">
        <v>433</v>
      </c>
      <c r="O112" s="7000" t="s">
        <v>433</v>
      </c>
      <c r="P112" s="7001" t="s">
        <v>433</v>
      </c>
    </row>
    <row r="113">
      <c r="A113" s="7002" t="s">
        <v>950</v>
      </c>
      <c r="B113" s="7003" t="s">
        <v>630</v>
      </c>
      <c r="C113" s="7004" t="s">
        <v>843</v>
      </c>
      <c r="D113" s="7005" t="s">
        <v>435</v>
      </c>
      <c r="E113" s="7006" t="s">
        <v>829</v>
      </c>
      <c r="F113" s="7007" t="n">
        <v>100.0</v>
      </c>
      <c r="G113" s="7008" t="s">
        <v>434</v>
      </c>
      <c r="H113" s="7009" t="n">
        <v>100.0</v>
      </c>
      <c r="I113" s="7010" t="s">
        <v>434</v>
      </c>
      <c r="J113" s="7011" t="s">
        <v>929</v>
      </c>
      <c r="K113" s="7012" t="s">
        <v>433</v>
      </c>
      <c r="L113" s="7013" t="s">
        <v>433</v>
      </c>
      <c r="M113" s="7014" t="s">
        <v>433</v>
      </c>
      <c r="N113" s="7015" t="s">
        <v>433</v>
      </c>
      <c r="O113" s="7016" t="s">
        <v>433</v>
      </c>
      <c r="P113" s="7017" t="s">
        <v>433</v>
      </c>
    </row>
    <row r="114">
      <c r="A114" s="7018" t="s">
        <v>950</v>
      </c>
      <c r="B114" s="7019" t="s">
        <v>631</v>
      </c>
      <c r="C114" s="7020" t="s">
        <v>836</v>
      </c>
      <c r="D114" s="7021" t="s">
        <v>435</v>
      </c>
      <c r="E114" s="7022" t="s">
        <v>829</v>
      </c>
      <c r="F114" s="7023" t="n">
        <v>40.28</v>
      </c>
      <c r="G114" s="7024" t="s">
        <v>434</v>
      </c>
      <c r="H114" s="7025" t="n">
        <v>40.28</v>
      </c>
      <c r="I114" s="7026" t="s">
        <v>434</v>
      </c>
      <c r="J114" s="7027" t="s">
        <v>929</v>
      </c>
      <c r="K114" s="7028" t="s">
        <v>433</v>
      </c>
      <c r="L114" s="7029" t="s">
        <v>433</v>
      </c>
      <c r="M114" s="7030" t="s">
        <v>433</v>
      </c>
      <c r="N114" s="7031" t="s">
        <v>433</v>
      </c>
      <c r="O114" s="7032" t="s">
        <v>833</v>
      </c>
      <c r="P114" s="7033" t="s">
        <v>433</v>
      </c>
    </row>
    <row r="115">
      <c r="A115" s="7034" t="s">
        <v>950</v>
      </c>
      <c r="B115" s="7035" t="s">
        <v>432</v>
      </c>
      <c r="C115" s="7036" t="s">
        <v>828</v>
      </c>
      <c r="D115" s="7037" t="s">
        <v>435</v>
      </c>
      <c r="E115" s="7038" t="s">
        <v>829</v>
      </c>
      <c r="F115" s="7039" t="n">
        <v>26.0</v>
      </c>
      <c r="G115" s="7040" t="s">
        <v>434</v>
      </c>
      <c r="H115" s="7041" t="n">
        <v>26.0</v>
      </c>
      <c r="I115" s="7042" t="s">
        <v>434</v>
      </c>
      <c r="J115" s="7043" t="s">
        <v>929</v>
      </c>
      <c r="K115" s="7044" t="s">
        <v>433</v>
      </c>
      <c r="L115" s="7045" t="s">
        <v>433</v>
      </c>
      <c r="M115" s="7046" t="s">
        <v>433</v>
      </c>
      <c r="N115" s="7047" t="s">
        <v>433</v>
      </c>
      <c r="O115" s="7048" t="s">
        <v>831</v>
      </c>
      <c r="P115" s="7049" t="s">
        <v>433</v>
      </c>
    </row>
    <row r="116">
      <c r="A116" s="7050" t="s">
        <v>950</v>
      </c>
      <c r="B116" s="7051" t="s">
        <v>441</v>
      </c>
      <c r="C116" s="7052" t="s">
        <v>836</v>
      </c>
      <c r="D116" s="7053" t="s">
        <v>435</v>
      </c>
      <c r="E116" s="7054" t="s">
        <v>829</v>
      </c>
      <c r="F116" s="7055" t="n">
        <v>15.0</v>
      </c>
      <c r="G116" s="7056" t="s">
        <v>434</v>
      </c>
      <c r="H116" s="7057" t="n">
        <v>15.0</v>
      </c>
      <c r="I116" s="7058" t="s">
        <v>434</v>
      </c>
      <c r="J116" s="7059" t="s">
        <v>929</v>
      </c>
      <c r="K116" s="7060" t="s">
        <v>433</v>
      </c>
      <c r="L116" s="7061" t="s">
        <v>433</v>
      </c>
      <c r="M116" s="7062" t="s">
        <v>433</v>
      </c>
      <c r="N116" s="7063" t="s">
        <v>433</v>
      </c>
      <c r="O116" s="7064" t="s">
        <v>835</v>
      </c>
      <c r="P116" s="7065" t="s">
        <v>433</v>
      </c>
    </row>
    <row r="117">
      <c r="A117" s="7066" t="s">
        <v>950</v>
      </c>
      <c r="B117" s="7067" t="s">
        <v>439</v>
      </c>
      <c r="C117" s="7068" t="s">
        <v>828</v>
      </c>
      <c r="D117" s="7069" t="s">
        <v>435</v>
      </c>
      <c r="E117" s="7070" t="s">
        <v>829</v>
      </c>
      <c r="F117" s="7071" t="n">
        <v>65.1</v>
      </c>
      <c r="G117" s="7072" t="s">
        <v>434</v>
      </c>
      <c r="H117" s="7073" t="n">
        <v>65.1</v>
      </c>
      <c r="I117" s="7074" t="s">
        <v>434</v>
      </c>
      <c r="J117" s="7075" t="s">
        <v>929</v>
      </c>
      <c r="K117" s="7076" t="s">
        <v>433</v>
      </c>
      <c r="L117" s="7077" t="s">
        <v>433</v>
      </c>
      <c r="M117" s="7078" t="s">
        <v>433</v>
      </c>
      <c r="N117" s="7079" t="s">
        <v>433</v>
      </c>
      <c r="O117" s="7080" t="s">
        <v>833</v>
      </c>
      <c r="P117" s="7081" t="s">
        <v>433</v>
      </c>
    </row>
    <row r="118">
      <c r="A118" s="7082" t="s">
        <v>950</v>
      </c>
      <c r="B118" s="7083" t="s">
        <v>458</v>
      </c>
      <c r="C118" s="7084" t="s">
        <v>828</v>
      </c>
      <c r="D118" s="7085" t="s">
        <v>435</v>
      </c>
      <c r="E118" s="7086" t="s">
        <v>829</v>
      </c>
      <c r="F118" s="7087" t="n">
        <v>4.0</v>
      </c>
      <c r="G118" s="7088" t="s">
        <v>434</v>
      </c>
      <c r="H118" s="7089" t="n">
        <v>4.0</v>
      </c>
      <c r="I118" s="7090" t="s">
        <v>434</v>
      </c>
      <c r="J118" s="7091" t="s">
        <v>929</v>
      </c>
      <c r="K118" s="7092" t="s">
        <v>433</v>
      </c>
      <c r="L118" s="7093" t="s">
        <v>433</v>
      </c>
      <c r="M118" s="7094" t="s">
        <v>433</v>
      </c>
      <c r="N118" s="7095" t="s">
        <v>433</v>
      </c>
      <c r="O118" s="7096" t="s">
        <v>835</v>
      </c>
      <c r="P118" s="7097" t="s">
        <v>433</v>
      </c>
    </row>
    <row r="119">
      <c r="A119" s="7098" t="s">
        <v>950</v>
      </c>
      <c r="B119" s="7099" t="s">
        <v>595</v>
      </c>
      <c r="C119" s="7100" t="s">
        <v>838</v>
      </c>
      <c r="D119" s="7101" t="s">
        <v>435</v>
      </c>
      <c r="E119" s="7102" t="s">
        <v>829</v>
      </c>
      <c r="F119" s="7103" t="n">
        <v>33.0</v>
      </c>
      <c r="G119" s="7104" t="s">
        <v>434</v>
      </c>
      <c r="H119" s="7105" t="n">
        <v>33.0</v>
      </c>
      <c r="I119" s="7106" t="s">
        <v>434</v>
      </c>
      <c r="J119" s="7107" t="s">
        <v>929</v>
      </c>
      <c r="K119" s="7108" t="s">
        <v>433</v>
      </c>
      <c r="L119" s="7109" t="s">
        <v>433</v>
      </c>
      <c r="M119" s="7110" t="s">
        <v>433</v>
      </c>
      <c r="N119" s="7111" t="s">
        <v>433</v>
      </c>
      <c r="O119" s="7112" t="s">
        <v>433</v>
      </c>
      <c r="P119" s="7113" t="s">
        <v>433</v>
      </c>
    </row>
    <row r="120">
      <c r="A120" s="7114" t="s">
        <v>951</v>
      </c>
      <c r="B120" s="7115" t="s">
        <v>537</v>
      </c>
      <c r="C120" s="7116" t="s">
        <v>836</v>
      </c>
      <c r="D120" s="7117" t="s">
        <v>435</v>
      </c>
      <c r="E120" s="7118" t="s">
        <v>829</v>
      </c>
      <c r="F120" s="7119" t="n">
        <v>120.0</v>
      </c>
      <c r="G120" s="7120" t="s">
        <v>434</v>
      </c>
      <c r="H120" s="7121" t="n">
        <v>120.0</v>
      </c>
      <c r="I120" s="7122" t="s">
        <v>434</v>
      </c>
      <c r="J120" s="7123" t="s">
        <v>929</v>
      </c>
      <c r="K120" s="7124" t="s">
        <v>437</v>
      </c>
      <c r="L120" s="7125" t="s">
        <v>433</v>
      </c>
      <c r="M120" s="7126" t="s">
        <v>433</v>
      </c>
      <c r="N120" s="7127" t="s">
        <v>433</v>
      </c>
      <c r="O120" s="7128" t="s">
        <v>833</v>
      </c>
      <c r="P120" s="7129" t="s">
        <v>433</v>
      </c>
    </row>
    <row r="121">
      <c r="A121" s="7130" t="s">
        <v>951</v>
      </c>
      <c r="B121" s="7131" t="s">
        <v>633</v>
      </c>
      <c r="C121" s="7132" t="s">
        <v>828</v>
      </c>
      <c r="D121" s="7133" t="s">
        <v>435</v>
      </c>
      <c r="E121" s="7134" t="s">
        <v>829</v>
      </c>
      <c r="F121" s="7135" t="n">
        <v>3.0</v>
      </c>
      <c r="G121" s="7136" t="s">
        <v>434</v>
      </c>
      <c r="H121" s="7137" t="n">
        <v>3.0</v>
      </c>
      <c r="I121" s="7138" t="s">
        <v>434</v>
      </c>
      <c r="J121" s="7139" t="s">
        <v>929</v>
      </c>
      <c r="K121" s="7140" t="s">
        <v>433</v>
      </c>
      <c r="L121" s="7141" t="s">
        <v>433</v>
      </c>
      <c r="M121" s="7142" t="s">
        <v>433</v>
      </c>
      <c r="N121" s="7143" t="s">
        <v>433</v>
      </c>
      <c r="O121" s="7144" t="s">
        <v>831</v>
      </c>
      <c r="P121" s="7145" t="s">
        <v>433</v>
      </c>
    </row>
    <row r="122">
      <c r="A122" s="7146" t="s">
        <v>951</v>
      </c>
      <c r="B122" s="7147" t="s">
        <v>541</v>
      </c>
      <c r="C122" s="7148" t="s">
        <v>841</v>
      </c>
      <c r="D122" s="7149" t="s">
        <v>435</v>
      </c>
      <c r="E122" s="7150" t="s">
        <v>829</v>
      </c>
      <c r="F122" s="7151" t="n">
        <v>180.14</v>
      </c>
      <c r="G122" s="7152" t="s">
        <v>434</v>
      </c>
      <c r="H122" s="7153" t="n">
        <v>180.14</v>
      </c>
      <c r="I122" s="7154" t="s">
        <v>434</v>
      </c>
      <c r="J122" s="7155" t="s">
        <v>929</v>
      </c>
      <c r="K122" s="7156" t="s">
        <v>437</v>
      </c>
      <c r="L122" s="7157" t="s">
        <v>433</v>
      </c>
      <c r="M122" s="7158" t="s">
        <v>433</v>
      </c>
      <c r="N122" s="7159" t="s">
        <v>433</v>
      </c>
      <c r="O122" s="7160" t="s">
        <v>833</v>
      </c>
      <c r="P122" s="7161" t="s">
        <v>433</v>
      </c>
    </row>
    <row r="123">
      <c r="A123" s="7162" t="s">
        <v>951</v>
      </c>
      <c r="B123" s="7163" t="s">
        <v>531</v>
      </c>
      <c r="C123" s="7164" t="s">
        <v>836</v>
      </c>
      <c r="D123" s="7165" t="s">
        <v>435</v>
      </c>
      <c r="E123" s="7166" t="s">
        <v>829</v>
      </c>
      <c r="F123" s="7167" t="n">
        <v>-29.0</v>
      </c>
      <c r="G123" s="7168" t="s">
        <v>434</v>
      </c>
      <c r="H123" s="7169" t="n">
        <v>29.0</v>
      </c>
      <c r="I123" s="7170" t="s">
        <v>434</v>
      </c>
      <c r="J123" s="7171" t="s">
        <v>929</v>
      </c>
      <c r="K123" s="7172" t="s">
        <v>479</v>
      </c>
      <c r="L123" s="7173" t="s">
        <v>433</v>
      </c>
      <c r="M123" s="7174" t="s">
        <v>433</v>
      </c>
      <c r="N123" s="7175" t="s">
        <v>433</v>
      </c>
      <c r="O123" s="7176" t="s">
        <v>833</v>
      </c>
      <c r="P123" s="7177" t="s">
        <v>433</v>
      </c>
    </row>
    <row r="124">
      <c r="A124" s="7178" t="s">
        <v>951</v>
      </c>
      <c r="B124" s="7179" t="s">
        <v>439</v>
      </c>
      <c r="C124" s="7180" t="s">
        <v>828</v>
      </c>
      <c r="D124" s="7181" t="s">
        <v>435</v>
      </c>
      <c r="E124" s="7182" t="s">
        <v>829</v>
      </c>
      <c r="F124" s="7183" t="n">
        <v>73.5</v>
      </c>
      <c r="G124" s="7184" t="s">
        <v>434</v>
      </c>
      <c r="H124" s="7185" t="n">
        <v>73.5</v>
      </c>
      <c r="I124" s="7186" t="s">
        <v>434</v>
      </c>
      <c r="J124" s="7187" t="s">
        <v>929</v>
      </c>
      <c r="K124" s="7188" t="s">
        <v>433</v>
      </c>
      <c r="L124" s="7189" t="s">
        <v>433</v>
      </c>
      <c r="M124" s="7190" t="s">
        <v>433</v>
      </c>
      <c r="N124" s="7191" t="s">
        <v>433</v>
      </c>
      <c r="O124" s="7192" t="s">
        <v>833</v>
      </c>
      <c r="P124" s="7193" t="s">
        <v>433</v>
      </c>
    </row>
    <row r="125">
      <c r="A125" s="7194" t="s">
        <v>951</v>
      </c>
      <c r="B125" s="7195" t="s">
        <v>440</v>
      </c>
      <c r="C125" s="7196" t="s">
        <v>836</v>
      </c>
      <c r="D125" s="7197" t="s">
        <v>435</v>
      </c>
      <c r="E125" s="7198" t="s">
        <v>829</v>
      </c>
      <c r="F125" s="7199" t="n">
        <v>37.5</v>
      </c>
      <c r="G125" s="7200" t="s">
        <v>434</v>
      </c>
      <c r="H125" s="7201" t="n">
        <v>37.5</v>
      </c>
      <c r="I125" s="7202" t="s">
        <v>434</v>
      </c>
      <c r="J125" s="7203" t="s">
        <v>929</v>
      </c>
      <c r="K125" s="7204" t="s">
        <v>433</v>
      </c>
      <c r="L125" s="7205" t="s">
        <v>433</v>
      </c>
      <c r="M125" s="7206" t="s">
        <v>433</v>
      </c>
      <c r="N125" s="7207" t="s">
        <v>433</v>
      </c>
      <c r="O125" s="7208" t="s">
        <v>833</v>
      </c>
      <c r="P125" s="7209" t="s">
        <v>433</v>
      </c>
    </row>
    <row r="126">
      <c r="A126" s="7210" t="s">
        <v>951</v>
      </c>
      <c r="B126" s="7211" t="s">
        <v>563</v>
      </c>
      <c r="C126" s="7212" t="s">
        <v>849</v>
      </c>
      <c r="D126" s="7213" t="s">
        <v>435</v>
      </c>
      <c r="E126" s="7214" t="s">
        <v>829</v>
      </c>
      <c r="F126" s="7215" t="n">
        <v>198.82</v>
      </c>
      <c r="G126" s="7216" t="s">
        <v>434</v>
      </c>
      <c r="H126" s="7217" t="n">
        <v>198.82</v>
      </c>
      <c r="I126" s="7218" t="s">
        <v>434</v>
      </c>
      <c r="J126" s="7219" t="s">
        <v>929</v>
      </c>
      <c r="K126" s="7220" t="s">
        <v>433</v>
      </c>
      <c r="L126" s="7221" t="s">
        <v>433</v>
      </c>
      <c r="M126" s="7222" t="s">
        <v>433</v>
      </c>
      <c r="N126" s="7223" t="s">
        <v>433</v>
      </c>
      <c r="O126" s="7224" t="s">
        <v>878</v>
      </c>
      <c r="P126" s="7225" t="s">
        <v>433</v>
      </c>
    </row>
    <row r="127">
      <c r="A127" s="7226" t="s">
        <v>952</v>
      </c>
      <c r="B127" s="7227" t="s">
        <v>631</v>
      </c>
      <c r="C127" s="7228" t="s">
        <v>836</v>
      </c>
      <c r="D127" s="7229" t="s">
        <v>435</v>
      </c>
      <c r="E127" s="7230" t="s">
        <v>829</v>
      </c>
      <c r="F127" s="7231" t="n">
        <v>-19.0</v>
      </c>
      <c r="G127" s="7232" t="s">
        <v>434</v>
      </c>
      <c r="H127" s="7233" t="n">
        <v>19.0</v>
      </c>
      <c r="I127" s="7234" t="s">
        <v>434</v>
      </c>
      <c r="J127" s="7235" t="s">
        <v>929</v>
      </c>
      <c r="K127" s="7236" t="s">
        <v>479</v>
      </c>
      <c r="L127" s="7237" t="s">
        <v>433</v>
      </c>
      <c r="M127" s="7238" t="s">
        <v>433</v>
      </c>
      <c r="N127" s="7239" t="s">
        <v>433</v>
      </c>
      <c r="O127" s="7240" t="s">
        <v>833</v>
      </c>
      <c r="P127" s="7241" t="s">
        <v>433</v>
      </c>
    </row>
    <row r="128">
      <c r="A128" s="7242" t="s">
        <v>952</v>
      </c>
      <c r="B128" s="7243" t="s">
        <v>635</v>
      </c>
      <c r="C128" s="7244" t="s">
        <v>873</v>
      </c>
      <c r="D128" s="7245" t="s">
        <v>435</v>
      </c>
      <c r="E128" s="7246" t="s">
        <v>829</v>
      </c>
      <c r="F128" s="7247" t="n">
        <v>236.0</v>
      </c>
      <c r="G128" s="7248" t="s">
        <v>434</v>
      </c>
      <c r="H128" s="7249" t="n">
        <v>236.0</v>
      </c>
      <c r="I128" s="7250" t="s">
        <v>434</v>
      </c>
      <c r="J128" s="7251" t="s">
        <v>929</v>
      </c>
      <c r="K128" s="7252" t="s">
        <v>437</v>
      </c>
      <c r="L128" s="7253" t="s">
        <v>433</v>
      </c>
      <c r="M128" s="7254" t="s">
        <v>433</v>
      </c>
      <c r="N128" s="7255" t="s">
        <v>433</v>
      </c>
      <c r="O128" s="7256" t="s">
        <v>833</v>
      </c>
      <c r="P128" s="7257" t="s">
        <v>433</v>
      </c>
    </row>
    <row r="129">
      <c r="A129" s="7258" t="s">
        <v>952</v>
      </c>
      <c r="B129" s="7259" t="s">
        <v>439</v>
      </c>
      <c r="C129" s="7260" t="s">
        <v>828</v>
      </c>
      <c r="D129" s="7261" t="s">
        <v>435</v>
      </c>
      <c r="E129" s="7262" t="s">
        <v>829</v>
      </c>
      <c r="F129" s="7263" t="n">
        <v>47.5</v>
      </c>
      <c r="G129" s="7264" t="s">
        <v>434</v>
      </c>
      <c r="H129" s="7265" t="n">
        <v>47.5</v>
      </c>
      <c r="I129" s="7266" t="s">
        <v>434</v>
      </c>
      <c r="J129" s="7267" t="s">
        <v>929</v>
      </c>
      <c r="K129" s="7268" t="s">
        <v>433</v>
      </c>
      <c r="L129" s="7269" t="s">
        <v>433</v>
      </c>
      <c r="M129" s="7270" t="s">
        <v>433</v>
      </c>
      <c r="N129" s="7271" t="s">
        <v>433</v>
      </c>
      <c r="O129" s="7272" t="s">
        <v>833</v>
      </c>
      <c r="P129" s="7273" t="s">
        <v>433</v>
      </c>
    </row>
    <row r="130">
      <c r="A130" s="7274" t="s">
        <v>952</v>
      </c>
      <c r="B130" s="7275" t="s">
        <v>439</v>
      </c>
      <c r="C130" s="7276" t="s">
        <v>828</v>
      </c>
      <c r="D130" s="7277" t="s">
        <v>435</v>
      </c>
      <c r="E130" s="7278" t="s">
        <v>829</v>
      </c>
      <c r="F130" s="7279" t="n">
        <v>55.4</v>
      </c>
      <c r="G130" s="7280" t="s">
        <v>434</v>
      </c>
      <c r="H130" s="7281" t="n">
        <v>55.4</v>
      </c>
      <c r="I130" s="7282" t="s">
        <v>434</v>
      </c>
      <c r="J130" s="7283" t="s">
        <v>929</v>
      </c>
      <c r="K130" s="7284" t="s">
        <v>433</v>
      </c>
      <c r="L130" s="7285" t="s">
        <v>433</v>
      </c>
      <c r="M130" s="7286" t="s">
        <v>433</v>
      </c>
      <c r="N130" s="7287" t="s">
        <v>433</v>
      </c>
      <c r="O130" s="7288" t="s">
        <v>833</v>
      </c>
      <c r="P130" s="7289" t="s">
        <v>433</v>
      </c>
    </row>
    <row r="131">
      <c r="A131" s="7290" t="s">
        <v>952</v>
      </c>
      <c r="B131" s="7291" t="s">
        <v>439</v>
      </c>
      <c r="C131" s="7292" t="s">
        <v>828</v>
      </c>
      <c r="D131" s="7293" t="s">
        <v>435</v>
      </c>
      <c r="E131" s="7294" t="s">
        <v>829</v>
      </c>
      <c r="F131" s="7295" t="n">
        <v>97.55</v>
      </c>
      <c r="G131" s="7296" t="s">
        <v>434</v>
      </c>
      <c r="H131" s="7297" t="n">
        <v>97.55</v>
      </c>
      <c r="I131" s="7298" t="s">
        <v>434</v>
      </c>
      <c r="J131" s="7299" t="s">
        <v>929</v>
      </c>
      <c r="K131" s="7300" t="s">
        <v>433</v>
      </c>
      <c r="L131" s="7301" t="s">
        <v>433</v>
      </c>
      <c r="M131" s="7302" t="s">
        <v>433</v>
      </c>
      <c r="N131" s="7303" t="s">
        <v>433</v>
      </c>
      <c r="O131" s="7304" t="s">
        <v>833</v>
      </c>
      <c r="P131" s="7305" t="s">
        <v>433</v>
      </c>
    </row>
    <row r="132">
      <c r="A132" s="7306" t="s">
        <v>953</v>
      </c>
      <c r="B132" s="7307" t="s">
        <v>637</v>
      </c>
      <c r="C132" s="7308" t="s">
        <v>843</v>
      </c>
      <c r="D132" s="7309" t="s">
        <v>435</v>
      </c>
      <c r="E132" s="7310" t="s">
        <v>829</v>
      </c>
      <c r="F132" s="7311" t="n">
        <v>63.92</v>
      </c>
      <c r="G132" s="7312" t="s">
        <v>434</v>
      </c>
      <c r="H132" s="7313" t="n">
        <v>63.92</v>
      </c>
      <c r="I132" s="7314" t="s">
        <v>434</v>
      </c>
      <c r="J132" s="7315" t="s">
        <v>929</v>
      </c>
      <c r="K132" s="7316" t="s">
        <v>433</v>
      </c>
      <c r="L132" s="7317" t="s">
        <v>433</v>
      </c>
      <c r="M132" s="7318" t="s">
        <v>433</v>
      </c>
      <c r="N132" s="7319" t="s">
        <v>433</v>
      </c>
      <c r="O132" s="7320" t="s">
        <v>433</v>
      </c>
      <c r="P132" s="7321" t="s">
        <v>433</v>
      </c>
    </row>
    <row r="133">
      <c r="A133" s="7322" t="s">
        <v>953</v>
      </c>
      <c r="B133" s="7323" t="s">
        <v>525</v>
      </c>
      <c r="C133" s="7324" t="s">
        <v>841</v>
      </c>
      <c r="D133" s="7325" t="s">
        <v>435</v>
      </c>
      <c r="E133" s="7326" t="s">
        <v>829</v>
      </c>
      <c r="F133" s="7327" t="n">
        <v>42.13</v>
      </c>
      <c r="G133" s="7328" t="s">
        <v>434</v>
      </c>
      <c r="H133" s="7329" t="n">
        <v>42.13</v>
      </c>
      <c r="I133" s="7330" t="s">
        <v>434</v>
      </c>
      <c r="J133" s="7331" t="s">
        <v>929</v>
      </c>
      <c r="K133" s="7332" t="s">
        <v>433</v>
      </c>
      <c r="L133" s="7333" t="s">
        <v>433</v>
      </c>
      <c r="M133" s="7334" t="s">
        <v>433</v>
      </c>
      <c r="N133" s="7335" t="s">
        <v>433</v>
      </c>
      <c r="O133" s="7336" t="s">
        <v>433</v>
      </c>
      <c r="P133" s="7337" t="s">
        <v>433</v>
      </c>
    </row>
    <row r="134">
      <c r="A134" s="7338" t="s">
        <v>953</v>
      </c>
      <c r="B134" s="7339" t="s">
        <v>521</v>
      </c>
      <c r="C134" s="7340" t="s">
        <v>828</v>
      </c>
      <c r="D134" s="7341" t="s">
        <v>435</v>
      </c>
      <c r="E134" s="7342" t="s">
        <v>829</v>
      </c>
      <c r="F134" s="7343" t="n">
        <v>5.0</v>
      </c>
      <c r="G134" s="7344" t="s">
        <v>434</v>
      </c>
      <c r="H134" s="7345" t="n">
        <v>5.0</v>
      </c>
      <c r="I134" s="7346" t="s">
        <v>434</v>
      </c>
      <c r="J134" s="7347" t="s">
        <v>929</v>
      </c>
      <c r="K134" s="7348" t="s">
        <v>433</v>
      </c>
      <c r="L134" s="7349" t="s">
        <v>433</v>
      </c>
      <c r="M134" s="7350" t="s">
        <v>433</v>
      </c>
      <c r="N134" s="7351" t="s">
        <v>433</v>
      </c>
      <c r="O134" s="7352" t="s">
        <v>831</v>
      </c>
      <c r="P134" s="7353" t="s">
        <v>433</v>
      </c>
    </row>
    <row r="135">
      <c r="A135" s="7354" t="s">
        <v>953</v>
      </c>
      <c r="B135" s="7355" t="s">
        <v>627</v>
      </c>
      <c r="C135" s="7356" t="s">
        <v>836</v>
      </c>
      <c r="D135" s="7357" t="s">
        <v>435</v>
      </c>
      <c r="E135" s="7358" t="s">
        <v>829</v>
      </c>
      <c r="F135" s="7359" t="n">
        <v>48.75</v>
      </c>
      <c r="G135" s="7360" t="s">
        <v>434</v>
      </c>
      <c r="H135" s="7361" t="n">
        <v>48.75</v>
      </c>
      <c r="I135" s="7362" t="s">
        <v>434</v>
      </c>
      <c r="J135" s="7363" t="s">
        <v>929</v>
      </c>
      <c r="K135" s="7364" t="s">
        <v>433</v>
      </c>
      <c r="L135" s="7365" t="s">
        <v>433</v>
      </c>
      <c r="M135" s="7366" t="s">
        <v>433</v>
      </c>
      <c r="N135" s="7367" t="s">
        <v>433</v>
      </c>
      <c r="O135" s="7368" t="s">
        <v>833</v>
      </c>
      <c r="P135" s="7369" t="s">
        <v>433</v>
      </c>
    </row>
    <row r="136">
      <c r="A136" s="7370" t="s">
        <v>953</v>
      </c>
      <c r="B136" s="7371" t="s">
        <v>638</v>
      </c>
      <c r="C136" s="7372" t="s">
        <v>870</v>
      </c>
      <c r="D136" s="7373" t="s">
        <v>435</v>
      </c>
      <c r="E136" s="7374" t="s">
        <v>829</v>
      </c>
      <c r="F136" s="7375" t="n">
        <v>18.0</v>
      </c>
      <c r="G136" s="7376" t="s">
        <v>434</v>
      </c>
      <c r="H136" s="7377" t="n">
        <v>18.0</v>
      </c>
      <c r="I136" s="7378" t="s">
        <v>434</v>
      </c>
      <c r="J136" s="7379" t="s">
        <v>929</v>
      </c>
      <c r="K136" s="7380" t="s">
        <v>433</v>
      </c>
      <c r="L136" s="7381" t="s">
        <v>433</v>
      </c>
      <c r="M136" s="7382" t="s">
        <v>433</v>
      </c>
      <c r="N136" s="7383" t="s">
        <v>433</v>
      </c>
      <c r="O136" s="7384" t="s">
        <v>833</v>
      </c>
      <c r="P136" s="7385" t="s">
        <v>433</v>
      </c>
    </row>
    <row r="137">
      <c r="A137" s="7386" t="s">
        <v>953</v>
      </c>
      <c r="B137" s="7387" t="s">
        <v>639</v>
      </c>
      <c r="C137" s="7388" t="s">
        <v>860</v>
      </c>
      <c r="D137" s="7389" t="s">
        <v>435</v>
      </c>
      <c r="E137" s="7390" t="s">
        <v>829</v>
      </c>
      <c r="F137" s="7391" t="n">
        <v>260.0</v>
      </c>
      <c r="G137" s="7392" t="s">
        <v>434</v>
      </c>
      <c r="H137" s="7393" t="n">
        <v>260.0</v>
      </c>
      <c r="I137" s="7394" t="s">
        <v>434</v>
      </c>
      <c r="J137" s="7395" t="s">
        <v>929</v>
      </c>
      <c r="K137" s="7396" t="s">
        <v>640</v>
      </c>
      <c r="L137" s="7397" t="s">
        <v>433</v>
      </c>
      <c r="M137" s="7398" t="s">
        <v>433</v>
      </c>
      <c r="N137" s="7399" t="s">
        <v>433</v>
      </c>
      <c r="O137" s="7400" t="s">
        <v>833</v>
      </c>
      <c r="P137" s="7401" t="s">
        <v>433</v>
      </c>
    </row>
    <row r="138">
      <c r="A138" s="7402" t="s">
        <v>953</v>
      </c>
      <c r="B138" s="7403" t="s">
        <v>439</v>
      </c>
      <c r="C138" s="7404" t="s">
        <v>828</v>
      </c>
      <c r="D138" s="7405" t="s">
        <v>435</v>
      </c>
      <c r="E138" s="7406" t="s">
        <v>829</v>
      </c>
      <c r="F138" s="7407" t="n">
        <v>170.9</v>
      </c>
      <c r="G138" s="7408" t="s">
        <v>434</v>
      </c>
      <c r="H138" s="7409" t="n">
        <v>170.9</v>
      </c>
      <c r="I138" s="7410" t="s">
        <v>434</v>
      </c>
      <c r="J138" s="7411" t="s">
        <v>929</v>
      </c>
      <c r="K138" s="7412" t="s">
        <v>433</v>
      </c>
      <c r="L138" s="7413" t="s">
        <v>433</v>
      </c>
      <c r="M138" s="7414" t="s">
        <v>433</v>
      </c>
      <c r="N138" s="7415" t="s">
        <v>433</v>
      </c>
      <c r="O138" s="7416" t="s">
        <v>833</v>
      </c>
      <c r="P138" s="7417" t="s">
        <v>433</v>
      </c>
    </row>
    <row r="139">
      <c r="A139" s="7418" t="s">
        <v>953</v>
      </c>
      <c r="B139" s="7419" t="s">
        <v>440</v>
      </c>
      <c r="C139" s="7420" t="s">
        <v>836</v>
      </c>
      <c r="D139" s="7421" t="s">
        <v>435</v>
      </c>
      <c r="E139" s="7422" t="s">
        <v>829</v>
      </c>
      <c r="F139" s="7423" t="n">
        <v>75.0</v>
      </c>
      <c r="G139" s="7424" t="s">
        <v>434</v>
      </c>
      <c r="H139" s="7425" t="n">
        <v>75.0</v>
      </c>
      <c r="I139" s="7426" t="s">
        <v>434</v>
      </c>
      <c r="J139" s="7427" t="s">
        <v>929</v>
      </c>
      <c r="K139" s="7428" t="s">
        <v>433</v>
      </c>
      <c r="L139" s="7429" t="s">
        <v>433</v>
      </c>
      <c r="M139" s="7430" t="s">
        <v>433</v>
      </c>
      <c r="N139" s="7431" t="s">
        <v>433</v>
      </c>
      <c r="O139" s="7432" t="s">
        <v>833</v>
      </c>
      <c r="P139" s="7433" t="s">
        <v>433</v>
      </c>
    </row>
    <row r="140">
      <c r="A140" s="7434" t="s">
        <v>953</v>
      </c>
      <c r="B140" s="7435" t="s">
        <v>440</v>
      </c>
      <c r="C140" s="7436" t="s">
        <v>836</v>
      </c>
      <c r="D140" s="7437" t="s">
        <v>435</v>
      </c>
      <c r="E140" s="7438" t="s">
        <v>829</v>
      </c>
      <c r="F140" s="7439" t="n">
        <v>37.5</v>
      </c>
      <c r="G140" s="7440" t="s">
        <v>434</v>
      </c>
      <c r="H140" s="7441" t="n">
        <v>37.5</v>
      </c>
      <c r="I140" s="7442" t="s">
        <v>434</v>
      </c>
      <c r="J140" s="7443" t="s">
        <v>929</v>
      </c>
      <c r="K140" s="7444" t="s">
        <v>433</v>
      </c>
      <c r="L140" s="7445" t="s">
        <v>433</v>
      </c>
      <c r="M140" s="7446" t="s">
        <v>433</v>
      </c>
      <c r="N140" s="7447" t="s">
        <v>433</v>
      </c>
      <c r="O140" s="7448" t="s">
        <v>833</v>
      </c>
      <c r="P140" s="7449" t="s">
        <v>433</v>
      </c>
    </row>
    <row r="141">
      <c r="A141" s="7450" t="s">
        <v>953</v>
      </c>
      <c r="B141" s="7451" t="s">
        <v>641</v>
      </c>
      <c r="C141" s="7452" t="s">
        <v>843</v>
      </c>
      <c r="D141" s="7453" t="s">
        <v>435</v>
      </c>
      <c r="E141" s="7454" t="s">
        <v>829</v>
      </c>
      <c r="F141" s="7455" t="n">
        <v>99.9</v>
      </c>
      <c r="G141" s="7456" t="s">
        <v>434</v>
      </c>
      <c r="H141" s="7457" t="n">
        <v>99.9</v>
      </c>
      <c r="I141" s="7458" t="s">
        <v>434</v>
      </c>
      <c r="J141" s="7459" t="s">
        <v>929</v>
      </c>
      <c r="K141" s="7460" t="s">
        <v>433</v>
      </c>
      <c r="L141" s="7461" t="s">
        <v>433</v>
      </c>
      <c r="M141" s="7462" t="s">
        <v>433</v>
      </c>
      <c r="N141" s="7463" t="s">
        <v>433</v>
      </c>
      <c r="O141" s="7464" t="s">
        <v>433</v>
      </c>
      <c r="P141" s="7465" t="s">
        <v>433</v>
      </c>
    </row>
    <row r="142">
      <c r="A142" s="7466" t="s">
        <v>954</v>
      </c>
      <c r="B142" s="7467" t="s">
        <v>643</v>
      </c>
      <c r="C142" s="7468" t="s">
        <v>870</v>
      </c>
      <c r="D142" s="7469" t="s">
        <v>435</v>
      </c>
      <c r="E142" s="7470" t="s">
        <v>829</v>
      </c>
      <c r="F142" s="7471" t="n">
        <v>29.0</v>
      </c>
      <c r="G142" s="7472" t="s">
        <v>434</v>
      </c>
      <c r="H142" s="7473" t="n">
        <v>29.0</v>
      </c>
      <c r="I142" s="7474" t="s">
        <v>434</v>
      </c>
      <c r="J142" s="7475" t="s">
        <v>929</v>
      </c>
      <c r="K142" s="7476" t="s">
        <v>433</v>
      </c>
      <c r="L142" s="7477" t="s">
        <v>433</v>
      </c>
      <c r="M142" s="7478" t="s">
        <v>433</v>
      </c>
      <c r="N142" s="7479" t="s">
        <v>433</v>
      </c>
      <c r="O142" s="7480" t="s">
        <v>833</v>
      </c>
      <c r="P142" s="7481" t="s">
        <v>433</v>
      </c>
    </row>
    <row r="143">
      <c r="A143" s="7482" t="s">
        <v>954</v>
      </c>
      <c r="B143" s="7483" t="s">
        <v>442</v>
      </c>
      <c r="C143" s="7484" t="s">
        <v>836</v>
      </c>
      <c r="D143" s="7485" t="s">
        <v>435</v>
      </c>
      <c r="E143" s="7486" t="s">
        <v>829</v>
      </c>
      <c r="F143" s="7487" t="n">
        <v>155.0</v>
      </c>
      <c r="G143" s="7488" t="s">
        <v>434</v>
      </c>
      <c r="H143" s="7489" t="n">
        <v>155.0</v>
      </c>
      <c r="I143" s="7490" t="s">
        <v>434</v>
      </c>
      <c r="J143" s="7491" t="s">
        <v>929</v>
      </c>
      <c r="K143" s="7492" t="s">
        <v>433</v>
      </c>
      <c r="L143" s="7493" t="s">
        <v>433</v>
      </c>
      <c r="M143" s="7494" t="s">
        <v>433</v>
      </c>
      <c r="N143" s="7495" t="s">
        <v>433</v>
      </c>
      <c r="O143" s="7496" t="s">
        <v>833</v>
      </c>
      <c r="P143" s="7497" t="s">
        <v>433</v>
      </c>
    </row>
    <row r="144">
      <c r="A144" s="7498" t="s">
        <v>954</v>
      </c>
      <c r="B144" s="7499" t="s">
        <v>442</v>
      </c>
      <c r="C144" s="7500" t="s">
        <v>836</v>
      </c>
      <c r="D144" s="7501" t="s">
        <v>435</v>
      </c>
      <c r="E144" s="7502" t="s">
        <v>829</v>
      </c>
      <c r="F144" s="7503" t="n">
        <v>190.0</v>
      </c>
      <c r="G144" s="7504" t="s">
        <v>434</v>
      </c>
      <c r="H144" s="7505" t="n">
        <v>190.0</v>
      </c>
      <c r="I144" s="7506" t="s">
        <v>434</v>
      </c>
      <c r="J144" s="7507" t="s">
        <v>929</v>
      </c>
      <c r="K144" s="7508" t="s">
        <v>433</v>
      </c>
      <c r="L144" s="7509" t="s">
        <v>433</v>
      </c>
      <c r="M144" s="7510" t="s">
        <v>433</v>
      </c>
      <c r="N144" s="7511" t="s">
        <v>433</v>
      </c>
      <c r="O144" s="7512" t="s">
        <v>835</v>
      </c>
      <c r="P144" s="7513" t="s">
        <v>433</v>
      </c>
    </row>
    <row r="145">
      <c r="A145" s="7514" t="s">
        <v>954</v>
      </c>
      <c r="B145" s="7515" t="s">
        <v>439</v>
      </c>
      <c r="C145" s="7516" t="s">
        <v>828</v>
      </c>
      <c r="D145" s="7517" t="s">
        <v>435</v>
      </c>
      <c r="E145" s="7518" t="s">
        <v>829</v>
      </c>
      <c r="F145" s="7519" t="n">
        <v>92.35</v>
      </c>
      <c r="G145" s="7520" t="s">
        <v>434</v>
      </c>
      <c r="H145" s="7521" t="n">
        <v>92.35</v>
      </c>
      <c r="I145" s="7522" t="s">
        <v>434</v>
      </c>
      <c r="J145" s="7523" t="s">
        <v>929</v>
      </c>
      <c r="K145" s="7524" t="s">
        <v>433</v>
      </c>
      <c r="L145" s="7525" t="s">
        <v>433</v>
      </c>
      <c r="M145" s="7526" t="s">
        <v>433</v>
      </c>
      <c r="N145" s="7527" t="s">
        <v>433</v>
      </c>
      <c r="O145" s="7528" t="s">
        <v>833</v>
      </c>
      <c r="P145" s="7529" t="s">
        <v>433</v>
      </c>
    </row>
    <row r="146">
      <c r="A146" s="7530" t="s">
        <v>954</v>
      </c>
      <c r="B146" s="7531" t="s">
        <v>439</v>
      </c>
      <c r="C146" s="7532" t="s">
        <v>828</v>
      </c>
      <c r="D146" s="7533" t="s">
        <v>435</v>
      </c>
      <c r="E146" s="7534" t="s">
        <v>829</v>
      </c>
      <c r="F146" s="7535" t="n">
        <v>6.28</v>
      </c>
      <c r="G146" s="7536" t="s">
        <v>434</v>
      </c>
      <c r="H146" s="7537" t="n">
        <v>6.28</v>
      </c>
      <c r="I146" s="7538" t="s">
        <v>434</v>
      </c>
      <c r="J146" s="7539" t="s">
        <v>929</v>
      </c>
      <c r="K146" s="7540" t="s">
        <v>433</v>
      </c>
      <c r="L146" s="7541" t="s">
        <v>433</v>
      </c>
      <c r="M146" s="7542" t="s">
        <v>433</v>
      </c>
      <c r="N146" s="7543" t="s">
        <v>433</v>
      </c>
      <c r="O146" s="7544" t="s">
        <v>833</v>
      </c>
      <c r="P146" s="7545" t="s">
        <v>433</v>
      </c>
    </row>
    <row r="147">
      <c r="A147" s="7546" t="s">
        <v>955</v>
      </c>
      <c r="B147" s="7547" t="s">
        <v>543</v>
      </c>
      <c r="C147" s="7548" t="s">
        <v>870</v>
      </c>
      <c r="D147" s="7549" t="s">
        <v>435</v>
      </c>
      <c r="E147" s="7550" t="s">
        <v>829</v>
      </c>
      <c r="F147" s="7551" t="n">
        <v>164.0</v>
      </c>
      <c r="G147" s="7552" t="s">
        <v>434</v>
      </c>
      <c r="H147" s="7553" t="n">
        <v>164.0</v>
      </c>
      <c r="I147" s="7554" t="s">
        <v>434</v>
      </c>
      <c r="J147" s="7555" t="s">
        <v>929</v>
      </c>
      <c r="K147" s="7556" t="s">
        <v>433</v>
      </c>
      <c r="L147" s="7557" t="s">
        <v>433</v>
      </c>
      <c r="M147" s="7558" t="s">
        <v>433</v>
      </c>
      <c r="N147" s="7559" t="s">
        <v>433</v>
      </c>
      <c r="O147" s="7560" t="s">
        <v>833</v>
      </c>
      <c r="P147" s="7561" t="s">
        <v>433</v>
      </c>
    </row>
    <row r="148">
      <c r="A148" s="7562" t="s">
        <v>955</v>
      </c>
      <c r="B148" s="7563" t="s">
        <v>439</v>
      </c>
      <c r="C148" s="7564" t="s">
        <v>828</v>
      </c>
      <c r="D148" s="7565" t="s">
        <v>435</v>
      </c>
      <c r="E148" s="7566" t="s">
        <v>829</v>
      </c>
      <c r="F148" s="7567" t="n">
        <v>45.8</v>
      </c>
      <c r="G148" s="7568" t="s">
        <v>434</v>
      </c>
      <c r="H148" s="7569" t="n">
        <v>45.8</v>
      </c>
      <c r="I148" s="7570" t="s">
        <v>434</v>
      </c>
      <c r="J148" s="7571" t="s">
        <v>929</v>
      </c>
      <c r="K148" s="7572" t="s">
        <v>433</v>
      </c>
      <c r="L148" s="7573" t="s">
        <v>433</v>
      </c>
      <c r="M148" s="7574" t="s">
        <v>433</v>
      </c>
      <c r="N148" s="7575" t="s">
        <v>433</v>
      </c>
      <c r="O148" s="7576" t="s">
        <v>833</v>
      </c>
      <c r="P148" s="7577" t="s">
        <v>433</v>
      </c>
    </row>
    <row r="149">
      <c r="A149" s="7578" t="s">
        <v>881</v>
      </c>
    </row>
    <row r="150">
      <c r="A150" s="7579" t="s">
        <v>956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P11"/>
  <sheetViews>
    <sheetView workbookViewId="0" rightToLeft="true"/>
  </sheetViews>
  <sheetFormatPr defaultRowHeight="15.0"/>
  <sheetData>
    <row r="1">
      <c r="A1" s="7580" t="s">
        <v>809</v>
      </c>
      <c r="C1" s="7581" t="s">
        <v>433</v>
      </c>
    </row>
    <row r="2">
      <c r="A2" s="7582" t="s">
        <v>810</v>
      </c>
      <c r="C2" s="7583" t="s">
        <v>433</v>
      </c>
    </row>
    <row r="3">
      <c r="A3" s="7584" t="s">
        <v>928</v>
      </c>
      <c r="C3" s="7585" t="s">
        <v>433</v>
      </c>
    </row>
    <row r="4">
      <c r="A4" s="7586" t="s">
        <v>812</v>
      </c>
      <c r="B4" s="7587" t="s">
        <v>813</v>
      </c>
      <c r="C4" s="7588" t="s">
        <v>814</v>
      </c>
      <c r="D4" s="7589" t="s">
        <v>815</v>
      </c>
      <c r="E4" s="7590" t="s">
        <v>816</v>
      </c>
      <c r="F4" s="7591" t="s">
        <v>817</v>
      </c>
      <c r="G4" s="7592" t="s">
        <v>818</v>
      </c>
      <c r="H4" s="7593" t="s">
        <v>819</v>
      </c>
      <c r="I4" s="7594" t="s">
        <v>820</v>
      </c>
      <c r="J4" s="7595" t="s">
        <v>821</v>
      </c>
      <c r="K4" s="7596" t="s">
        <v>10</v>
      </c>
      <c r="L4" s="7597" t="s">
        <v>822</v>
      </c>
      <c r="M4" s="7598" t="s">
        <v>823</v>
      </c>
      <c r="N4" s="7599" t="s">
        <v>824</v>
      </c>
      <c r="O4" s="7600" t="s">
        <v>825</v>
      </c>
      <c r="P4" s="7601" t="s">
        <v>826</v>
      </c>
    </row>
    <row r="5">
      <c r="A5" s="7602" t="s">
        <v>930</v>
      </c>
      <c r="B5" s="7603" t="s">
        <v>581</v>
      </c>
      <c r="C5" s="7604" t="s">
        <v>845</v>
      </c>
      <c r="D5" s="7605" t="s">
        <v>435</v>
      </c>
      <c r="E5" s="7606" t="s">
        <v>883</v>
      </c>
      <c r="F5" s="7607" t="n">
        <v>32.9</v>
      </c>
      <c r="G5" s="7608" t="s">
        <v>434</v>
      </c>
      <c r="H5" s="7609" t="n">
        <v>32.9</v>
      </c>
      <c r="I5" s="7610" t="s">
        <v>434</v>
      </c>
      <c r="J5" s="7611" t="s">
        <v>931</v>
      </c>
      <c r="K5" s="7612" t="s">
        <v>464</v>
      </c>
      <c r="L5" s="7613" t="s">
        <v>433</v>
      </c>
      <c r="M5" s="7614" t="s">
        <v>433</v>
      </c>
      <c r="N5" s="7615" t="s">
        <v>433</v>
      </c>
      <c r="O5" s="7616" t="s">
        <v>835</v>
      </c>
      <c r="P5" s="7617" t="s">
        <v>433</v>
      </c>
    </row>
    <row r="6">
      <c r="A6" s="7618" t="s">
        <v>934</v>
      </c>
      <c r="B6" s="7619" t="s">
        <v>477</v>
      </c>
      <c r="C6" s="7620" t="s">
        <v>845</v>
      </c>
      <c r="D6" s="7621" t="s">
        <v>435</v>
      </c>
      <c r="E6" s="7622" t="s">
        <v>883</v>
      </c>
      <c r="F6" s="7623" t="n">
        <v>49.9</v>
      </c>
      <c r="G6" s="7624" t="s">
        <v>434</v>
      </c>
      <c r="H6" s="7625" t="n">
        <v>49.9</v>
      </c>
      <c r="I6" s="7626" t="s">
        <v>434</v>
      </c>
      <c r="J6" s="7627" t="s">
        <v>937</v>
      </c>
      <c r="K6" s="7628" t="s">
        <v>464</v>
      </c>
      <c r="L6" s="7629" t="s">
        <v>433</v>
      </c>
      <c r="M6" s="7630" t="s">
        <v>433</v>
      </c>
      <c r="N6" s="7631" t="s">
        <v>433</v>
      </c>
      <c r="O6" s="7632" t="s">
        <v>835</v>
      </c>
      <c r="P6" s="7633" t="s">
        <v>433</v>
      </c>
    </row>
    <row r="7">
      <c r="A7" s="7634" t="s">
        <v>945</v>
      </c>
      <c r="B7" s="7635" t="s">
        <v>516</v>
      </c>
      <c r="C7" s="7636" t="s">
        <v>836</v>
      </c>
      <c r="D7" s="7637" t="s">
        <v>435</v>
      </c>
      <c r="E7" s="7638" t="s">
        <v>883</v>
      </c>
      <c r="F7" s="7639" t="n">
        <v>49.9</v>
      </c>
      <c r="G7" s="7640" t="s">
        <v>434</v>
      </c>
      <c r="H7" s="7641" t="n">
        <v>49.9</v>
      </c>
      <c r="I7" s="7642" t="s">
        <v>434</v>
      </c>
      <c r="J7" s="7643" t="s">
        <v>946</v>
      </c>
      <c r="K7" s="7644" t="s">
        <v>464</v>
      </c>
      <c r="L7" s="7645" t="s">
        <v>433</v>
      </c>
      <c r="M7" s="7646" t="s">
        <v>433</v>
      </c>
      <c r="N7" s="7647" t="s">
        <v>433</v>
      </c>
      <c r="O7" s="7648" t="s">
        <v>835</v>
      </c>
      <c r="P7" s="7649" t="s">
        <v>433</v>
      </c>
    </row>
    <row r="8">
      <c r="A8" s="7650" t="s">
        <v>893</v>
      </c>
      <c r="B8" s="7651" t="s">
        <v>523</v>
      </c>
      <c r="C8" s="7652" t="s">
        <v>836</v>
      </c>
      <c r="D8" s="7653" t="s">
        <v>435</v>
      </c>
      <c r="E8" s="7654" t="s">
        <v>883</v>
      </c>
      <c r="F8" s="7655" t="n">
        <v>3.9</v>
      </c>
      <c r="G8" s="7656" t="s">
        <v>434</v>
      </c>
      <c r="H8" s="7657" t="n">
        <v>3.9</v>
      </c>
      <c r="I8" s="7658" t="s">
        <v>434</v>
      </c>
      <c r="J8" s="7659" t="s">
        <v>949</v>
      </c>
      <c r="K8" s="7660" t="s">
        <v>464</v>
      </c>
      <c r="L8" s="7661" t="s">
        <v>433</v>
      </c>
      <c r="M8" s="7662" t="s">
        <v>433</v>
      </c>
      <c r="N8" s="7663" t="s">
        <v>433</v>
      </c>
      <c r="O8" s="7664" t="s">
        <v>835</v>
      </c>
      <c r="P8" s="7665" t="s">
        <v>433</v>
      </c>
    </row>
    <row r="9">
      <c r="A9" s="7666" t="s">
        <v>948</v>
      </c>
      <c r="B9" s="7667" t="s">
        <v>625</v>
      </c>
      <c r="C9" s="7668" t="s">
        <v>884</v>
      </c>
      <c r="D9" s="7669" t="s">
        <v>435</v>
      </c>
      <c r="E9" s="7670" t="s">
        <v>883</v>
      </c>
      <c r="F9" s="7671" t="n">
        <v>121.26</v>
      </c>
      <c r="G9" s="7672" t="s">
        <v>434</v>
      </c>
      <c r="H9" s="7673" t="n">
        <v>121.26</v>
      </c>
      <c r="I9" s="7674" t="s">
        <v>434</v>
      </c>
      <c r="J9" s="7675" t="s">
        <v>951</v>
      </c>
      <c r="K9" s="7676" t="s">
        <v>464</v>
      </c>
      <c r="L9" s="7677" t="s">
        <v>433</v>
      </c>
      <c r="M9" s="7678" t="s">
        <v>433</v>
      </c>
      <c r="N9" s="7679" t="s">
        <v>433</v>
      </c>
      <c r="O9" s="7680" t="s">
        <v>835</v>
      </c>
      <c r="P9" s="7681" t="s">
        <v>433</v>
      </c>
    </row>
    <row r="10">
      <c r="A10" s="7682" t="s">
        <v>881</v>
      </c>
    </row>
    <row r="11">
      <c r="A11" s="7683" t="s">
        <v>957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P10"/>
  <sheetViews>
    <sheetView workbookViewId="0" rightToLeft="true"/>
  </sheetViews>
  <sheetFormatPr defaultRowHeight="15.0"/>
  <sheetData>
    <row r="1">
      <c r="A1" s="7684" t="s">
        <v>809</v>
      </c>
      <c r="C1" s="7685" t="s">
        <v>433</v>
      </c>
    </row>
    <row r="2">
      <c r="A2" s="7686" t="s">
        <v>810</v>
      </c>
      <c r="C2" s="7687" t="s">
        <v>433</v>
      </c>
    </row>
    <row r="3">
      <c r="A3" s="7688" t="s">
        <v>928</v>
      </c>
      <c r="C3" s="7689" t="s">
        <v>433</v>
      </c>
    </row>
    <row r="4">
      <c r="A4" s="7690" t="s">
        <v>812</v>
      </c>
      <c r="B4" s="7691" t="s">
        <v>813</v>
      </c>
      <c r="C4" s="7692" t="s">
        <v>814</v>
      </c>
      <c r="D4" s="7693" t="s">
        <v>815</v>
      </c>
      <c r="E4" s="7694" t="s">
        <v>816</v>
      </c>
      <c r="F4" s="7695" t="s">
        <v>817</v>
      </c>
      <c r="G4" s="7696" t="s">
        <v>818</v>
      </c>
      <c r="H4" s="7697" t="s">
        <v>819</v>
      </c>
      <c r="I4" s="7698" t="s">
        <v>820</v>
      </c>
      <c r="J4" s="7699" t="s">
        <v>821</v>
      </c>
      <c r="K4" s="7700" t="s">
        <v>10</v>
      </c>
      <c r="L4" s="7701" t="s">
        <v>822</v>
      </c>
      <c r="M4" s="7702" t="s">
        <v>823</v>
      </c>
      <c r="N4" s="7703" t="s">
        <v>824</v>
      </c>
      <c r="O4" s="7704" t="s">
        <v>825</v>
      </c>
      <c r="P4" s="7705" t="s">
        <v>826</v>
      </c>
    </row>
    <row r="5">
      <c r="A5" s="7706" t="s">
        <v>830</v>
      </c>
      <c r="B5" s="7707" t="s">
        <v>526</v>
      </c>
      <c r="C5" s="7708" t="s">
        <v>887</v>
      </c>
      <c r="D5" s="7709" t="s">
        <v>435</v>
      </c>
      <c r="E5" s="7710" t="s">
        <v>883</v>
      </c>
      <c r="F5" s="7711" t="n">
        <v>156.95</v>
      </c>
      <c r="G5" s="7712" t="s">
        <v>434</v>
      </c>
      <c r="H5" s="7713" t="n">
        <v>156.95</v>
      </c>
      <c r="I5" s="7714" t="s">
        <v>434</v>
      </c>
      <c r="J5" s="7715" t="s">
        <v>930</v>
      </c>
      <c r="K5" s="7716" t="s">
        <v>433</v>
      </c>
      <c r="L5" s="7717" t="s">
        <v>433</v>
      </c>
      <c r="M5" s="7718" t="s">
        <v>433</v>
      </c>
      <c r="N5" s="7719" t="s">
        <v>433</v>
      </c>
      <c r="O5" s="7720" t="s">
        <v>888</v>
      </c>
      <c r="P5" s="7721" t="s">
        <v>433</v>
      </c>
    </row>
    <row r="6">
      <c r="A6" s="7722" t="s">
        <v>935</v>
      </c>
      <c r="B6" s="7723" t="s">
        <v>503</v>
      </c>
      <c r="C6" s="7724" t="s">
        <v>887</v>
      </c>
      <c r="D6" s="7725" t="s">
        <v>435</v>
      </c>
      <c r="E6" s="7726" t="s">
        <v>883</v>
      </c>
      <c r="F6" s="7727" t="n">
        <v>107.9</v>
      </c>
      <c r="G6" s="7728" t="s">
        <v>434</v>
      </c>
      <c r="H6" s="7729" t="n">
        <v>107.9</v>
      </c>
      <c r="I6" s="7730" t="s">
        <v>434</v>
      </c>
      <c r="J6" s="7731" t="s">
        <v>936</v>
      </c>
      <c r="K6" s="7732" t="s">
        <v>433</v>
      </c>
      <c r="L6" s="7733" t="s">
        <v>433</v>
      </c>
      <c r="M6" s="7734" t="s">
        <v>433</v>
      </c>
      <c r="N6" s="7735" t="s">
        <v>433</v>
      </c>
      <c r="O6" s="7736" t="s">
        <v>888</v>
      </c>
      <c r="P6" s="7737" t="s">
        <v>433</v>
      </c>
    </row>
    <row r="7">
      <c r="A7" s="7738" t="s">
        <v>940</v>
      </c>
      <c r="B7" s="7739" t="s">
        <v>503</v>
      </c>
      <c r="C7" s="7740" t="s">
        <v>887</v>
      </c>
      <c r="D7" s="7741" t="s">
        <v>435</v>
      </c>
      <c r="E7" s="7742" t="s">
        <v>883</v>
      </c>
      <c r="F7" s="7743" t="n">
        <v>307.9</v>
      </c>
      <c r="G7" s="7744" t="s">
        <v>434</v>
      </c>
      <c r="H7" s="7745" t="n">
        <v>307.9</v>
      </c>
      <c r="I7" s="7746" t="s">
        <v>434</v>
      </c>
      <c r="J7" s="7747" t="s">
        <v>942</v>
      </c>
      <c r="K7" s="7748" t="s">
        <v>433</v>
      </c>
      <c r="L7" s="7749" t="s">
        <v>433</v>
      </c>
      <c r="M7" s="7750" t="s">
        <v>433</v>
      </c>
      <c r="N7" s="7751" t="s">
        <v>433</v>
      </c>
      <c r="O7" s="7752" t="s">
        <v>888</v>
      </c>
      <c r="P7" s="7753" t="s">
        <v>433</v>
      </c>
    </row>
    <row r="8">
      <c r="A8" s="7754" t="s">
        <v>945</v>
      </c>
      <c r="B8" s="7755" t="s">
        <v>526</v>
      </c>
      <c r="C8" s="7756" t="s">
        <v>887</v>
      </c>
      <c r="D8" s="7757" t="s">
        <v>435</v>
      </c>
      <c r="E8" s="7758" t="s">
        <v>883</v>
      </c>
      <c r="F8" s="7759" t="n">
        <v>156.95</v>
      </c>
      <c r="G8" s="7760" t="s">
        <v>434</v>
      </c>
      <c r="H8" s="7761" t="n">
        <v>156.95</v>
      </c>
      <c r="I8" s="7762" t="s">
        <v>434</v>
      </c>
      <c r="J8" s="7763" t="s">
        <v>893</v>
      </c>
      <c r="K8" s="7764" t="s">
        <v>433</v>
      </c>
      <c r="L8" s="7765" t="s">
        <v>433</v>
      </c>
      <c r="M8" s="7766" t="s">
        <v>433</v>
      </c>
      <c r="N8" s="7767" t="s">
        <v>433</v>
      </c>
      <c r="O8" s="7768" t="s">
        <v>888</v>
      </c>
      <c r="P8" s="7769" t="s">
        <v>433</v>
      </c>
    </row>
    <row r="9">
      <c r="A9" s="7770" t="s">
        <v>881</v>
      </c>
    </row>
    <row r="10">
      <c r="A10" s="7771" t="s">
        <v>958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J41"/>
  <sheetViews>
    <sheetView workbookViewId="0" rightToLeft="true"/>
  </sheetViews>
  <sheetFormatPr defaultRowHeight="15.0"/>
  <sheetData>
    <row r="1">
      <c r="A1" s="7772" t="s">
        <v>959</v>
      </c>
    </row>
    <row r="2">
      <c r="A2" s="7773" t="s">
        <v>960</v>
      </c>
    </row>
    <row r="3">
      <c r="A3" s="7774" t="s">
        <v>8</v>
      </c>
      <c r="B3" s="7775" t="s">
        <v>961</v>
      </c>
      <c r="C3" s="7776" t="s">
        <v>962</v>
      </c>
      <c r="D3" s="7777" t="s">
        <v>963</v>
      </c>
      <c r="E3" s="7778" t="s">
        <v>964</v>
      </c>
      <c r="F3" s="7779" t="s">
        <v>965</v>
      </c>
      <c r="G3" s="7780" t="s">
        <v>966</v>
      </c>
      <c r="H3" s="7781" t="s">
        <v>967</v>
      </c>
      <c r="I3" s="7782" t="s">
        <v>968</v>
      </c>
      <c r="J3" s="7783" t="s">
        <v>969</v>
      </c>
    </row>
    <row r="4">
      <c r="A4" s="7784" t="n">
        <v>46112.0</v>
      </c>
      <c r="B4" s="7785" t="s">
        <v>452</v>
      </c>
      <c r="D4" s="7786" t="n">
        <v>3.4685693E7</v>
      </c>
      <c r="E4" s="7787" t="n">
        <v>19.26</v>
      </c>
      <c r="F4" s="7788" t="s">
        <v>433</v>
      </c>
      <c r="G4" s="7789" t="n">
        <v>5867.76</v>
      </c>
      <c r="H4" s="7790" t="n">
        <v>46112.0</v>
      </c>
    </row>
    <row r="5">
      <c r="A5" s="7791" t="n">
        <v>46110.0</v>
      </c>
      <c r="B5" s="7792" t="s">
        <v>444</v>
      </c>
      <c r="D5" s="7793" t="n">
        <v>6.15563159E8</v>
      </c>
      <c r="E5" s="7794" t="n">
        <v>216.43</v>
      </c>
      <c r="F5" s="7795" t="s">
        <v>433</v>
      </c>
      <c r="G5" s="7796" t="n">
        <v>5887.02</v>
      </c>
      <c r="H5" s="7797" t="n">
        <v>46110.0</v>
      </c>
    </row>
    <row r="6">
      <c r="A6" s="7798" t="n">
        <v>46110.0</v>
      </c>
      <c r="B6" s="7799" t="s">
        <v>446</v>
      </c>
      <c r="D6" s="7800" t="n">
        <v>6.15563159E8</v>
      </c>
      <c r="E6" s="7801" t="n">
        <v>369.8</v>
      </c>
      <c r="F6" s="7802" t="s">
        <v>433</v>
      </c>
      <c r="G6" s="7803" t="n">
        <v>6103.45</v>
      </c>
      <c r="H6" s="7804" t="n">
        <v>46110.0</v>
      </c>
    </row>
    <row r="7">
      <c r="A7" s="7805" t="n">
        <v>46110.0</v>
      </c>
      <c r="B7" s="7806" t="s">
        <v>544</v>
      </c>
      <c r="C7" s="7807" t="s">
        <v>545</v>
      </c>
      <c r="D7" s="7808" t="n">
        <v>750588.0</v>
      </c>
      <c r="E7" s="7809" t="n">
        <v>144.01</v>
      </c>
      <c r="F7" s="7810" t="s">
        <v>433</v>
      </c>
      <c r="G7" s="7811" t="n">
        <v>6473.25</v>
      </c>
      <c r="H7" s="7812" t="n">
        <v>46110.0</v>
      </c>
      <c r="J7" s="7813" t="s">
        <v>970</v>
      </c>
    </row>
    <row r="8">
      <c r="A8" s="7814" t="n">
        <v>46110.0</v>
      </c>
      <c r="B8" s="7815" t="s">
        <v>452</v>
      </c>
      <c r="C8" s="7816" t="s">
        <v>700</v>
      </c>
      <c r="D8" s="7817" t="n">
        <v>8.0132285E7</v>
      </c>
      <c r="E8" s="7818" t="s">
        <v>433</v>
      </c>
      <c r="F8" s="7819" t="n">
        <v>149.7</v>
      </c>
      <c r="G8" s="7820" t="n">
        <v>6617.26</v>
      </c>
      <c r="H8" s="7821" t="n">
        <v>46110.0</v>
      </c>
      <c r="J8" s="7822" t="s">
        <v>971</v>
      </c>
    </row>
    <row r="9">
      <c r="A9" s="7823" t="n">
        <v>46110.0</v>
      </c>
      <c r="B9" s="7824" t="s">
        <v>549</v>
      </c>
      <c r="C9" s="7825" t="s">
        <v>550</v>
      </c>
      <c r="D9" s="7826" t="n">
        <v>9.900433E7</v>
      </c>
      <c r="E9" s="7827" t="s">
        <v>433</v>
      </c>
      <c r="F9" s="7828" t="n">
        <v>300.0</v>
      </c>
      <c r="G9" s="7829" t="n">
        <v>6467.56</v>
      </c>
      <c r="H9" s="7830" t="n">
        <v>46110.0</v>
      </c>
      <c r="I9" s="7831" t="s">
        <v>972</v>
      </c>
      <c r="J9" s="7832" t="s">
        <v>973</v>
      </c>
    </row>
    <row r="10">
      <c r="A10" s="7833" t="n">
        <v>46107.0</v>
      </c>
      <c r="B10" s="7834" t="s">
        <v>546</v>
      </c>
      <c r="C10" s="7835" t="s">
        <v>490</v>
      </c>
      <c r="D10" s="7836" t="n">
        <v>6.0697083E7</v>
      </c>
      <c r="E10" s="7837" t="s">
        <v>433</v>
      </c>
      <c r="F10" s="7838" t="n">
        <v>3820.0</v>
      </c>
      <c r="G10" s="7839" t="n">
        <v>6167.56</v>
      </c>
      <c r="H10" s="7840" t="n">
        <v>46107.0</v>
      </c>
      <c r="J10" s="7841" t="s">
        <v>974</v>
      </c>
    </row>
    <row r="11">
      <c r="A11" s="7842" t="n">
        <v>46107.0</v>
      </c>
      <c r="B11" s="7843" t="s">
        <v>546</v>
      </c>
      <c r="C11" s="7844" t="s">
        <v>490</v>
      </c>
      <c r="D11" s="7845" t="n">
        <v>6.0697083E7</v>
      </c>
      <c r="E11" s="7846" t="s">
        <v>433</v>
      </c>
      <c r="F11" s="7847" t="n">
        <v>5802.0</v>
      </c>
      <c r="G11" s="7848" t="n">
        <v>2347.56</v>
      </c>
      <c r="H11" s="7849" t="n">
        <v>46107.0</v>
      </c>
      <c r="J11" s="7850" t="s">
        <v>974</v>
      </c>
    </row>
    <row r="12">
      <c r="A12" s="7851" t="n">
        <v>46106.0</v>
      </c>
      <c r="B12" s="7852" t="s">
        <v>465</v>
      </c>
      <c r="C12" s="7853" t="s">
        <v>466</v>
      </c>
      <c r="D12" s="7854" t="n">
        <v>1.007825479711E12</v>
      </c>
      <c r="E12" s="7855" t="s">
        <v>433</v>
      </c>
      <c r="F12" s="7856" t="n">
        <v>170.0</v>
      </c>
      <c r="G12" s="7857" t="n">
        <v>-3454.44</v>
      </c>
      <c r="H12" s="7858" t="n">
        <v>46106.0</v>
      </c>
      <c r="I12" s="7859" t="s">
        <v>975</v>
      </c>
      <c r="J12" s="7860" t="s">
        <v>976</v>
      </c>
    </row>
    <row r="13">
      <c r="A13" s="7861" t="n">
        <v>46105.0</v>
      </c>
      <c r="B13" s="7862" t="s">
        <v>452</v>
      </c>
      <c r="D13" s="7863" t="n">
        <v>3.4685693E7</v>
      </c>
      <c r="E13" s="7864" t="n">
        <v>114.0</v>
      </c>
      <c r="F13" s="7865" t="s">
        <v>433</v>
      </c>
      <c r="G13" s="7866" t="n">
        <v>-3624.44</v>
      </c>
      <c r="H13" s="7867" t="n">
        <v>46105.0</v>
      </c>
    </row>
    <row r="14">
      <c r="A14" s="7868" t="n">
        <v>46100.0</v>
      </c>
      <c r="B14" s="7869" t="s">
        <v>452</v>
      </c>
      <c r="D14" s="7870" t="n">
        <v>3.4685693E7</v>
      </c>
      <c r="E14" s="7871" t="n">
        <v>49.9</v>
      </c>
      <c r="F14" s="7872" t="s">
        <v>433</v>
      </c>
      <c r="G14" s="7873" t="n">
        <v>-3510.44</v>
      </c>
      <c r="H14" s="7874" t="n">
        <v>46100.0</v>
      </c>
    </row>
    <row r="15">
      <c r="A15" s="7875" t="n">
        <v>46098.0</v>
      </c>
      <c r="B15" s="7876" t="s">
        <v>452</v>
      </c>
      <c r="D15" s="7877" t="n">
        <v>3.4685693E7</v>
      </c>
      <c r="E15" s="7878" t="n">
        <v>108.9</v>
      </c>
      <c r="F15" s="7879" t="s">
        <v>433</v>
      </c>
      <c r="G15" s="7880" t="n">
        <v>-3460.54</v>
      </c>
      <c r="H15" s="7881" t="n">
        <v>46098.0</v>
      </c>
    </row>
    <row r="16">
      <c r="A16" s="7882" t="n">
        <v>46098.0</v>
      </c>
      <c r="B16" s="7883" t="s">
        <v>672</v>
      </c>
      <c r="D16" s="7884" t="n">
        <v>32464.0</v>
      </c>
      <c r="E16" s="7885" t="n">
        <v>500.0</v>
      </c>
      <c r="F16" s="7886" t="s">
        <v>433</v>
      </c>
      <c r="G16" s="7887" t="n">
        <v>-3351.64</v>
      </c>
      <c r="H16" s="7888" t="n">
        <v>46098.0</v>
      </c>
    </row>
    <row r="17">
      <c r="A17" s="7889" t="n">
        <v>46098.0</v>
      </c>
      <c r="B17" s="7890" t="s">
        <v>5</v>
      </c>
      <c r="C17" s="7891" t="s">
        <v>490</v>
      </c>
      <c r="D17" s="7892" t="n">
        <v>1.3104088E7</v>
      </c>
      <c r="E17" s="7893" t="s">
        <v>433</v>
      </c>
      <c r="F17" s="7894" t="n">
        <v>115.0</v>
      </c>
      <c r="G17" s="7895" t="n">
        <v>-2851.64</v>
      </c>
      <c r="H17" s="7896" t="n">
        <v>46098.0</v>
      </c>
      <c r="J17" s="7897" t="s">
        <v>974</v>
      </c>
    </row>
    <row r="18">
      <c r="A18" s="7898" t="n">
        <v>46098.0</v>
      </c>
      <c r="B18" s="7899" t="s">
        <v>673</v>
      </c>
      <c r="C18" s="7900" t="s">
        <v>674</v>
      </c>
      <c r="D18" s="7901" t="n">
        <v>0.0</v>
      </c>
      <c r="E18" s="7902" t="s">
        <v>433</v>
      </c>
      <c r="F18" s="7903" t="n">
        <v>500.0</v>
      </c>
      <c r="G18" s="7904" t="n">
        <v>-2966.64</v>
      </c>
      <c r="H18" s="7905" t="n">
        <v>46098.0</v>
      </c>
      <c r="I18" s="7906" t="s">
        <v>192</v>
      </c>
      <c r="J18" s="7907" t="s">
        <v>977</v>
      </c>
    </row>
    <row r="19">
      <c r="A19" s="7908" t="n">
        <v>46097.0</v>
      </c>
      <c r="B19" s="7909" t="s">
        <v>453</v>
      </c>
      <c r="D19" s="7910" t="n">
        <v>4963.0</v>
      </c>
      <c r="E19" s="7911" t="n">
        <v>100.0</v>
      </c>
      <c r="F19" s="7912" t="s">
        <v>433</v>
      </c>
      <c r="G19" s="7913" t="n">
        <v>-3466.64</v>
      </c>
      <c r="H19" s="7914" t="n">
        <v>46097.0</v>
      </c>
    </row>
    <row r="20">
      <c r="A20" s="7915" t="n">
        <v>46097.0</v>
      </c>
      <c r="B20" s="7916" t="s">
        <v>465</v>
      </c>
      <c r="C20" s="7917" t="s">
        <v>466</v>
      </c>
      <c r="D20" s="7918" t="n">
        <v>1.078223556229E12</v>
      </c>
      <c r="E20" s="7919" t="s">
        <v>433</v>
      </c>
      <c r="F20" s="7920" t="n">
        <v>400.0</v>
      </c>
      <c r="G20" s="7921" t="n">
        <v>-3366.64</v>
      </c>
      <c r="H20" s="7922" t="n">
        <v>46097.0</v>
      </c>
      <c r="I20" s="7923" t="s">
        <v>975</v>
      </c>
      <c r="J20" s="7924" t="s">
        <v>976</v>
      </c>
    </row>
    <row r="21">
      <c r="A21" s="7925" t="n">
        <v>46096.0</v>
      </c>
      <c r="B21" s="7926" t="s">
        <v>506</v>
      </c>
      <c r="D21" s="7927" t="n">
        <v>3500001.0</v>
      </c>
      <c r="E21" s="7928" t="n">
        <v>50.0</v>
      </c>
      <c r="F21" s="7929" t="s">
        <v>433</v>
      </c>
      <c r="G21" s="7930" t="n">
        <v>-3766.64</v>
      </c>
      <c r="H21" s="7931" t="n">
        <v>46096.0</v>
      </c>
    </row>
    <row r="22">
      <c r="A22" s="7932" t="n">
        <v>46092.0</v>
      </c>
      <c r="B22" s="7933" t="s">
        <v>452</v>
      </c>
      <c r="D22" s="7934" t="n">
        <v>3.4685693E7</v>
      </c>
      <c r="E22" s="7935" t="n">
        <v>50.0</v>
      </c>
      <c r="F22" s="7936" t="s">
        <v>433</v>
      </c>
      <c r="G22" s="7937" t="n">
        <v>-3716.64</v>
      </c>
      <c r="H22" s="7938" t="n">
        <v>46092.0</v>
      </c>
    </row>
    <row r="23">
      <c r="A23" s="7939" t="n">
        <v>46092.0</v>
      </c>
      <c r="B23" s="7940" t="s">
        <v>664</v>
      </c>
      <c r="C23" s="7941" t="s">
        <v>492</v>
      </c>
      <c r="D23" s="7942" t="n">
        <v>9.12544050322E11</v>
      </c>
      <c r="E23" s="7943" t="s">
        <v>433</v>
      </c>
      <c r="F23" s="7944" t="n">
        <v>700.0</v>
      </c>
      <c r="G23" s="7945" t="n">
        <v>-3666.64</v>
      </c>
      <c r="H23" s="7946" t="n">
        <v>46091.0</v>
      </c>
      <c r="I23" s="7947" t="s">
        <v>978</v>
      </c>
      <c r="J23" s="7948" t="s">
        <v>979</v>
      </c>
    </row>
    <row r="24">
      <c r="A24" s="7949" t="n">
        <v>46091.0</v>
      </c>
      <c r="B24" s="7950" t="s">
        <v>489</v>
      </c>
      <c r="C24" s="7951" t="s">
        <v>490</v>
      </c>
      <c r="D24" s="7952" t="n">
        <v>3.0954655E7</v>
      </c>
      <c r="E24" s="7953" t="n">
        <v>416.0</v>
      </c>
      <c r="F24" s="7954" t="s">
        <v>433</v>
      </c>
      <c r="G24" s="7955" t="n">
        <v>-4366.64</v>
      </c>
      <c r="H24" s="7956" t="n">
        <v>46091.0</v>
      </c>
      <c r="J24" s="7957" t="s">
        <v>974</v>
      </c>
    </row>
    <row r="25">
      <c r="A25" s="7958" t="n">
        <v>46091.0</v>
      </c>
      <c r="B25" s="7959" t="s">
        <v>452</v>
      </c>
      <c r="D25" s="7960" t="n">
        <v>3.4685693E7</v>
      </c>
      <c r="E25" s="7961" t="n">
        <v>69.2</v>
      </c>
      <c r="F25" s="7962" t="s">
        <v>433</v>
      </c>
      <c r="G25" s="7963" t="n">
        <v>-3950.64</v>
      </c>
      <c r="H25" s="7964" t="n">
        <v>46091.0</v>
      </c>
    </row>
    <row r="26">
      <c r="A26" s="7965" t="n">
        <v>46090.0</v>
      </c>
      <c r="B26" s="7966" t="s">
        <v>465</v>
      </c>
      <c r="C26" s="7967" t="s">
        <v>466</v>
      </c>
      <c r="D26" s="7968" t="n">
        <v>1.078204842526E12</v>
      </c>
      <c r="E26" s="7969" t="s">
        <v>433</v>
      </c>
      <c r="F26" s="7970" t="n">
        <v>200.0</v>
      </c>
      <c r="G26" s="7971" t="n">
        <v>-3881.44</v>
      </c>
      <c r="H26" s="7972" t="n">
        <v>46090.0</v>
      </c>
      <c r="I26" s="7973" t="s">
        <v>975</v>
      </c>
      <c r="J26" s="7974" t="s">
        <v>976</v>
      </c>
    </row>
    <row r="27">
      <c r="A27" s="7975" t="n">
        <v>46090.0</v>
      </c>
      <c r="B27" s="7976" t="s">
        <v>465</v>
      </c>
      <c r="C27" s="7977" t="s">
        <v>466</v>
      </c>
      <c r="D27" s="7978" t="n">
        <v>1.07820464776E12</v>
      </c>
      <c r="E27" s="7979" t="s">
        <v>433</v>
      </c>
      <c r="F27" s="7980" t="n">
        <v>200.0</v>
      </c>
      <c r="G27" s="7981" t="n">
        <v>-4081.44</v>
      </c>
      <c r="H27" s="7982" t="n">
        <v>46090.0</v>
      </c>
      <c r="I27" s="7983" t="s">
        <v>975</v>
      </c>
      <c r="J27" s="7984" t="s">
        <v>976</v>
      </c>
    </row>
    <row r="28">
      <c r="A28" s="7985" t="n">
        <v>46086.0</v>
      </c>
      <c r="B28" s="7986" t="s">
        <v>590</v>
      </c>
      <c r="C28" s="7987" t="s">
        <v>654</v>
      </c>
      <c r="D28" s="7988" t="n">
        <v>9.901133E7</v>
      </c>
      <c r="E28" s="7989" t="s">
        <v>433</v>
      </c>
      <c r="F28" s="7990" t="n">
        <v>400.0</v>
      </c>
      <c r="G28" s="7991" t="n">
        <v>-4281.44</v>
      </c>
      <c r="H28" s="7992" t="n">
        <v>46086.0</v>
      </c>
      <c r="I28" s="7993" t="s">
        <v>980</v>
      </c>
      <c r="J28" s="7994" t="s">
        <v>981</v>
      </c>
    </row>
    <row r="29">
      <c r="A29" s="7995" t="n">
        <v>46086.0</v>
      </c>
      <c r="B29" s="7996" t="s">
        <v>547</v>
      </c>
      <c r="C29" s="7997" t="s">
        <v>548</v>
      </c>
      <c r="D29" s="7998" t="n">
        <v>9.901033E7</v>
      </c>
      <c r="E29" s="7999" t="s">
        <v>433</v>
      </c>
      <c r="F29" s="8000" t="n">
        <v>300.0</v>
      </c>
      <c r="G29" s="8001" t="n">
        <v>-4681.44</v>
      </c>
      <c r="H29" s="8002" t="n">
        <v>46086.0</v>
      </c>
      <c r="I29" s="8003" t="s">
        <v>982</v>
      </c>
      <c r="J29" s="8004" t="s">
        <v>983</v>
      </c>
    </row>
    <row r="30">
      <c r="A30" s="8005" t="n">
        <v>46085.0</v>
      </c>
      <c r="B30" s="8006" t="s">
        <v>452</v>
      </c>
      <c r="D30" s="8007" t="n">
        <v>3.4685693E7</v>
      </c>
      <c r="E30" s="8008" t="n">
        <v>115.8</v>
      </c>
      <c r="F30" s="8009" t="s">
        <v>433</v>
      </c>
      <c r="G30" s="8010" t="n">
        <v>-4981.44</v>
      </c>
      <c r="H30" s="8011" t="n">
        <v>46085.0</v>
      </c>
    </row>
    <row r="31">
      <c r="A31" s="8012" t="n">
        <v>46083.0</v>
      </c>
      <c r="B31" s="8013" t="s">
        <v>444</v>
      </c>
      <c r="D31" s="8014" t="n">
        <v>6.15563159E8</v>
      </c>
      <c r="E31" s="8015" t="n">
        <v>105.19</v>
      </c>
      <c r="F31" s="8016" t="s">
        <v>433</v>
      </c>
      <c r="G31" s="8017" t="n">
        <v>-4865.64</v>
      </c>
      <c r="H31" s="8018" t="n">
        <v>46083.0</v>
      </c>
    </row>
    <row r="32">
      <c r="A32" s="8019" t="n">
        <v>46083.0</v>
      </c>
      <c r="B32" s="8020" t="s">
        <v>446</v>
      </c>
      <c r="D32" s="8021" t="n">
        <v>6.15563159E8</v>
      </c>
      <c r="E32" s="8022" t="n">
        <v>334.96</v>
      </c>
      <c r="F32" s="8023" t="s">
        <v>433</v>
      </c>
      <c r="G32" s="8024" t="n">
        <v>-4760.45</v>
      </c>
      <c r="H32" s="8025" t="n">
        <v>46083.0</v>
      </c>
    </row>
    <row r="33">
      <c r="A33" s="8026" t="n">
        <v>46083.0</v>
      </c>
      <c r="B33" s="8027" t="s">
        <v>452</v>
      </c>
      <c r="D33" s="8028" t="n">
        <v>3.4685693E7</v>
      </c>
      <c r="E33" s="8029" t="n">
        <v>10633.51</v>
      </c>
      <c r="F33" s="8030" t="s">
        <v>433</v>
      </c>
      <c r="G33" s="8031" t="n">
        <v>-4425.49</v>
      </c>
      <c r="H33" s="8032" t="n">
        <v>46083.0</v>
      </c>
    </row>
    <row r="34">
      <c r="A34" s="8033" t="n">
        <v>46082.0</v>
      </c>
      <c r="B34" s="8034" t="s">
        <v>444</v>
      </c>
      <c r="D34" s="8035" t="n">
        <v>6.15563159E8</v>
      </c>
      <c r="E34" s="8036" t="n">
        <v>241.5</v>
      </c>
      <c r="F34" s="8037" t="s">
        <v>433</v>
      </c>
      <c r="G34" s="8038" t="n">
        <v>6208.02</v>
      </c>
      <c r="H34" s="8039" t="n">
        <v>46082.0</v>
      </c>
    </row>
    <row r="35">
      <c r="A35" s="8040" t="n">
        <v>46082.0</v>
      </c>
      <c r="B35" s="8041" t="s">
        <v>446</v>
      </c>
      <c r="D35" s="8042" t="n">
        <v>6.15563159E8</v>
      </c>
      <c r="E35" s="8043" t="n">
        <v>367.81</v>
      </c>
      <c r="F35" s="8044" t="s">
        <v>433</v>
      </c>
      <c r="G35" s="8045" t="n">
        <v>6449.52</v>
      </c>
      <c r="H35" s="8046" t="n">
        <v>46082.0</v>
      </c>
    </row>
    <row r="36">
      <c r="A36" s="8047" t="n">
        <v>46082.0</v>
      </c>
      <c r="B36" s="8048" t="s">
        <v>444</v>
      </c>
      <c r="D36" s="8049" t="n">
        <v>6.15563159E8</v>
      </c>
      <c r="E36" s="8050" t="n">
        <v>85.6</v>
      </c>
      <c r="F36" s="8051" t="s">
        <v>433</v>
      </c>
      <c r="G36" s="8052" t="n">
        <v>6817.33</v>
      </c>
      <c r="H36" s="8053" t="n">
        <v>46082.0</v>
      </c>
    </row>
    <row r="37">
      <c r="A37" s="8054" t="n">
        <v>46082.0</v>
      </c>
      <c r="B37" s="8055" t="s">
        <v>446</v>
      </c>
      <c r="D37" s="8056" t="n">
        <v>6.15563159E8</v>
      </c>
      <c r="E37" s="8057" t="n">
        <v>447.14</v>
      </c>
      <c r="F37" s="8058" t="s">
        <v>433</v>
      </c>
      <c r="G37" s="8059" t="n">
        <v>6902.93</v>
      </c>
      <c r="H37" s="8060" t="n">
        <v>46082.0</v>
      </c>
    </row>
    <row r="38">
      <c r="A38" s="8061" t="n">
        <v>46082.0</v>
      </c>
      <c r="B38" s="8062" t="s">
        <v>544</v>
      </c>
      <c r="C38" s="8063" t="s">
        <v>545</v>
      </c>
      <c r="D38" s="8064" t="n">
        <v>750588.0</v>
      </c>
      <c r="E38" s="8065" t="n">
        <v>144.24</v>
      </c>
      <c r="F38" s="8066" t="s">
        <v>433</v>
      </c>
      <c r="G38" s="8067" t="n">
        <v>7350.07</v>
      </c>
      <c r="H38" s="8068" t="n">
        <v>46082.0</v>
      </c>
      <c r="J38" s="8069" t="s">
        <v>970</v>
      </c>
    </row>
    <row r="39">
      <c r="A39" s="8070" t="n">
        <v>46082.0</v>
      </c>
      <c r="B39" s="8071" t="s">
        <v>546</v>
      </c>
      <c r="C39" s="8072" t="s">
        <v>490</v>
      </c>
      <c r="D39" s="8073" t="n">
        <v>6.0697083E7</v>
      </c>
      <c r="E39" s="8074" t="s">
        <v>433</v>
      </c>
      <c r="F39" s="8075" t="n">
        <v>3820.0</v>
      </c>
      <c r="G39" s="8076" t="n">
        <v>7494.31</v>
      </c>
      <c r="H39" s="8077" t="n">
        <v>46082.0</v>
      </c>
      <c r="J39" s="8078" t="s">
        <v>974</v>
      </c>
    </row>
    <row r="40">
      <c r="A40" s="8079" t="n">
        <v>46082.0</v>
      </c>
      <c r="B40" s="8080" t="s">
        <v>546</v>
      </c>
      <c r="C40" s="8081" t="s">
        <v>490</v>
      </c>
      <c r="D40" s="8082" t="n">
        <v>6.0697083E7</v>
      </c>
      <c r="E40" s="8083" t="s">
        <v>433</v>
      </c>
      <c r="F40" s="8084" t="n">
        <v>5802.0</v>
      </c>
      <c r="G40" s="8085" t="n">
        <v>3674.31</v>
      </c>
      <c r="H40" s="8086" t="n">
        <v>46082.0</v>
      </c>
      <c r="J40" s="8087" t="s">
        <v>974</v>
      </c>
    </row>
    <row r="41">
      <c r="A41" s="8088" t="n">
        <v>46082.0</v>
      </c>
      <c r="B41" s="8089" t="s">
        <v>549</v>
      </c>
      <c r="C41" s="8090" t="s">
        <v>550</v>
      </c>
      <c r="D41" s="8091" t="n">
        <v>9.900433E7</v>
      </c>
      <c r="E41" s="8092" t="s">
        <v>433</v>
      </c>
      <c r="F41" s="8093" t="n">
        <v>300.0</v>
      </c>
      <c r="G41" s="8094" t="n">
        <v>-2127.69</v>
      </c>
      <c r="H41" s="8095" t="n">
        <v>46082.0</v>
      </c>
      <c r="I41" s="8096" t="s">
        <v>972</v>
      </c>
      <c r="J41" s="8097" t="s">
        <v>973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J39"/>
  <sheetViews>
    <sheetView workbookViewId="0" rightToLeft="true"/>
  </sheetViews>
  <sheetFormatPr defaultRowHeight="15.0"/>
  <sheetData>
    <row r="1">
      <c r="A1" s="8098" t="s">
        <v>959</v>
      </c>
    </row>
    <row r="2">
      <c r="A2" s="8099" t="s">
        <v>960</v>
      </c>
    </row>
    <row r="3">
      <c r="A3" s="8100" t="s">
        <v>8</v>
      </c>
      <c r="B3" s="8101" t="s">
        <v>961</v>
      </c>
      <c r="C3" s="8102" t="s">
        <v>962</v>
      </c>
      <c r="D3" s="8103" t="s">
        <v>963</v>
      </c>
      <c r="E3" s="8104" t="s">
        <v>964</v>
      </c>
      <c r="F3" s="8105" t="s">
        <v>965</v>
      </c>
      <c r="G3" s="8106" t="s">
        <v>966</v>
      </c>
      <c r="H3" s="8107" t="s">
        <v>967</v>
      </c>
      <c r="I3" s="8108" t="s">
        <v>968</v>
      </c>
      <c r="J3" s="8109" t="s">
        <v>969</v>
      </c>
    </row>
    <row r="4">
      <c r="A4" s="8110" t="n">
        <v>46052.0</v>
      </c>
      <c r="B4" s="8111" t="s">
        <v>465</v>
      </c>
      <c r="C4" s="8112" t="s">
        <v>466</v>
      </c>
      <c r="D4" s="8113" t="n">
        <v>1.078089224917E12</v>
      </c>
      <c r="E4" s="8114" t="s">
        <v>433</v>
      </c>
      <c r="F4" s="8115" t="n">
        <v>180.0</v>
      </c>
      <c r="G4" s="8116" t="n">
        <v>10022.94</v>
      </c>
      <c r="H4" s="8117" t="n">
        <v>46052.0</v>
      </c>
      <c r="I4" s="8118" t="s">
        <v>975</v>
      </c>
      <c r="J4" s="8119" t="s">
        <v>976</v>
      </c>
    </row>
    <row r="5">
      <c r="A5" s="8120" t="n">
        <v>46052.0</v>
      </c>
      <c r="B5" s="8121" t="s">
        <v>465</v>
      </c>
      <c r="C5" s="8122" t="s">
        <v>466</v>
      </c>
      <c r="D5" s="8123" t="n">
        <v>1.00780912456E12</v>
      </c>
      <c r="E5" s="8124" t="s">
        <v>433</v>
      </c>
      <c r="F5" s="8125" t="n">
        <v>1000.0</v>
      </c>
      <c r="G5" s="8126" t="n">
        <v>9842.94</v>
      </c>
      <c r="H5" s="8127" t="n">
        <v>46052.0</v>
      </c>
      <c r="I5" s="8128" t="s">
        <v>975</v>
      </c>
      <c r="J5" s="8129" t="s">
        <v>976</v>
      </c>
    </row>
    <row r="6">
      <c r="A6" s="8130" t="n">
        <v>46050.0</v>
      </c>
      <c r="B6" s="8131" t="s">
        <v>444</v>
      </c>
      <c r="D6" s="8132" t="n">
        <v>6.15563159E8</v>
      </c>
      <c r="E6" s="8133" t="n">
        <v>246.96</v>
      </c>
      <c r="F6" s="8134" t="s">
        <v>433</v>
      </c>
      <c r="G6" s="8135" t="n">
        <v>8842.94</v>
      </c>
      <c r="H6" s="8136" t="n">
        <v>46050.0</v>
      </c>
    </row>
    <row r="7">
      <c r="A7" s="8137" t="n">
        <v>46050.0</v>
      </c>
      <c r="B7" s="8138" t="s">
        <v>446</v>
      </c>
      <c r="D7" s="8139" t="n">
        <v>6.15563159E8</v>
      </c>
      <c r="E7" s="8140" t="n">
        <v>365.83</v>
      </c>
      <c r="F7" s="8141" t="s">
        <v>433</v>
      </c>
      <c r="G7" s="8142" t="n">
        <v>9089.9</v>
      </c>
      <c r="H7" s="8143" t="n">
        <v>46050.0</v>
      </c>
    </row>
    <row r="8">
      <c r="A8" s="8144" t="n">
        <v>46050.0</v>
      </c>
      <c r="B8" s="8145" t="s">
        <v>544</v>
      </c>
      <c r="C8" s="8146" t="s">
        <v>545</v>
      </c>
      <c r="D8" s="8147" t="n">
        <v>750588.0</v>
      </c>
      <c r="E8" s="8148" t="n">
        <v>160.76</v>
      </c>
      <c r="F8" s="8149" t="s">
        <v>433</v>
      </c>
      <c r="G8" s="8150" t="n">
        <v>9455.73</v>
      </c>
      <c r="H8" s="8151" t="n">
        <v>46050.0</v>
      </c>
      <c r="J8" s="8152" t="s">
        <v>970</v>
      </c>
    </row>
    <row r="9">
      <c r="A9" s="8153" t="n">
        <v>46050.0</v>
      </c>
      <c r="B9" s="8154" t="s">
        <v>546</v>
      </c>
      <c r="C9" s="8155" t="s">
        <v>490</v>
      </c>
      <c r="D9" s="8156" t="n">
        <v>6.0697083E7</v>
      </c>
      <c r="E9" s="8157" t="s">
        <v>433</v>
      </c>
      <c r="F9" s="8158" t="n">
        <v>3820.0</v>
      </c>
      <c r="G9" s="8159" t="n">
        <v>9616.49</v>
      </c>
      <c r="H9" s="8160" t="n">
        <v>46050.0</v>
      </c>
      <c r="J9" s="8161" t="s">
        <v>974</v>
      </c>
    </row>
    <row r="10">
      <c r="A10" s="8162" t="n">
        <v>46050.0</v>
      </c>
      <c r="B10" s="8163" t="s">
        <v>546</v>
      </c>
      <c r="C10" s="8164" t="s">
        <v>490</v>
      </c>
      <c r="D10" s="8165" t="n">
        <v>6.0697083E7</v>
      </c>
      <c r="E10" s="8166" t="s">
        <v>433</v>
      </c>
      <c r="F10" s="8167" t="n">
        <v>5802.0</v>
      </c>
      <c r="G10" s="8168" t="n">
        <v>5796.49</v>
      </c>
      <c r="H10" s="8169" t="n">
        <v>46050.0</v>
      </c>
      <c r="J10" s="8170" t="s">
        <v>974</v>
      </c>
    </row>
    <row r="11">
      <c r="A11" s="8171" t="n">
        <v>46050.0</v>
      </c>
      <c r="B11" s="8172" t="s">
        <v>465</v>
      </c>
      <c r="C11" s="8173" t="s">
        <v>466</v>
      </c>
      <c r="D11" s="8174" t="n">
        <v>1.078083149302E12</v>
      </c>
      <c r="E11" s="8175" t="s">
        <v>433</v>
      </c>
      <c r="F11" s="8176" t="n">
        <v>350.0</v>
      </c>
      <c r="G11" s="8177" t="n">
        <v>-5.51</v>
      </c>
      <c r="H11" s="8178" t="n">
        <v>46050.0</v>
      </c>
      <c r="I11" s="8179" t="s">
        <v>975</v>
      </c>
      <c r="J11" s="8180" t="s">
        <v>976</v>
      </c>
    </row>
    <row r="12">
      <c r="A12" s="8181" t="n">
        <v>46050.0</v>
      </c>
      <c r="B12" s="8182" t="s">
        <v>547</v>
      </c>
      <c r="C12" s="8183" t="s">
        <v>548</v>
      </c>
      <c r="D12" s="8184" t="n">
        <v>9.901033E7</v>
      </c>
      <c r="E12" s="8185" t="s">
        <v>433</v>
      </c>
      <c r="F12" s="8186" t="n">
        <v>300.0</v>
      </c>
      <c r="G12" s="8187" t="n">
        <v>-355.51</v>
      </c>
      <c r="H12" s="8188" t="n">
        <v>46050.0</v>
      </c>
      <c r="I12" s="8189" t="s">
        <v>982</v>
      </c>
      <c r="J12" s="8190" t="s">
        <v>983</v>
      </c>
    </row>
    <row r="13">
      <c r="A13" s="8191" t="n">
        <v>46050.0</v>
      </c>
      <c r="B13" s="8192" t="s">
        <v>549</v>
      </c>
      <c r="C13" s="8193" t="s">
        <v>550</v>
      </c>
      <c r="D13" s="8194" t="n">
        <v>9.900433E7</v>
      </c>
      <c r="E13" s="8195" t="s">
        <v>433</v>
      </c>
      <c r="F13" s="8196" t="n">
        <v>300.0</v>
      </c>
      <c r="G13" s="8197" t="n">
        <v>-655.51</v>
      </c>
      <c r="H13" s="8198" t="n">
        <v>46050.0</v>
      </c>
      <c r="I13" s="8199" t="s">
        <v>972</v>
      </c>
      <c r="J13" s="8200" t="s">
        <v>973</v>
      </c>
    </row>
    <row r="14">
      <c r="A14" s="8201" t="n">
        <v>46047.0</v>
      </c>
      <c r="B14" s="8202" t="s">
        <v>465</v>
      </c>
      <c r="C14" s="8203" t="s">
        <v>466</v>
      </c>
      <c r="D14" s="8204" t="n">
        <v>1.078072343077E12</v>
      </c>
      <c r="E14" s="8205" t="s">
        <v>433</v>
      </c>
      <c r="F14" s="8206" t="n">
        <v>40.0</v>
      </c>
      <c r="G14" s="8207" t="n">
        <v>-955.51</v>
      </c>
      <c r="H14" s="8208" t="n">
        <v>46047.0</v>
      </c>
      <c r="I14" s="8209" t="s">
        <v>975</v>
      </c>
      <c r="J14" s="8210" t="s">
        <v>976</v>
      </c>
    </row>
    <row r="15">
      <c r="A15" s="8211" t="n">
        <v>46044.0</v>
      </c>
      <c r="B15" s="8212" t="s">
        <v>452</v>
      </c>
      <c r="D15" s="8213" t="n">
        <v>3.4685693E7</v>
      </c>
      <c r="E15" s="8214" t="n">
        <v>156.95</v>
      </c>
      <c r="F15" s="8215" t="s">
        <v>433</v>
      </c>
      <c r="G15" s="8216" t="n">
        <v>-995.51</v>
      </c>
      <c r="H15" s="8217" t="n">
        <v>46044.0</v>
      </c>
    </row>
    <row r="16">
      <c r="A16" s="8218" t="n">
        <v>46043.0</v>
      </c>
      <c r="B16" s="8219" t="s">
        <v>452</v>
      </c>
      <c r="D16" s="8220" t="n">
        <v>3.4685693E7</v>
      </c>
      <c r="E16" s="8221" t="n">
        <v>3.9</v>
      </c>
      <c r="F16" s="8222" t="s">
        <v>433</v>
      </c>
      <c r="G16" s="8223" t="n">
        <v>-838.56</v>
      </c>
      <c r="H16" s="8224" t="n">
        <v>46043.0</v>
      </c>
    </row>
    <row r="17">
      <c r="A17" s="8225" t="n">
        <v>46042.0</v>
      </c>
      <c r="B17" s="8226" t="s">
        <v>452</v>
      </c>
      <c r="D17" s="8227" t="n">
        <v>3.4685693E7</v>
      </c>
      <c r="E17" s="8228" t="n">
        <v>49.9</v>
      </c>
      <c r="F17" s="8229" t="s">
        <v>433</v>
      </c>
      <c r="G17" s="8230" t="n">
        <v>-834.66</v>
      </c>
      <c r="H17" s="8231" t="n">
        <v>46042.0</v>
      </c>
    </row>
    <row r="18">
      <c r="A18" s="8232" t="n">
        <v>46042.0</v>
      </c>
      <c r="B18" s="8233" t="s">
        <v>5</v>
      </c>
      <c r="C18" s="8234" t="s">
        <v>490</v>
      </c>
      <c r="D18" s="8235" t="n">
        <v>1.3104088E7</v>
      </c>
      <c r="E18" s="8236" t="s">
        <v>433</v>
      </c>
      <c r="F18" s="8237" t="n">
        <v>115.0</v>
      </c>
      <c r="G18" s="8238" t="n">
        <v>-784.76</v>
      </c>
      <c r="H18" s="8239" t="n">
        <v>46042.0</v>
      </c>
      <c r="J18" s="8240" t="s">
        <v>974</v>
      </c>
    </row>
    <row r="19">
      <c r="A19" s="8241" t="n">
        <v>46038.0</v>
      </c>
      <c r="B19" s="8242" t="s">
        <v>453</v>
      </c>
      <c r="D19" s="8243" t="n">
        <v>5197.0</v>
      </c>
      <c r="E19" s="8244" t="n">
        <v>200.0</v>
      </c>
      <c r="F19" s="8245" t="s">
        <v>433</v>
      </c>
      <c r="G19" s="8246" t="n">
        <v>-899.76</v>
      </c>
      <c r="H19" s="8247" t="n">
        <v>46038.0</v>
      </c>
    </row>
    <row r="20">
      <c r="A20" s="8248" t="n">
        <v>46037.0</v>
      </c>
      <c r="B20" s="8249" t="s">
        <v>452</v>
      </c>
      <c r="D20" s="8250" t="n">
        <v>3.4685693E7</v>
      </c>
      <c r="E20" s="8251" t="n">
        <v>207.9</v>
      </c>
      <c r="F20" s="8252" t="s">
        <v>433</v>
      </c>
      <c r="G20" s="8253" t="n">
        <v>-699.76</v>
      </c>
      <c r="H20" s="8254" t="n">
        <v>46037.0</v>
      </c>
    </row>
    <row r="21">
      <c r="A21" s="8255" t="n">
        <v>46037.0</v>
      </c>
      <c r="B21" s="8256" t="s">
        <v>506</v>
      </c>
      <c r="D21" s="8257" t="n">
        <v>3500001.0</v>
      </c>
      <c r="E21" s="8258" t="n">
        <v>50.0</v>
      </c>
      <c r="F21" s="8259" t="s">
        <v>433</v>
      </c>
      <c r="G21" s="8260" t="n">
        <v>-491.86</v>
      </c>
      <c r="H21" s="8261" t="n">
        <v>46037.0</v>
      </c>
    </row>
    <row r="22">
      <c r="A22" s="8262" t="n">
        <v>46036.0</v>
      </c>
      <c r="B22" s="8263" t="s">
        <v>452</v>
      </c>
      <c r="D22" s="8264" t="n">
        <v>3.4685693E7</v>
      </c>
      <c r="E22" s="8265" t="n">
        <v>50.0</v>
      </c>
      <c r="F22" s="8266" t="s">
        <v>433</v>
      </c>
      <c r="G22" s="8267" t="n">
        <v>-441.86</v>
      </c>
      <c r="H22" s="8268" t="n">
        <v>46036.0</v>
      </c>
    </row>
    <row r="23">
      <c r="A23" s="8269" t="n">
        <v>46034.0</v>
      </c>
      <c r="B23" s="8270" t="s">
        <v>497</v>
      </c>
      <c r="C23" s="8271" t="s">
        <v>490</v>
      </c>
      <c r="D23" s="8272" t="n">
        <v>6.305108E7</v>
      </c>
      <c r="E23" s="8273" t="s">
        <v>433</v>
      </c>
      <c r="F23" s="8274" t="n">
        <v>1749.0</v>
      </c>
      <c r="G23" s="8275" t="n">
        <v>-391.86</v>
      </c>
      <c r="H23" s="8276" t="n">
        <v>46034.0</v>
      </c>
      <c r="J23" s="8277" t="s">
        <v>974</v>
      </c>
    </row>
    <row r="24">
      <c r="A24" s="8278" t="n">
        <v>46034.0</v>
      </c>
      <c r="B24" s="8279" t="s">
        <v>497</v>
      </c>
      <c r="C24" s="8280" t="s">
        <v>490</v>
      </c>
      <c r="D24" s="8281" t="n">
        <v>6.305108E7</v>
      </c>
      <c r="E24" s="8282" t="s">
        <v>433</v>
      </c>
      <c r="F24" s="8283" t="n">
        <v>120.0</v>
      </c>
      <c r="G24" s="8284" t="n">
        <v>-2140.86</v>
      </c>
      <c r="H24" s="8285" t="n">
        <v>46034.0</v>
      </c>
      <c r="J24" s="8286" t="s">
        <v>974</v>
      </c>
    </row>
    <row r="25">
      <c r="A25" s="8287" t="n">
        <v>46033.0</v>
      </c>
      <c r="B25" s="8288" t="s">
        <v>489</v>
      </c>
      <c r="C25" s="8289" t="s">
        <v>490</v>
      </c>
      <c r="D25" s="8290" t="n">
        <v>3.0954655E7</v>
      </c>
      <c r="E25" s="8291" t="n">
        <v>416.0</v>
      </c>
      <c r="F25" s="8292" t="s">
        <v>433</v>
      </c>
      <c r="G25" s="8293" t="n">
        <v>-2260.86</v>
      </c>
      <c r="H25" s="8294" t="n">
        <v>46033.0</v>
      </c>
      <c r="J25" s="8295" t="s">
        <v>974</v>
      </c>
    </row>
    <row r="26">
      <c r="A26" s="8296" t="n">
        <v>46033.0</v>
      </c>
      <c r="B26" s="8297" t="s">
        <v>452</v>
      </c>
      <c r="D26" s="8298" t="n">
        <v>3.4685693E7</v>
      </c>
      <c r="E26" s="8299" t="n">
        <v>141.33</v>
      </c>
      <c r="F26" s="8300" t="s">
        <v>433</v>
      </c>
      <c r="G26" s="8301" t="n">
        <v>-1844.86</v>
      </c>
      <c r="H26" s="8302" t="n">
        <v>46033.0</v>
      </c>
    </row>
    <row r="27">
      <c r="A27" s="8303" t="n">
        <v>46033.0</v>
      </c>
      <c r="B27" s="8304" t="s">
        <v>491</v>
      </c>
      <c r="C27" s="8305" t="s">
        <v>492</v>
      </c>
      <c r="D27" s="8306" t="n">
        <v>9.12544050322E11</v>
      </c>
      <c r="E27" s="8307" t="s">
        <v>433</v>
      </c>
      <c r="F27" s="8308" t="n">
        <v>700.0</v>
      </c>
      <c r="G27" s="8309" t="n">
        <v>-1703.53</v>
      </c>
      <c r="H27" s="8310" t="n">
        <v>46031.0</v>
      </c>
      <c r="I27" s="8311" t="s">
        <v>978</v>
      </c>
      <c r="J27" s="8312" t="s">
        <v>979</v>
      </c>
    </row>
    <row r="28">
      <c r="A28" s="8313" t="n">
        <v>46031.0</v>
      </c>
      <c r="B28" s="8314" t="s">
        <v>452</v>
      </c>
      <c r="D28" s="8315" t="n">
        <v>3.4685693E7</v>
      </c>
      <c r="E28" s="8316" t="n">
        <v>49.9</v>
      </c>
      <c r="F28" s="8317" t="s">
        <v>433</v>
      </c>
      <c r="G28" s="8318" t="n">
        <v>-2403.53</v>
      </c>
      <c r="H28" s="8319" t="n">
        <v>46031.0</v>
      </c>
    </row>
    <row r="29">
      <c r="A29" s="8320" t="n">
        <v>46028.0</v>
      </c>
      <c r="B29" s="8321" t="s">
        <v>452</v>
      </c>
      <c r="D29" s="8322" t="n">
        <v>3.4685693E7</v>
      </c>
      <c r="E29" s="8323" t="n">
        <v>32.9</v>
      </c>
      <c r="F29" s="8324" t="s">
        <v>433</v>
      </c>
      <c r="G29" s="8325" t="n">
        <v>-2353.63</v>
      </c>
      <c r="H29" s="8326" t="n">
        <v>46028.0</v>
      </c>
    </row>
    <row r="30">
      <c r="A30" s="8327" t="n">
        <v>46027.0</v>
      </c>
      <c r="B30" s="8328" t="s">
        <v>465</v>
      </c>
      <c r="C30" s="8329" t="s">
        <v>466</v>
      </c>
      <c r="D30" s="8330" t="n">
        <v>1.078016346415E12</v>
      </c>
      <c r="E30" s="8331" t="s">
        <v>433</v>
      </c>
      <c r="F30" s="8332" t="n">
        <v>550.0</v>
      </c>
      <c r="G30" s="8333" t="n">
        <v>-2320.73</v>
      </c>
      <c r="H30" s="8334" t="n">
        <v>46027.0</v>
      </c>
      <c r="I30" s="8335" t="s">
        <v>975</v>
      </c>
      <c r="J30" s="8336" t="s">
        <v>976</v>
      </c>
    </row>
    <row r="31">
      <c r="A31" s="8337" t="n">
        <v>46026.0</v>
      </c>
      <c r="B31" s="8338" t="s">
        <v>465</v>
      </c>
      <c r="C31" s="8339" t="s">
        <v>466</v>
      </c>
      <c r="D31" s="8340" t="n">
        <v>1.078010895583E12</v>
      </c>
      <c r="E31" s="8341" t="s">
        <v>433</v>
      </c>
      <c r="F31" s="8342" t="n">
        <v>73.0</v>
      </c>
      <c r="G31" s="8343" t="n">
        <v>-2870.73</v>
      </c>
      <c r="H31" s="8344" t="n">
        <v>46026.0</v>
      </c>
      <c r="I31" s="8345" t="s">
        <v>975</v>
      </c>
      <c r="J31" s="8346" t="s">
        <v>976</v>
      </c>
    </row>
    <row r="32">
      <c r="A32" s="8347" t="n">
        <v>46026.0</v>
      </c>
      <c r="B32" s="8348" t="s">
        <v>467</v>
      </c>
      <c r="C32" s="8349" t="s">
        <v>468</v>
      </c>
      <c r="D32" s="8350" t="n">
        <v>1225.0</v>
      </c>
      <c r="E32" s="8351" t="n">
        <v>54.71</v>
      </c>
      <c r="F32" s="8352" t="s">
        <v>433</v>
      </c>
      <c r="G32" s="8353" t="n">
        <v>-2943.73</v>
      </c>
      <c r="H32" s="8354" t="n">
        <v>46023.0</v>
      </c>
      <c r="J32" s="8355" t="s">
        <v>984</v>
      </c>
    </row>
    <row r="33">
      <c r="A33" s="8356" t="n">
        <v>46024.0</v>
      </c>
      <c r="B33" s="8357" t="s">
        <v>444</v>
      </c>
      <c r="D33" s="8358" t="n">
        <v>6.15563159E8</v>
      </c>
      <c r="E33" s="8359" t="n">
        <v>124.71</v>
      </c>
      <c r="F33" s="8360" t="s">
        <v>433</v>
      </c>
      <c r="G33" s="8361" t="n">
        <v>-2889.02</v>
      </c>
      <c r="H33" s="8362" t="n">
        <v>46024.0</v>
      </c>
    </row>
    <row r="34">
      <c r="A34" s="8363" t="n">
        <v>46024.0</v>
      </c>
      <c r="B34" s="8364" t="s">
        <v>446</v>
      </c>
      <c r="D34" s="8365" t="n">
        <v>6.15563159E8</v>
      </c>
      <c r="E34" s="8366" t="n">
        <v>330.81</v>
      </c>
      <c r="F34" s="8367" t="s">
        <v>433</v>
      </c>
      <c r="G34" s="8368" t="n">
        <v>-2764.31</v>
      </c>
      <c r="H34" s="8369" t="n">
        <v>46024.0</v>
      </c>
    </row>
    <row r="35">
      <c r="A35" s="8370" t="n">
        <v>46024.0</v>
      </c>
      <c r="B35" s="8371" t="s">
        <v>452</v>
      </c>
      <c r="D35" s="8372" t="n">
        <v>3.4685693E7</v>
      </c>
      <c r="E35" s="8373" t="n">
        <v>7628.75</v>
      </c>
      <c r="F35" s="8374" t="s">
        <v>433</v>
      </c>
      <c r="G35" s="8375" t="n">
        <v>-2433.5</v>
      </c>
      <c r="H35" s="8376" t="n">
        <v>46024.0</v>
      </c>
    </row>
    <row r="36">
      <c r="A36" s="8377" t="n">
        <v>46024.0</v>
      </c>
      <c r="B36" s="8378" t="s">
        <v>453</v>
      </c>
      <c r="D36" s="8379" t="n">
        <v>3363.0</v>
      </c>
      <c r="E36" s="8380" t="n">
        <v>200.0</v>
      </c>
      <c r="F36" s="8381" t="s">
        <v>433</v>
      </c>
      <c r="G36" s="8382" t="n">
        <v>5195.25</v>
      </c>
      <c r="H36" s="8383" t="n">
        <v>46024.0</v>
      </c>
    </row>
    <row r="37">
      <c r="A37" s="8384" t="n">
        <v>46024.0</v>
      </c>
      <c r="B37" s="8385" t="s">
        <v>454</v>
      </c>
      <c r="D37" s="8386" t="n">
        <v>6716.0</v>
      </c>
      <c r="E37" s="8387" t="n">
        <v>4551.98</v>
      </c>
      <c r="F37" s="8388" t="s">
        <v>433</v>
      </c>
      <c r="G37" s="8389" t="n">
        <v>5395.25</v>
      </c>
      <c r="H37" s="8390" t="n">
        <v>46024.0</v>
      </c>
    </row>
    <row r="38">
      <c r="A38" s="8391" t="n">
        <v>46023.0</v>
      </c>
      <c r="B38" s="8392" t="s">
        <v>444</v>
      </c>
      <c r="D38" s="8393" t="n">
        <v>6.15563159E8</v>
      </c>
      <c r="E38" s="8394" t="n">
        <v>103.44</v>
      </c>
      <c r="F38" s="8395" t="s">
        <v>433</v>
      </c>
      <c r="G38" s="8396" t="n">
        <v>9947.23</v>
      </c>
      <c r="H38" s="8397" t="n">
        <v>46023.0</v>
      </c>
    </row>
    <row r="39">
      <c r="A39" s="8398" t="n">
        <v>46023.0</v>
      </c>
      <c r="B39" s="8399" t="s">
        <v>446</v>
      </c>
      <c r="D39" s="8400" t="n">
        <v>6.15563159E8</v>
      </c>
      <c r="E39" s="8401" t="n">
        <v>442.26</v>
      </c>
      <c r="F39" s="8402" t="s">
        <v>433</v>
      </c>
      <c r="G39" s="8403" t="n">
        <v>10050.67</v>
      </c>
      <c r="H39" s="8404" t="n">
        <v>46023.0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P115"/>
  <sheetViews>
    <sheetView workbookViewId="0" rightToLeft="true"/>
  </sheetViews>
  <sheetFormatPr defaultRowHeight="15.0"/>
  <sheetData>
    <row r="1">
      <c r="A1" s="8405" t="s">
        <v>809</v>
      </c>
      <c r="C1" s="8406" t="s">
        <v>433</v>
      </c>
    </row>
    <row r="2">
      <c r="A2" s="8407" t="s">
        <v>810</v>
      </c>
      <c r="C2" s="8408" t="s">
        <v>433</v>
      </c>
    </row>
    <row r="3">
      <c r="A3" s="8409" t="s">
        <v>985</v>
      </c>
      <c r="C3" s="8410" t="s">
        <v>433</v>
      </c>
    </row>
    <row r="4">
      <c r="A4" s="8411" t="s">
        <v>812</v>
      </c>
      <c r="B4" s="8412" t="s">
        <v>813</v>
      </c>
      <c r="C4" s="8413" t="s">
        <v>814</v>
      </c>
      <c r="D4" s="8414" t="s">
        <v>815</v>
      </c>
      <c r="E4" s="8415" t="s">
        <v>816</v>
      </c>
      <c r="F4" s="8416" t="s">
        <v>817</v>
      </c>
      <c r="G4" s="8417" t="s">
        <v>818</v>
      </c>
      <c r="H4" s="8418" t="s">
        <v>819</v>
      </c>
      <c r="I4" s="8419" t="s">
        <v>820</v>
      </c>
      <c r="J4" s="8420" t="s">
        <v>821</v>
      </c>
      <c r="K4" s="8421" t="s">
        <v>10</v>
      </c>
      <c r="L4" s="8422" t="s">
        <v>822</v>
      </c>
      <c r="M4" s="8423" t="s">
        <v>823</v>
      </c>
      <c r="N4" s="8424" t="s">
        <v>824</v>
      </c>
      <c r="O4" s="8425" t="s">
        <v>825</v>
      </c>
      <c r="P4" s="8426" t="s">
        <v>826</v>
      </c>
    </row>
    <row r="5">
      <c r="A5" s="8427" t="s">
        <v>872</v>
      </c>
      <c r="B5" s="8428" t="s">
        <v>774</v>
      </c>
      <c r="C5" s="8429" t="s">
        <v>873</v>
      </c>
      <c r="D5" s="8430" t="s">
        <v>435</v>
      </c>
      <c r="E5" s="8431" t="s">
        <v>874</v>
      </c>
      <c r="F5" s="8432" t="n">
        <v>134.0</v>
      </c>
      <c r="G5" s="8433" t="s">
        <v>434</v>
      </c>
      <c r="H5" s="8434" t="n">
        <v>1343.0</v>
      </c>
      <c r="I5" s="8435" t="s">
        <v>434</v>
      </c>
      <c r="J5" s="8436" t="s">
        <v>897</v>
      </c>
      <c r="K5" s="8437" t="s">
        <v>780</v>
      </c>
      <c r="L5" s="8438" t="s">
        <v>433</v>
      </c>
      <c r="M5" s="8439" t="s">
        <v>433</v>
      </c>
      <c r="N5" s="8440" t="s">
        <v>433</v>
      </c>
      <c r="O5" s="8441" t="s">
        <v>833</v>
      </c>
      <c r="P5" s="8442" t="s">
        <v>433</v>
      </c>
    </row>
    <row r="6">
      <c r="A6" s="8443" t="s">
        <v>892</v>
      </c>
      <c r="B6" s="8444" t="s">
        <v>681</v>
      </c>
      <c r="C6" s="8445" t="s">
        <v>870</v>
      </c>
      <c r="D6" s="8446" t="s">
        <v>435</v>
      </c>
      <c r="E6" s="8447" t="s">
        <v>874</v>
      </c>
      <c r="F6" s="8448" t="n">
        <v>304.83</v>
      </c>
      <c r="G6" s="8449" t="s">
        <v>434</v>
      </c>
      <c r="H6" s="8450" t="n">
        <v>3658.0</v>
      </c>
      <c r="I6" s="8451" t="s">
        <v>434</v>
      </c>
      <c r="J6" s="8452" t="s">
        <v>897</v>
      </c>
      <c r="K6" s="8453" t="s">
        <v>784</v>
      </c>
      <c r="L6" s="8454" t="s">
        <v>433</v>
      </c>
      <c r="M6" s="8455" t="s">
        <v>433</v>
      </c>
      <c r="N6" s="8456" t="s">
        <v>433</v>
      </c>
      <c r="O6" s="8457" t="s">
        <v>833</v>
      </c>
      <c r="P6" s="8458" t="s">
        <v>433</v>
      </c>
    </row>
    <row r="7">
      <c r="A7" s="8459" t="s">
        <v>893</v>
      </c>
      <c r="B7" s="8460" t="s">
        <v>786</v>
      </c>
      <c r="C7" s="8461" t="s">
        <v>894</v>
      </c>
      <c r="D7" s="8462" t="s">
        <v>435</v>
      </c>
      <c r="E7" s="8463" t="s">
        <v>874</v>
      </c>
      <c r="F7" s="8464" t="n">
        <v>580.0</v>
      </c>
      <c r="G7" s="8465" t="s">
        <v>434</v>
      </c>
      <c r="H7" s="8466" t="n">
        <v>5800.0</v>
      </c>
      <c r="I7" s="8467" t="s">
        <v>434</v>
      </c>
      <c r="J7" s="8468" t="s">
        <v>897</v>
      </c>
      <c r="K7" s="8469" t="s">
        <v>781</v>
      </c>
      <c r="L7" s="8470" t="s">
        <v>433</v>
      </c>
      <c r="M7" s="8471" t="s">
        <v>433</v>
      </c>
      <c r="N7" s="8472" t="s">
        <v>433</v>
      </c>
      <c r="O7" s="8473" t="s">
        <v>833</v>
      </c>
      <c r="P7" s="8474" t="s">
        <v>433</v>
      </c>
    </row>
    <row r="8">
      <c r="A8" s="8475" t="s">
        <v>986</v>
      </c>
      <c r="B8" s="8476" t="s">
        <v>439</v>
      </c>
      <c r="C8" s="8477" t="s">
        <v>828</v>
      </c>
      <c r="D8" s="8478" t="s">
        <v>435</v>
      </c>
      <c r="E8" s="8479" t="s">
        <v>829</v>
      </c>
      <c r="F8" s="8480" t="n">
        <v>49.0</v>
      </c>
      <c r="G8" s="8481" t="s">
        <v>434</v>
      </c>
      <c r="H8" s="8482" t="n">
        <v>49.0</v>
      </c>
      <c r="I8" s="8483" t="s">
        <v>434</v>
      </c>
      <c r="J8" s="8484" t="s">
        <v>897</v>
      </c>
      <c r="K8" s="8485" t="s">
        <v>433</v>
      </c>
      <c r="L8" s="8486" t="s">
        <v>433</v>
      </c>
      <c r="M8" s="8487" t="s">
        <v>433</v>
      </c>
      <c r="N8" s="8488" t="s">
        <v>433</v>
      </c>
      <c r="O8" s="8489" t="s">
        <v>833</v>
      </c>
      <c r="P8" s="8490" t="s">
        <v>433</v>
      </c>
    </row>
    <row r="9">
      <c r="A9" s="8491" t="s">
        <v>986</v>
      </c>
      <c r="B9" s="8492" t="s">
        <v>442</v>
      </c>
      <c r="C9" s="8493" t="s">
        <v>836</v>
      </c>
      <c r="D9" s="8494" t="s">
        <v>435</v>
      </c>
      <c r="E9" s="8495" t="s">
        <v>829</v>
      </c>
      <c r="F9" s="8496" t="n">
        <v>70.0</v>
      </c>
      <c r="G9" s="8497" t="s">
        <v>434</v>
      </c>
      <c r="H9" s="8498" t="n">
        <v>70.0</v>
      </c>
      <c r="I9" s="8499" t="s">
        <v>434</v>
      </c>
      <c r="J9" s="8500" t="s">
        <v>897</v>
      </c>
      <c r="K9" s="8501" t="s">
        <v>433</v>
      </c>
      <c r="L9" s="8502" t="s">
        <v>433</v>
      </c>
      <c r="M9" s="8503" t="s">
        <v>433</v>
      </c>
      <c r="N9" s="8504" t="s">
        <v>433</v>
      </c>
      <c r="O9" s="8505" t="s">
        <v>833</v>
      </c>
      <c r="P9" s="8506" t="s">
        <v>433</v>
      </c>
    </row>
    <row r="10">
      <c r="A10" s="8507" t="s">
        <v>986</v>
      </c>
      <c r="B10" s="8508" t="s">
        <v>442</v>
      </c>
      <c r="C10" s="8509" t="s">
        <v>836</v>
      </c>
      <c r="D10" s="8510" t="s">
        <v>435</v>
      </c>
      <c r="E10" s="8511" t="s">
        <v>829</v>
      </c>
      <c r="F10" s="8512" t="n">
        <v>150.0</v>
      </c>
      <c r="G10" s="8513" t="s">
        <v>434</v>
      </c>
      <c r="H10" s="8514" t="n">
        <v>150.0</v>
      </c>
      <c r="I10" s="8515" t="s">
        <v>434</v>
      </c>
      <c r="J10" s="8516" t="s">
        <v>897</v>
      </c>
      <c r="K10" s="8517" t="s">
        <v>433</v>
      </c>
      <c r="L10" s="8518" t="s">
        <v>433</v>
      </c>
      <c r="M10" s="8519" t="s">
        <v>433</v>
      </c>
      <c r="N10" s="8520" t="s">
        <v>433</v>
      </c>
      <c r="O10" s="8521" t="s">
        <v>835</v>
      </c>
      <c r="P10" s="8522" t="s">
        <v>433</v>
      </c>
    </row>
    <row r="11">
      <c r="A11" s="8523" t="s">
        <v>929</v>
      </c>
      <c r="B11" s="8524" t="s">
        <v>456</v>
      </c>
      <c r="C11" s="8525" t="s">
        <v>836</v>
      </c>
      <c r="D11" s="8526" t="s">
        <v>435</v>
      </c>
      <c r="E11" s="8527" t="s">
        <v>829</v>
      </c>
      <c r="F11" s="8528" t="n">
        <v>-199.0</v>
      </c>
      <c r="G11" s="8529" t="s">
        <v>434</v>
      </c>
      <c r="H11" s="8530" t="n">
        <v>199.0</v>
      </c>
      <c r="I11" s="8531" t="s">
        <v>434</v>
      </c>
      <c r="J11" s="8532" t="s">
        <v>897</v>
      </c>
      <c r="K11" s="8533" t="s">
        <v>479</v>
      </c>
      <c r="L11" s="8534" t="s">
        <v>433</v>
      </c>
      <c r="M11" s="8535" t="s">
        <v>433</v>
      </c>
      <c r="N11" s="8536" t="s">
        <v>433</v>
      </c>
      <c r="O11" s="8537" t="s">
        <v>833</v>
      </c>
      <c r="P11" s="8538" t="s">
        <v>433</v>
      </c>
    </row>
    <row r="12">
      <c r="A12" s="8539" t="s">
        <v>929</v>
      </c>
      <c r="B12" s="8540" t="s">
        <v>649</v>
      </c>
      <c r="C12" s="8541" t="s">
        <v>860</v>
      </c>
      <c r="D12" s="8542" t="s">
        <v>435</v>
      </c>
      <c r="E12" s="8543" t="s">
        <v>829</v>
      </c>
      <c r="F12" s="8544" t="n">
        <v>49.0</v>
      </c>
      <c r="G12" s="8545" t="s">
        <v>434</v>
      </c>
      <c r="H12" s="8546" t="n">
        <v>49.0</v>
      </c>
      <c r="I12" s="8547" t="s">
        <v>434</v>
      </c>
      <c r="J12" s="8548" t="s">
        <v>897</v>
      </c>
      <c r="K12" s="8549" t="s">
        <v>437</v>
      </c>
      <c r="L12" s="8550" t="s">
        <v>433</v>
      </c>
      <c r="M12" s="8551" t="s">
        <v>433</v>
      </c>
      <c r="N12" s="8552" t="s">
        <v>433</v>
      </c>
      <c r="O12" s="8553" t="s">
        <v>833</v>
      </c>
      <c r="P12" s="8554" t="s">
        <v>433</v>
      </c>
    </row>
    <row r="13">
      <c r="A13" s="8555" t="s">
        <v>987</v>
      </c>
      <c r="B13" s="8556" t="s">
        <v>651</v>
      </c>
      <c r="C13" s="8557" t="s">
        <v>828</v>
      </c>
      <c r="D13" s="8558" t="s">
        <v>435</v>
      </c>
      <c r="E13" s="8559" t="s">
        <v>829</v>
      </c>
      <c r="F13" s="8560" t="n">
        <v>6.0</v>
      </c>
      <c r="G13" s="8561" t="s">
        <v>434</v>
      </c>
      <c r="H13" s="8562" t="n">
        <v>6.0</v>
      </c>
      <c r="I13" s="8563" t="s">
        <v>434</v>
      </c>
      <c r="J13" s="8564" t="s">
        <v>897</v>
      </c>
      <c r="K13" s="8565" t="s">
        <v>433</v>
      </c>
      <c r="L13" s="8566" t="s">
        <v>433</v>
      </c>
      <c r="M13" s="8567" t="s">
        <v>433</v>
      </c>
      <c r="N13" s="8568" t="s">
        <v>433</v>
      </c>
      <c r="O13" s="8569" t="s">
        <v>433</v>
      </c>
      <c r="P13" s="8570" t="s">
        <v>433</v>
      </c>
    </row>
    <row r="14">
      <c r="A14" s="8571" t="s">
        <v>988</v>
      </c>
      <c r="B14" s="8572" t="s">
        <v>460</v>
      </c>
      <c r="C14" s="8573" t="s">
        <v>841</v>
      </c>
      <c r="D14" s="8574" t="s">
        <v>435</v>
      </c>
      <c r="E14" s="8575" t="s">
        <v>829</v>
      </c>
      <c r="F14" s="8576" t="n">
        <v>214.17</v>
      </c>
      <c r="G14" s="8577" t="s">
        <v>434</v>
      </c>
      <c r="H14" s="8578" t="n">
        <v>214.17</v>
      </c>
      <c r="I14" s="8579" t="s">
        <v>434</v>
      </c>
      <c r="J14" s="8580" t="s">
        <v>897</v>
      </c>
      <c r="K14" s="8581" t="s">
        <v>433</v>
      </c>
      <c r="L14" s="8582" t="s">
        <v>433</v>
      </c>
      <c r="M14" s="8583" t="s">
        <v>433</v>
      </c>
      <c r="N14" s="8584" t="s">
        <v>433</v>
      </c>
      <c r="O14" s="8585" t="s">
        <v>833</v>
      </c>
      <c r="P14" s="8586" t="s">
        <v>433</v>
      </c>
    </row>
    <row r="15">
      <c r="A15" s="8587" t="s">
        <v>989</v>
      </c>
      <c r="B15" s="8588" t="s">
        <v>655</v>
      </c>
      <c r="C15" s="8589" t="s">
        <v>841</v>
      </c>
      <c r="D15" s="8590" t="s">
        <v>435</v>
      </c>
      <c r="E15" s="8591" t="s">
        <v>829</v>
      </c>
      <c r="F15" s="8592" t="n">
        <v>122.49</v>
      </c>
      <c r="G15" s="8593" t="s">
        <v>434</v>
      </c>
      <c r="H15" s="8594" t="n">
        <v>122.49</v>
      </c>
      <c r="I15" s="8595" t="s">
        <v>434</v>
      </c>
      <c r="J15" s="8596" t="s">
        <v>897</v>
      </c>
      <c r="K15" s="8597" t="s">
        <v>433</v>
      </c>
      <c r="L15" s="8598" t="s">
        <v>433</v>
      </c>
      <c r="M15" s="8599" t="s">
        <v>433</v>
      </c>
      <c r="N15" s="8600" t="s">
        <v>433</v>
      </c>
      <c r="O15" s="8601" t="s">
        <v>433</v>
      </c>
      <c r="P15" s="8602" t="s">
        <v>433</v>
      </c>
    </row>
    <row r="16">
      <c r="A16" s="8603" t="s">
        <v>989</v>
      </c>
      <c r="B16" s="8604" t="s">
        <v>543</v>
      </c>
      <c r="C16" s="8605" t="s">
        <v>870</v>
      </c>
      <c r="D16" s="8606" t="s">
        <v>435</v>
      </c>
      <c r="E16" s="8607" t="s">
        <v>829</v>
      </c>
      <c r="F16" s="8608" t="n">
        <v>-150.0</v>
      </c>
      <c r="G16" s="8609" t="s">
        <v>434</v>
      </c>
      <c r="H16" s="8610" t="n">
        <v>150.0</v>
      </c>
      <c r="I16" s="8611" t="s">
        <v>434</v>
      </c>
      <c r="J16" s="8612" t="s">
        <v>897</v>
      </c>
      <c r="K16" s="8613" t="s">
        <v>479</v>
      </c>
      <c r="L16" s="8614" t="s">
        <v>433</v>
      </c>
      <c r="M16" s="8615" t="s">
        <v>433</v>
      </c>
      <c r="N16" s="8616" t="s">
        <v>433</v>
      </c>
      <c r="O16" s="8617" t="s">
        <v>833</v>
      </c>
      <c r="P16" s="8618" t="s">
        <v>433</v>
      </c>
    </row>
    <row r="17">
      <c r="A17" s="8619" t="s">
        <v>990</v>
      </c>
      <c r="B17" s="8620" t="s">
        <v>508</v>
      </c>
      <c r="C17" s="8621" t="s">
        <v>841</v>
      </c>
      <c r="D17" s="8622" t="s">
        <v>435</v>
      </c>
      <c r="E17" s="8623" t="s">
        <v>829</v>
      </c>
      <c r="F17" s="8624" t="n">
        <v>110.0</v>
      </c>
      <c r="G17" s="8625" t="s">
        <v>434</v>
      </c>
      <c r="H17" s="8626" t="n">
        <v>110.0</v>
      </c>
      <c r="I17" s="8627" t="s">
        <v>434</v>
      </c>
      <c r="J17" s="8628" t="s">
        <v>897</v>
      </c>
      <c r="K17" s="8629" t="s">
        <v>433</v>
      </c>
      <c r="L17" s="8630" t="s">
        <v>433</v>
      </c>
      <c r="M17" s="8631" t="s">
        <v>433</v>
      </c>
      <c r="N17" s="8632" t="s">
        <v>433</v>
      </c>
      <c r="O17" s="8633" t="s">
        <v>433</v>
      </c>
      <c r="P17" s="8634" t="s">
        <v>433</v>
      </c>
    </row>
    <row r="18">
      <c r="A18" s="8635" t="s">
        <v>990</v>
      </c>
      <c r="B18" s="8636" t="s">
        <v>657</v>
      </c>
      <c r="C18" s="8637" t="s">
        <v>845</v>
      </c>
      <c r="D18" s="8638" t="s">
        <v>435</v>
      </c>
      <c r="E18" s="8639" t="s">
        <v>829</v>
      </c>
      <c r="F18" s="8640" t="n">
        <v>70.0</v>
      </c>
      <c r="G18" s="8641" t="s">
        <v>434</v>
      </c>
      <c r="H18" s="8642" t="n">
        <v>70.0</v>
      </c>
      <c r="I18" s="8643" t="s">
        <v>434</v>
      </c>
      <c r="J18" s="8644" t="s">
        <v>897</v>
      </c>
      <c r="K18" s="8645" t="s">
        <v>433</v>
      </c>
      <c r="L18" s="8646" t="s">
        <v>433</v>
      </c>
      <c r="M18" s="8647" t="s">
        <v>433</v>
      </c>
      <c r="N18" s="8648" t="s">
        <v>433</v>
      </c>
      <c r="O18" s="8649" t="s">
        <v>433</v>
      </c>
      <c r="P18" s="8650" t="s">
        <v>433</v>
      </c>
    </row>
    <row r="19">
      <c r="A19" s="8651" t="s">
        <v>990</v>
      </c>
      <c r="B19" s="8652" t="s">
        <v>442</v>
      </c>
      <c r="C19" s="8653" t="s">
        <v>836</v>
      </c>
      <c r="D19" s="8654" t="s">
        <v>435</v>
      </c>
      <c r="E19" s="8655" t="s">
        <v>829</v>
      </c>
      <c r="F19" s="8656" t="n">
        <v>67.0</v>
      </c>
      <c r="G19" s="8657" t="s">
        <v>434</v>
      </c>
      <c r="H19" s="8658" t="n">
        <v>67.0</v>
      </c>
      <c r="I19" s="8659" t="s">
        <v>434</v>
      </c>
      <c r="J19" s="8660" t="s">
        <v>897</v>
      </c>
      <c r="K19" s="8661" t="s">
        <v>433</v>
      </c>
      <c r="L19" s="8662" t="s">
        <v>433</v>
      </c>
      <c r="M19" s="8663" t="s">
        <v>433</v>
      </c>
      <c r="N19" s="8664" t="s">
        <v>433</v>
      </c>
      <c r="O19" s="8665" t="s">
        <v>833</v>
      </c>
      <c r="P19" s="8666" t="s">
        <v>433</v>
      </c>
    </row>
    <row r="20">
      <c r="A20" s="8667" t="s">
        <v>991</v>
      </c>
      <c r="B20" s="8668" t="s">
        <v>660</v>
      </c>
      <c r="C20" s="8669" t="s">
        <v>828</v>
      </c>
      <c r="D20" s="8670" t="s">
        <v>435</v>
      </c>
      <c r="E20" s="8671" t="s">
        <v>829</v>
      </c>
      <c r="F20" s="8672" t="n">
        <v>96.0</v>
      </c>
      <c r="G20" s="8673" t="s">
        <v>434</v>
      </c>
      <c r="H20" s="8674" t="n">
        <v>96.0</v>
      </c>
      <c r="I20" s="8675" t="s">
        <v>434</v>
      </c>
      <c r="J20" s="8676" t="s">
        <v>897</v>
      </c>
      <c r="K20" s="8677" t="s">
        <v>433</v>
      </c>
      <c r="L20" s="8678" t="s">
        <v>433</v>
      </c>
      <c r="M20" s="8679" t="s">
        <v>433</v>
      </c>
      <c r="N20" s="8680" t="s">
        <v>433</v>
      </c>
      <c r="O20" s="8681" t="s">
        <v>833</v>
      </c>
      <c r="P20" s="8682" t="s">
        <v>433</v>
      </c>
    </row>
    <row r="21">
      <c r="A21" s="8683" t="s">
        <v>991</v>
      </c>
      <c r="B21" s="8684" t="s">
        <v>439</v>
      </c>
      <c r="C21" s="8685" t="s">
        <v>828</v>
      </c>
      <c r="D21" s="8686" t="s">
        <v>435</v>
      </c>
      <c r="E21" s="8687" t="s">
        <v>829</v>
      </c>
      <c r="F21" s="8688" t="n">
        <v>186.6</v>
      </c>
      <c r="G21" s="8689" t="s">
        <v>434</v>
      </c>
      <c r="H21" s="8690" t="n">
        <v>186.6</v>
      </c>
      <c r="I21" s="8691" t="s">
        <v>434</v>
      </c>
      <c r="J21" s="8692" t="s">
        <v>897</v>
      </c>
      <c r="K21" s="8693" t="s">
        <v>433</v>
      </c>
      <c r="L21" s="8694" t="s">
        <v>433</v>
      </c>
      <c r="M21" s="8695" t="s">
        <v>433</v>
      </c>
      <c r="N21" s="8696" t="s">
        <v>433</v>
      </c>
      <c r="O21" s="8697" t="s">
        <v>833</v>
      </c>
      <c r="P21" s="8698" t="s">
        <v>433</v>
      </c>
    </row>
    <row r="22">
      <c r="A22" s="8699" t="s">
        <v>991</v>
      </c>
      <c r="B22" s="8700" t="s">
        <v>442</v>
      </c>
      <c r="C22" s="8701" t="s">
        <v>836</v>
      </c>
      <c r="D22" s="8702" t="s">
        <v>435</v>
      </c>
      <c r="E22" s="8703" t="s">
        <v>829</v>
      </c>
      <c r="F22" s="8704" t="n">
        <v>190.0</v>
      </c>
      <c r="G22" s="8705" t="s">
        <v>434</v>
      </c>
      <c r="H22" s="8706" t="n">
        <v>190.0</v>
      </c>
      <c r="I22" s="8707" t="s">
        <v>434</v>
      </c>
      <c r="J22" s="8708" t="s">
        <v>897</v>
      </c>
      <c r="K22" s="8709" t="s">
        <v>433</v>
      </c>
      <c r="L22" s="8710" t="s">
        <v>433</v>
      </c>
      <c r="M22" s="8711" t="s">
        <v>433</v>
      </c>
      <c r="N22" s="8712" t="s">
        <v>433</v>
      </c>
      <c r="O22" s="8713" t="s">
        <v>835</v>
      </c>
      <c r="P22" s="8714" t="s">
        <v>433</v>
      </c>
    </row>
    <row r="23">
      <c r="A23" s="8715" t="s">
        <v>992</v>
      </c>
      <c r="B23" s="8716" t="s">
        <v>470</v>
      </c>
      <c r="C23" s="8717" t="s">
        <v>845</v>
      </c>
      <c r="D23" s="8718" t="s">
        <v>435</v>
      </c>
      <c r="E23" s="8719" t="s">
        <v>829</v>
      </c>
      <c r="F23" s="8720" t="n">
        <v>170.74</v>
      </c>
      <c r="G23" s="8721" t="s">
        <v>434</v>
      </c>
      <c r="H23" s="8722" t="n">
        <v>170.74</v>
      </c>
      <c r="I23" s="8723" t="s">
        <v>434</v>
      </c>
      <c r="J23" s="8724" t="s">
        <v>897</v>
      </c>
      <c r="K23" s="8725" t="s">
        <v>437</v>
      </c>
      <c r="L23" s="8726" t="s">
        <v>433</v>
      </c>
      <c r="M23" s="8727" t="s">
        <v>433</v>
      </c>
      <c r="N23" s="8728" t="s">
        <v>433</v>
      </c>
      <c r="O23" s="8729" t="s">
        <v>833</v>
      </c>
      <c r="P23" s="8730" t="s">
        <v>433</v>
      </c>
    </row>
    <row r="24">
      <c r="A24" s="8731" t="s">
        <v>992</v>
      </c>
      <c r="B24" s="8732" t="s">
        <v>439</v>
      </c>
      <c r="C24" s="8733" t="s">
        <v>828</v>
      </c>
      <c r="D24" s="8734" t="s">
        <v>435</v>
      </c>
      <c r="E24" s="8735" t="s">
        <v>829</v>
      </c>
      <c r="F24" s="8736" t="n">
        <v>67.2</v>
      </c>
      <c r="G24" s="8737" t="s">
        <v>434</v>
      </c>
      <c r="H24" s="8738" t="n">
        <v>67.2</v>
      </c>
      <c r="I24" s="8739" t="s">
        <v>434</v>
      </c>
      <c r="J24" s="8740" t="s">
        <v>897</v>
      </c>
      <c r="K24" s="8741" t="s">
        <v>433</v>
      </c>
      <c r="L24" s="8742" t="s">
        <v>433</v>
      </c>
      <c r="M24" s="8743" t="s">
        <v>433</v>
      </c>
      <c r="N24" s="8744" t="s">
        <v>433</v>
      </c>
      <c r="O24" s="8745" t="s">
        <v>833</v>
      </c>
      <c r="P24" s="8746" t="s">
        <v>433</v>
      </c>
    </row>
    <row r="25">
      <c r="A25" s="8747" t="s">
        <v>993</v>
      </c>
      <c r="B25" s="8748" t="s">
        <v>481</v>
      </c>
      <c r="C25" s="8749" t="s">
        <v>845</v>
      </c>
      <c r="D25" s="8750" t="s">
        <v>435</v>
      </c>
      <c r="E25" s="8751" t="s">
        <v>829</v>
      </c>
      <c r="F25" s="8752" t="n">
        <v>39.9</v>
      </c>
      <c r="G25" s="8753" t="s">
        <v>434</v>
      </c>
      <c r="H25" s="8754" t="n">
        <v>39.9</v>
      </c>
      <c r="I25" s="8755" t="s">
        <v>434</v>
      </c>
      <c r="J25" s="8756" t="s">
        <v>897</v>
      </c>
      <c r="K25" s="8757" t="s">
        <v>437</v>
      </c>
      <c r="L25" s="8758" t="s">
        <v>433</v>
      </c>
      <c r="M25" s="8759" t="s">
        <v>433</v>
      </c>
      <c r="N25" s="8760" t="s">
        <v>433</v>
      </c>
      <c r="O25" s="8761" t="s">
        <v>833</v>
      </c>
      <c r="P25" s="8762" t="s">
        <v>433</v>
      </c>
    </row>
    <row r="26">
      <c r="A26" s="8763" t="s">
        <v>993</v>
      </c>
      <c r="B26" s="8764" t="s">
        <v>439</v>
      </c>
      <c r="C26" s="8765" t="s">
        <v>828</v>
      </c>
      <c r="D26" s="8766" t="s">
        <v>435</v>
      </c>
      <c r="E26" s="8767" t="s">
        <v>829</v>
      </c>
      <c r="F26" s="8768" t="n">
        <v>68.25</v>
      </c>
      <c r="G26" s="8769" t="s">
        <v>434</v>
      </c>
      <c r="H26" s="8770" t="n">
        <v>68.25</v>
      </c>
      <c r="I26" s="8771" t="s">
        <v>434</v>
      </c>
      <c r="J26" s="8772" t="s">
        <v>897</v>
      </c>
      <c r="K26" s="8773" t="s">
        <v>433</v>
      </c>
      <c r="L26" s="8774" t="s">
        <v>433</v>
      </c>
      <c r="M26" s="8775" t="s">
        <v>433</v>
      </c>
      <c r="N26" s="8776" t="s">
        <v>433</v>
      </c>
      <c r="O26" s="8777" t="s">
        <v>833</v>
      </c>
      <c r="P26" s="8778" t="s">
        <v>433</v>
      </c>
    </row>
    <row r="27">
      <c r="A27" s="8779" t="s">
        <v>994</v>
      </c>
      <c r="B27" s="8780" t="s">
        <v>560</v>
      </c>
      <c r="C27" s="8781" t="s">
        <v>836</v>
      </c>
      <c r="D27" s="8782" t="s">
        <v>435</v>
      </c>
      <c r="E27" s="8783" t="s">
        <v>829</v>
      </c>
      <c r="F27" s="8784" t="n">
        <v>110.0</v>
      </c>
      <c r="G27" s="8785" t="s">
        <v>434</v>
      </c>
      <c r="H27" s="8786" t="n">
        <v>110.0</v>
      </c>
      <c r="I27" s="8787" t="s">
        <v>434</v>
      </c>
      <c r="J27" s="8788" t="s">
        <v>897</v>
      </c>
      <c r="K27" s="8789" t="s">
        <v>433</v>
      </c>
      <c r="L27" s="8790" t="s">
        <v>433</v>
      </c>
      <c r="M27" s="8791" t="s">
        <v>433</v>
      </c>
      <c r="N27" s="8792" t="s">
        <v>433</v>
      </c>
      <c r="O27" s="8793" t="s">
        <v>833</v>
      </c>
      <c r="P27" s="8794" t="s">
        <v>433</v>
      </c>
    </row>
    <row r="28">
      <c r="A28" s="8795" t="s">
        <v>994</v>
      </c>
      <c r="B28" s="8796" t="s">
        <v>476</v>
      </c>
      <c r="C28" s="8797" t="s">
        <v>832</v>
      </c>
      <c r="D28" s="8798" t="s">
        <v>435</v>
      </c>
      <c r="E28" s="8799" t="s">
        <v>829</v>
      </c>
      <c r="F28" s="8800" t="n">
        <v>62.1</v>
      </c>
      <c r="G28" s="8801" t="s">
        <v>434</v>
      </c>
      <c r="H28" s="8802" t="n">
        <v>62.1</v>
      </c>
      <c r="I28" s="8803" t="s">
        <v>434</v>
      </c>
      <c r="J28" s="8804" t="s">
        <v>897</v>
      </c>
      <c r="K28" s="8805" t="s">
        <v>433</v>
      </c>
      <c r="L28" s="8806" t="s">
        <v>433</v>
      </c>
      <c r="M28" s="8807" t="s">
        <v>433</v>
      </c>
      <c r="N28" s="8808" t="s">
        <v>433</v>
      </c>
      <c r="O28" s="8809" t="s">
        <v>833</v>
      </c>
      <c r="P28" s="8810" t="s">
        <v>433</v>
      </c>
    </row>
    <row r="29">
      <c r="A29" s="8811" t="s">
        <v>994</v>
      </c>
      <c r="B29" s="8812" t="s">
        <v>439</v>
      </c>
      <c r="C29" s="8813" t="s">
        <v>828</v>
      </c>
      <c r="D29" s="8814" t="s">
        <v>435</v>
      </c>
      <c r="E29" s="8815" t="s">
        <v>829</v>
      </c>
      <c r="F29" s="8816" t="n">
        <v>95.01</v>
      </c>
      <c r="G29" s="8817" t="s">
        <v>434</v>
      </c>
      <c r="H29" s="8818" t="n">
        <v>95.01</v>
      </c>
      <c r="I29" s="8819" t="s">
        <v>434</v>
      </c>
      <c r="J29" s="8820" t="s">
        <v>897</v>
      </c>
      <c r="K29" s="8821" t="s">
        <v>433</v>
      </c>
      <c r="L29" s="8822" t="s">
        <v>433</v>
      </c>
      <c r="M29" s="8823" t="s">
        <v>433</v>
      </c>
      <c r="N29" s="8824" t="s">
        <v>433</v>
      </c>
      <c r="O29" s="8825" t="s">
        <v>833</v>
      </c>
      <c r="P29" s="8826" t="s">
        <v>433</v>
      </c>
    </row>
    <row r="30">
      <c r="A30" s="8827" t="s">
        <v>994</v>
      </c>
      <c r="B30" s="8828" t="s">
        <v>483</v>
      </c>
      <c r="C30" s="8829" t="s">
        <v>849</v>
      </c>
      <c r="D30" s="8830" t="s">
        <v>435</v>
      </c>
      <c r="E30" s="8831" t="s">
        <v>829</v>
      </c>
      <c r="F30" s="8832" t="n">
        <v>385.65</v>
      </c>
      <c r="G30" s="8833" t="s">
        <v>434</v>
      </c>
      <c r="H30" s="8834" t="n">
        <v>385.65</v>
      </c>
      <c r="I30" s="8835" t="s">
        <v>434</v>
      </c>
      <c r="J30" s="8836" t="s">
        <v>897</v>
      </c>
      <c r="K30" s="8837" t="s">
        <v>433</v>
      </c>
      <c r="L30" s="8838" t="s">
        <v>433</v>
      </c>
      <c r="M30" s="8839" t="s">
        <v>433</v>
      </c>
      <c r="N30" s="8840" t="s">
        <v>433</v>
      </c>
      <c r="O30" s="8841" t="s">
        <v>833</v>
      </c>
      <c r="P30" s="8842" t="s">
        <v>433</v>
      </c>
    </row>
    <row r="31">
      <c r="A31" s="8843" t="s">
        <v>994</v>
      </c>
      <c r="B31" s="8844" t="s">
        <v>442</v>
      </c>
      <c r="C31" s="8845" t="s">
        <v>836</v>
      </c>
      <c r="D31" s="8846" t="s">
        <v>435</v>
      </c>
      <c r="E31" s="8847" t="s">
        <v>829</v>
      </c>
      <c r="F31" s="8848" t="n">
        <v>67.0</v>
      </c>
      <c r="G31" s="8849" t="s">
        <v>434</v>
      </c>
      <c r="H31" s="8850" t="n">
        <v>67.0</v>
      </c>
      <c r="I31" s="8851" t="s">
        <v>434</v>
      </c>
      <c r="J31" s="8852" t="s">
        <v>897</v>
      </c>
      <c r="K31" s="8853" t="s">
        <v>433</v>
      </c>
      <c r="L31" s="8854" t="s">
        <v>433</v>
      </c>
      <c r="M31" s="8855" t="s">
        <v>433</v>
      </c>
      <c r="N31" s="8856" t="s">
        <v>433</v>
      </c>
      <c r="O31" s="8857" t="s">
        <v>833</v>
      </c>
      <c r="P31" s="8858" t="s">
        <v>433</v>
      </c>
    </row>
    <row r="32">
      <c r="A32" s="8859" t="s">
        <v>994</v>
      </c>
      <c r="B32" s="8860" t="s">
        <v>442</v>
      </c>
      <c r="C32" s="8861" t="s">
        <v>836</v>
      </c>
      <c r="D32" s="8862" t="s">
        <v>435</v>
      </c>
      <c r="E32" s="8863" t="s">
        <v>829</v>
      </c>
      <c r="F32" s="8864" t="n">
        <v>190.0</v>
      </c>
      <c r="G32" s="8865" t="s">
        <v>434</v>
      </c>
      <c r="H32" s="8866" t="n">
        <v>190.0</v>
      </c>
      <c r="I32" s="8867" t="s">
        <v>434</v>
      </c>
      <c r="J32" s="8868" t="s">
        <v>897</v>
      </c>
      <c r="K32" s="8869" t="s">
        <v>433</v>
      </c>
      <c r="L32" s="8870" t="s">
        <v>433</v>
      </c>
      <c r="M32" s="8871" t="s">
        <v>433</v>
      </c>
      <c r="N32" s="8872" t="s">
        <v>433</v>
      </c>
      <c r="O32" s="8873" t="s">
        <v>835</v>
      </c>
      <c r="P32" s="8874" t="s">
        <v>433</v>
      </c>
    </row>
    <row r="33">
      <c r="A33" s="8875" t="s">
        <v>995</v>
      </c>
      <c r="B33" s="8876" t="s">
        <v>439</v>
      </c>
      <c r="C33" s="8877" t="s">
        <v>828</v>
      </c>
      <c r="D33" s="8878" t="s">
        <v>435</v>
      </c>
      <c r="E33" s="8879" t="s">
        <v>829</v>
      </c>
      <c r="F33" s="8880" t="n">
        <v>105.0</v>
      </c>
      <c r="G33" s="8881" t="s">
        <v>434</v>
      </c>
      <c r="H33" s="8882" t="n">
        <v>105.0</v>
      </c>
      <c r="I33" s="8883" t="s">
        <v>434</v>
      </c>
      <c r="J33" s="8884" t="s">
        <v>897</v>
      </c>
      <c r="K33" s="8885" t="s">
        <v>433</v>
      </c>
      <c r="L33" s="8886" t="s">
        <v>433</v>
      </c>
      <c r="M33" s="8887" t="s">
        <v>433</v>
      </c>
      <c r="N33" s="8888" t="s">
        <v>433</v>
      </c>
      <c r="O33" s="8889" t="s">
        <v>833</v>
      </c>
      <c r="P33" s="8890" t="s">
        <v>433</v>
      </c>
    </row>
    <row r="34">
      <c r="A34" s="8891" t="s">
        <v>995</v>
      </c>
      <c r="B34" s="8892" t="s">
        <v>666</v>
      </c>
      <c r="C34" s="8893" t="s">
        <v>828</v>
      </c>
      <c r="D34" s="8894" t="s">
        <v>435</v>
      </c>
      <c r="E34" s="8895" t="s">
        <v>829</v>
      </c>
      <c r="F34" s="8896" t="n">
        <v>11.58</v>
      </c>
      <c r="G34" s="8897" t="s">
        <v>434</v>
      </c>
      <c r="H34" s="8898" t="n">
        <v>12.0</v>
      </c>
      <c r="I34" s="8899" t="s">
        <v>434</v>
      </c>
      <c r="J34" s="8900" t="s">
        <v>897</v>
      </c>
      <c r="K34" s="8901" t="s">
        <v>433</v>
      </c>
      <c r="L34" s="8902" t="s">
        <v>433</v>
      </c>
      <c r="M34" s="8903" t="s">
        <v>996</v>
      </c>
      <c r="N34" s="8904" t="s">
        <v>433</v>
      </c>
      <c r="O34" s="8905" t="s">
        <v>833</v>
      </c>
      <c r="P34" s="8906" t="s">
        <v>433</v>
      </c>
    </row>
    <row r="35">
      <c r="A35" s="8907" t="s">
        <v>997</v>
      </c>
      <c r="B35" s="8908" t="s">
        <v>439</v>
      </c>
      <c r="C35" s="8909" t="s">
        <v>828</v>
      </c>
      <c r="D35" s="8910" t="s">
        <v>435</v>
      </c>
      <c r="E35" s="8911" t="s">
        <v>829</v>
      </c>
      <c r="F35" s="8912" t="n">
        <v>102.75</v>
      </c>
      <c r="G35" s="8913" t="s">
        <v>434</v>
      </c>
      <c r="H35" s="8914" t="n">
        <v>102.75</v>
      </c>
      <c r="I35" s="8915" t="s">
        <v>434</v>
      </c>
      <c r="J35" s="8916" t="s">
        <v>897</v>
      </c>
      <c r="K35" s="8917" t="s">
        <v>433</v>
      </c>
      <c r="L35" s="8918" t="s">
        <v>433</v>
      </c>
      <c r="M35" s="8919" t="s">
        <v>433</v>
      </c>
      <c r="N35" s="8920" t="s">
        <v>433</v>
      </c>
      <c r="O35" s="8921" t="s">
        <v>833</v>
      </c>
      <c r="P35" s="8922" t="s">
        <v>433</v>
      </c>
    </row>
    <row r="36">
      <c r="A36" s="8923" t="s">
        <v>997</v>
      </c>
      <c r="B36" s="8924" t="s">
        <v>439</v>
      </c>
      <c r="C36" s="8925" t="s">
        <v>828</v>
      </c>
      <c r="D36" s="8926" t="s">
        <v>435</v>
      </c>
      <c r="E36" s="8927" t="s">
        <v>829</v>
      </c>
      <c r="F36" s="8928" t="n">
        <v>122.2</v>
      </c>
      <c r="G36" s="8929" t="s">
        <v>434</v>
      </c>
      <c r="H36" s="8930" t="n">
        <v>122.2</v>
      </c>
      <c r="I36" s="8931" t="s">
        <v>434</v>
      </c>
      <c r="J36" s="8932" t="s">
        <v>897</v>
      </c>
      <c r="K36" s="8933" t="s">
        <v>433</v>
      </c>
      <c r="L36" s="8934" t="s">
        <v>433</v>
      </c>
      <c r="M36" s="8935" t="s">
        <v>433</v>
      </c>
      <c r="N36" s="8936" t="s">
        <v>433</v>
      </c>
      <c r="O36" s="8937" t="s">
        <v>833</v>
      </c>
      <c r="P36" s="8938" t="s">
        <v>433</v>
      </c>
    </row>
    <row r="37">
      <c r="A37" s="8939" t="s">
        <v>998</v>
      </c>
      <c r="B37" s="8940" t="s">
        <v>543</v>
      </c>
      <c r="C37" s="8941" t="s">
        <v>870</v>
      </c>
      <c r="D37" s="8942" t="s">
        <v>435</v>
      </c>
      <c r="E37" s="8943" t="s">
        <v>829</v>
      </c>
      <c r="F37" s="8944" t="n">
        <v>50.0</v>
      </c>
      <c r="G37" s="8945" t="s">
        <v>434</v>
      </c>
      <c r="H37" s="8946" t="n">
        <v>50.0</v>
      </c>
      <c r="I37" s="8947" t="s">
        <v>434</v>
      </c>
      <c r="J37" s="8948" t="s">
        <v>897</v>
      </c>
      <c r="K37" s="8949" t="s">
        <v>433</v>
      </c>
      <c r="L37" s="8950" t="s">
        <v>433</v>
      </c>
      <c r="M37" s="8951" t="s">
        <v>433</v>
      </c>
      <c r="N37" s="8952" t="s">
        <v>433</v>
      </c>
      <c r="O37" s="8953" t="s">
        <v>833</v>
      </c>
      <c r="P37" s="8954" t="s">
        <v>433</v>
      </c>
    </row>
    <row r="38">
      <c r="A38" s="8955" t="s">
        <v>998</v>
      </c>
      <c r="B38" s="8956" t="s">
        <v>439</v>
      </c>
      <c r="C38" s="8957" t="s">
        <v>828</v>
      </c>
      <c r="D38" s="8958" t="s">
        <v>435</v>
      </c>
      <c r="E38" s="8959" t="s">
        <v>829</v>
      </c>
      <c r="F38" s="8960" t="n">
        <v>57.6</v>
      </c>
      <c r="G38" s="8961" t="s">
        <v>434</v>
      </c>
      <c r="H38" s="8962" t="n">
        <v>57.6</v>
      </c>
      <c r="I38" s="8963" t="s">
        <v>434</v>
      </c>
      <c r="J38" s="8964" t="s">
        <v>897</v>
      </c>
      <c r="K38" s="8965" t="s">
        <v>433</v>
      </c>
      <c r="L38" s="8966" t="s">
        <v>433</v>
      </c>
      <c r="M38" s="8967" t="s">
        <v>433</v>
      </c>
      <c r="N38" s="8968" t="s">
        <v>433</v>
      </c>
      <c r="O38" s="8969" t="s">
        <v>833</v>
      </c>
      <c r="P38" s="8970" t="s">
        <v>433</v>
      </c>
    </row>
    <row r="39">
      <c r="A39" s="8971" t="s">
        <v>998</v>
      </c>
      <c r="B39" s="8972" t="s">
        <v>499</v>
      </c>
      <c r="C39" s="8973" t="s">
        <v>832</v>
      </c>
      <c r="D39" s="8974" t="s">
        <v>435</v>
      </c>
      <c r="E39" s="8975" t="s">
        <v>829</v>
      </c>
      <c r="F39" s="8976" t="n">
        <v>80.74</v>
      </c>
      <c r="G39" s="8977" t="s">
        <v>434</v>
      </c>
      <c r="H39" s="8978" t="n">
        <v>80.74</v>
      </c>
      <c r="I39" s="8979" t="s">
        <v>434</v>
      </c>
      <c r="J39" s="8980" t="s">
        <v>897</v>
      </c>
      <c r="K39" s="8981" t="s">
        <v>433</v>
      </c>
      <c r="L39" s="8982" t="s">
        <v>433</v>
      </c>
      <c r="M39" s="8983" t="s">
        <v>433</v>
      </c>
      <c r="N39" s="8984" t="s">
        <v>433</v>
      </c>
      <c r="O39" s="8985" t="s">
        <v>833</v>
      </c>
      <c r="P39" s="8986" t="s">
        <v>433</v>
      </c>
    </row>
    <row r="40">
      <c r="A40" s="8987" t="s">
        <v>998</v>
      </c>
      <c r="B40" s="8988" t="s">
        <v>439</v>
      </c>
      <c r="C40" s="8989" t="s">
        <v>828</v>
      </c>
      <c r="D40" s="8990" t="s">
        <v>435</v>
      </c>
      <c r="E40" s="8991" t="s">
        <v>829</v>
      </c>
      <c r="F40" s="8992" t="n">
        <v>69.0</v>
      </c>
      <c r="G40" s="8993" t="s">
        <v>434</v>
      </c>
      <c r="H40" s="8994" t="n">
        <v>69.0</v>
      </c>
      <c r="I40" s="8995" t="s">
        <v>434</v>
      </c>
      <c r="J40" s="8996" t="s">
        <v>897</v>
      </c>
      <c r="K40" s="8997" t="s">
        <v>433</v>
      </c>
      <c r="L40" s="8998" t="s">
        <v>433</v>
      </c>
      <c r="M40" s="8999" t="s">
        <v>433</v>
      </c>
      <c r="N40" s="9000" t="s">
        <v>433</v>
      </c>
      <c r="O40" s="9001" t="s">
        <v>833</v>
      </c>
      <c r="P40" s="9002" t="s">
        <v>433</v>
      </c>
    </row>
    <row r="41">
      <c r="A41" s="9003" t="s">
        <v>998</v>
      </c>
      <c r="B41" s="9004" t="s">
        <v>442</v>
      </c>
      <c r="C41" s="9005" t="s">
        <v>836</v>
      </c>
      <c r="D41" s="9006" t="s">
        <v>435</v>
      </c>
      <c r="E41" s="9007" t="s">
        <v>829</v>
      </c>
      <c r="F41" s="9008" t="n">
        <v>190.0</v>
      </c>
      <c r="G41" s="9009" t="s">
        <v>434</v>
      </c>
      <c r="H41" s="9010" t="n">
        <v>190.0</v>
      </c>
      <c r="I41" s="9011" t="s">
        <v>434</v>
      </c>
      <c r="J41" s="9012" t="s">
        <v>897</v>
      </c>
      <c r="K41" s="9013" t="s">
        <v>433</v>
      </c>
      <c r="L41" s="9014" t="s">
        <v>433</v>
      </c>
      <c r="M41" s="9015" t="s">
        <v>433</v>
      </c>
      <c r="N41" s="9016" t="s">
        <v>433</v>
      </c>
      <c r="O41" s="9017" t="s">
        <v>833</v>
      </c>
      <c r="P41" s="9018" t="s">
        <v>433</v>
      </c>
    </row>
    <row r="42">
      <c r="A42" s="9019" t="s">
        <v>999</v>
      </c>
      <c r="B42" s="9020" t="s">
        <v>460</v>
      </c>
      <c r="C42" s="9021" t="s">
        <v>841</v>
      </c>
      <c r="D42" s="9022" t="s">
        <v>435</v>
      </c>
      <c r="E42" s="9023" t="s">
        <v>829</v>
      </c>
      <c r="F42" s="9024" t="n">
        <v>108.89</v>
      </c>
      <c r="G42" s="9025" t="s">
        <v>434</v>
      </c>
      <c r="H42" s="9026" t="n">
        <v>108.89</v>
      </c>
      <c r="I42" s="9027" t="s">
        <v>434</v>
      </c>
      <c r="J42" s="9028" t="s">
        <v>897</v>
      </c>
      <c r="K42" s="9029" t="s">
        <v>433</v>
      </c>
      <c r="L42" s="9030" t="s">
        <v>433</v>
      </c>
      <c r="M42" s="9031" t="s">
        <v>433</v>
      </c>
      <c r="N42" s="9032" t="s">
        <v>433</v>
      </c>
      <c r="O42" s="9033" t="s">
        <v>833</v>
      </c>
      <c r="P42" s="9034" t="s">
        <v>433</v>
      </c>
    </row>
    <row r="43">
      <c r="A43" s="9035" t="s">
        <v>999</v>
      </c>
      <c r="B43" s="9036" t="s">
        <v>533</v>
      </c>
      <c r="C43" s="9037" t="s">
        <v>836</v>
      </c>
      <c r="D43" s="9038" t="s">
        <v>435</v>
      </c>
      <c r="E43" s="9039" t="s">
        <v>829</v>
      </c>
      <c r="F43" s="9040" t="n">
        <v>20.0</v>
      </c>
      <c r="G43" s="9041" t="s">
        <v>434</v>
      </c>
      <c r="H43" s="9042" t="n">
        <v>20.0</v>
      </c>
      <c r="I43" s="9043" t="s">
        <v>434</v>
      </c>
      <c r="J43" s="9044" t="s">
        <v>897</v>
      </c>
      <c r="K43" s="9045" t="s">
        <v>433</v>
      </c>
      <c r="L43" s="9046" t="s">
        <v>433</v>
      </c>
      <c r="M43" s="9047" t="s">
        <v>433</v>
      </c>
      <c r="N43" s="9048" t="s">
        <v>433</v>
      </c>
      <c r="O43" s="9049" t="s">
        <v>433</v>
      </c>
      <c r="P43" s="9050" t="s">
        <v>433</v>
      </c>
    </row>
    <row r="44">
      <c r="A44" s="9051" t="s">
        <v>999</v>
      </c>
      <c r="B44" s="9052" t="s">
        <v>531</v>
      </c>
      <c r="C44" s="9053" t="s">
        <v>836</v>
      </c>
      <c r="D44" s="9054" t="s">
        <v>435</v>
      </c>
      <c r="E44" s="9055" t="s">
        <v>829</v>
      </c>
      <c r="F44" s="9056" t="n">
        <v>-98.0</v>
      </c>
      <c r="G44" s="9057" t="s">
        <v>434</v>
      </c>
      <c r="H44" s="9058" t="n">
        <v>98.0</v>
      </c>
      <c r="I44" s="9059" t="s">
        <v>434</v>
      </c>
      <c r="J44" s="9060" t="s">
        <v>897</v>
      </c>
      <c r="K44" s="9061" t="s">
        <v>479</v>
      </c>
      <c r="L44" s="9062" t="s">
        <v>433</v>
      </c>
      <c r="M44" s="9063" t="s">
        <v>433</v>
      </c>
      <c r="N44" s="9064" t="s">
        <v>433</v>
      </c>
      <c r="O44" s="9065" t="s">
        <v>833</v>
      </c>
      <c r="P44" s="9066" t="s">
        <v>433</v>
      </c>
    </row>
    <row r="45">
      <c r="A45" s="9067" t="s">
        <v>999</v>
      </c>
      <c r="B45" s="9068" t="s">
        <v>439</v>
      </c>
      <c r="C45" s="9069" t="s">
        <v>828</v>
      </c>
      <c r="D45" s="9070" t="s">
        <v>435</v>
      </c>
      <c r="E45" s="9071" t="s">
        <v>829</v>
      </c>
      <c r="F45" s="9072" t="n">
        <v>110.7</v>
      </c>
      <c r="G45" s="9073" t="s">
        <v>434</v>
      </c>
      <c r="H45" s="9074" t="n">
        <v>110.7</v>
      </c>
      <c r="I45" s="9075" t="s">
        <v>434</v>
      </c>
      <c r="J45" s="9076" t="s">
        <v>897</v>
      </c>
      <c r="K45" s="9077" t="s">
        <v>433</v>
      </c>
      <c r="L45" s="9078" t="s">
        <v>433</v>
      </c>
      <c r="M45" s="9079" t="s">
        <v>433</v>
      </c>
      <c r="N45" s="9080" t="s">
        <v>433</v>
      </c>
      <c r="O45" s="9081" t="s">
        <v>833</v>
      </c>
      <c r="P45" s="9082" t="s">
        <v>433</v>
      </c>
    </row>
    <row r="46">
      <c r="A46" s="9083" t="s">
        <v>999</v>
      </c>
      <c r="B46" s="9084" t="s">
        <v>513</v>
      </c>
      <c r="C46" s="9085" t="s">
        <v>860</v>
      </c>
      <c r="D46" s="9086" t="s">
        <v>435</v>
      </c>
      <c r="E46" s="9087" t="s">
        <v>829</v>
      </c>
      <c r="F46" s="9088" t="n">
        <v>120.0</v>
      </c>
      <c r="G46" s="9089" t="s">
        <v>434</v>
      </c>
      <c r="H46" s="9090" t="n">
        <v>120.0</v>
      </c>
      <c r="I46" s="9091" t="s">
        <v>434</v>
      </c>
      <c r="J46" s="9092" t="s">
        <v>897</v>
      </c>
      <c r="K46" s="9093" t="s">
        <v>670</v>
      </c>
      <c r="L46" s="9094" t="s">
        <v>433</v>
      </c>
      <c r="M46" s="9095" t="s">
        <v>433</v>
      </c>
      <c r="N46" s="9096" t="s">
        <v>433</v>
      </c>
      <c r="O46" s="9097" t="s">
        <v>835</v>
      </c>
      <c r="P46" s="9098" t="s">
        <v>433</v>
      </c>
    </row>
    <row r="47">
      <c r="A47" s="9099" t="s">
        <v>1000</v>
      </c>
      <c r="B47" s="9100" t="s">
        <v>457</v>
      </c>
      <c r="C47" s="9101" t="s">
        <v>841</v>
      </c>
      <c r="D47" s="9102" t="s">
        <v>435</v>
      </c>
      <c r="E47" s="9103" t="s">
        <v>829</v>
      </c>
      <c r="F47" s="9104" t="n">
        <v>17.03</v>
      </c>
      <c r="G47" s="9105" t="s">
        <v>434</v>
      </c>
      <c r="H47" s="9106" t="n">
        <v>17.03</v>
      </c>
      <c r="I47" s="9107" t="s">
        <v>434</v>
      </c>
      <c r="J47" s="9108" t="s">
        <v>897</v>
      </c>
      <c r="K47" s="9109" t="s">
        <v>433</v>
      </c>
      <c r="L47" s="9110" t="s">
        <v>433</v>
      </c>
      <c r="M47" s="9111" t="s">
        <v>433</v>
      </c>
      <c r="N47" s="9112" t="s">
        <v>433</v>
      </c>
      <c r="O47" s="9113" t="s">
        <v>835</v>
      </c>
      <c r="P47" s="9114" t="s">
        <v>433</v>
      </c>
    </row>
    <row r="48">
      <c r="A48" s="9115" t="s">
        <v>1000</v>
      </c>
      <c r="B48" s="9116" t="s">
        <v>675</v>
      </c>
      <c r="C48" s="9117" t="s">
        <v>838</v>
      </c>
      <c r="D48" s="9118" t="s">
        <v>435</v>
      </c>
      <c r="E48" s="9119" t="s">
        <v>829</v>
      </c>
      <c r="F48" s="9120" t="n">
        <v>7.0</v>
      </c>
      <c r="G48" s="9121" t="s">
        <v>434</v>
      </c>
      <c r="H48" s="9122" t="n">
        <v>7.0</v>
      </c>
      <c r="I48" s="9123" t="s">
        <v>434</v>
      </c>
      <c r="J48" s="9124" t="s">
        <v>897</v>
      </c>
      <c r="K48" s="9125" t="s">
        <v>433</v>
      </c>
      <c r="L48" s="9126" t="s">
        <v>433</v>
      </c>
      <c r="M48" s="9127" t="s">
        <v>433</v>
      </c>
      <c r="N48" s="9128" t="s">
        <v>433</v>
      </c>
      <c r="O48" s="9129" t="s">
        <v>831</v>
      </c>
      <c r="P48" s="9130" t="s">
        <v>433</v>
      </c>
    </row>
    <row r="49">
      <c r="A49" s="9131" t="s">
        <v>1000</v>
      </c>
      <c r="B49" s="9132" t="s">
        <v>675</v>
      </c>
      <c r="C49" s="9133" t="s">
        <v>838</v>
      </c>
      <c r="D49" s="9134" t="s">
        <v>435</v>
      </c>
      <c r="E49" s="9135" t="s">
        <v>829</v>
      </c>
      <c r="F49" s="9136" t="n">
        <v>34.0</v>
      </c>
      <c r="G49" s="9137" t="s">
        <v>434</v>
      </c>
      <c r="H49" s="9138" t="n">
        <v>34.0</v>
      </c>
      <c r="I49" s="9139" t="s">
        <v>434</v>
      </c>
      <c r="J49" s="9140" t="s">
        <v>897</v>
      </c>
      <c r="K49" s="9141" t="s">
        <v>433</v>
      </c>
      <c r="L49" s="9142" t="s">
        <v>433</v>
      </c>
      <c r="M49" s="9143" t="s">
        <v>433</v>
      </c>
      <c r="N49" s="9144" t="s">
        <v>433</v>
      </c>
      <c r="O49" s="9145" t="s">
        <v>831</v>
      </c>
      <c r="P49" s="9146" t="s">
        <v>433</v>
      </c>
    </row>
    <row r="50">
      <c r="A50" s="9147" t="s">
        <v>1000</v>
      </c>
      <c r="B50" s="9148" t="s">
        <v>458</v>
      </c>
      <c r="C50" s="9149" t="s">
        <v>828</v>
      </c>
      <c r="D50" s="9150" t="s">
        <v>435</v>
      </c>
      <c r="E50" s="9151" t="s">
        <v>829</v>
      </c>
      <c r="F50" s="9152" t="n">
        <v>14.0</v>
      </c>
      <c r="G50" s="9153" t="s">
        <v>434</v>
      </c>
      <c r="H50" s="9154" t="n">
        <v>14.0</v>
      </c>
      <c r="I50" s="9155" t="s">
        <v>434</v>
      </c>
      <c r="J50" s="9156" t="s">
        <v>897</v>
      </c>
      <c r="K50" s="9157" t="s">
        <v>433</v>
      </c>
      <c r="L50" s="9158" t="s">
        <v>433</v>
      </c>
      <c r="M50" s="9159" t="s">
        <v>433</v>
      </c>
      <c r="N50" s="9160" t="s">
        <v>433</v>
      </c>
      <c r="O50" s="9161" t="s">
        <v>835</v>
      </c>
      <c r="P50" s="9162" t="s">
        <v>433</v>
      </c>
    </row>
    <row r="51">
      <c r="A51" s="9163" t="s">
        <v>1000</v>
      </c>
      <c r="B51" s="9164" t="s">
        <v>676</v>
      </c>
      <c r="C51" s="9165" t="s">
        <v>870</v>
      </c>
      <c r="D51" s="9166" t="s">
        <v>435</v>
      </c>
      <c r="E51" s="9167" t="s">
        <v>829</v>
      </c>
      <c r="F51" s="9168" t="n">
        <v>25.0</v>
      </c>
      <c r="G51" s="9169" t="s">
        <v>434</v>
      </c>
      <c r="H51" s="9170" t="n">
        <v>25.0</v>
      </c>
      <c r="I51" s="9171" t="s">
        <v>434</v>
      </c>
      <c r="J51" s="9172" t="s">
        <v>897</v>
      </c>
      <c r="K51" s="9173" t="s">
        <v>433</v>
      </c>
      <c r="L51" s="9174" t="s">
        <v>433</v>
      </c>
      <c r="M51" s="9175" t="s">
        <v>433</v>
      </c>
      <c r="N51" s="9176" t="s">
        <v>433</v>
      </c>
      <c r="O51" s="9177" t="s">
        <v>833</v>
      </c>
      <c r="P51" s="9178" t="s">
        <v>433</v>
      </c>
    </row>
    <row r="52">
      <c r="A52" s="9179" t="s">
        <v>1000</v>
      </c>
      <c r="B52" s="9180" t="s">
        <v>513</v>
      </c>
      <c r="C52" s="9181" t="s">
        <v>860</v>
      </c>
      <c r="D52" s="9182" t="s">
        <v>435</v>
      </c>
      <c r="E52" s="9183" t="s">
        <v>829</v>
      </c>
      <c r="F52" s="9184" t="n">
        <v>50.0</v>
      </c>
      <c r="G52" s="9185" t="s">
        <v>434</v>
      </c>
      <c r="H52" s="9186" t="n">
        <v>50.0</v>
      </c>
      <c r="I52" s="9187" t="s">
        <v>434</v>
      </c>
      <c r="J52" s="9188" t="s">
        <v>897</v>
      </c>
      <c r="K52" s="9189" t="s">
        <v>677</v>
      </c>
      <c r="L52" s="9190" t="s">
        <v>433</v>
      </c>
      <c r="M52" s="9191" t="s">
        <v>433</v>
      </c>
      <c r="N52" s="9192" t="s">
        <v>433</v>
      </c>
      <c r="O52" s="9193" t="s">
        <v>835</v>
      </c>
      <c r="P52" s="9194" t="s">
        <v>433</v>
      </c>
    </row>
    <row r="53">
      <c r="A53" s="9195" t="s">
        <v>1000</v>
      </c>
      <c r="B53" s="9196" t="s">
        <v>513</v>
      </c>
      <c r="C53" s="9197" t="s">
        <v>860</v>
      </c>
      <c r="D53" s="9198" t="s">
        <v>435</v>
      </c>
      <c r="E53" s="9199" t="s">
        <v>829</v>
      </c>
      <c r="F53" s="9200" t="n">
        <v>15.0</v>
      </c>
      <c r="G53" s="9201" t="s">
        <v>434</v>
      </c>
      <c r="H53" s="9202" t="n">
        <v>15.0</v>
      </c>
      <c r="I53" s="9203" t="s">
        <v>434</v>
      </c>
      <c r="J53" s="9204" t="s">
        <v>897</v>
      </c>
      <c r="K53" s="9205" t="s">
        <v>677</v>
      </c>
      <c r="L53" s="9206" t="s">
        <v>433</v>
      </c>
      <c r="M53" s="9207" t="s">
        <v>433</v>
      </c>
      <c r="N53" s="9208" t="s">
        <v>433</v>
      </c>
      <c r="O53" s="9209" t="s">
        <v>835</v>
      </c>
      <c r="P53" s="9210" t="s">
        <v>433</v>
      </c>
    </row>
    <row r="54">
      <c r="A54" s="9211" t="s">
        <v>1001</v>
      </c>
      <c r="B54" s="9212" t="s">
        <v>456</v>
      </c>
      <c r="C54" s="9213" t="s">
        <v>836</v>
      </c>
      <c r="D54" s="9214" t="s">
        <v>435</v>
      </c>
      <c r="E54" s="9215" t="s">
        <v>829</v>
      </c>
      <c r="F54" s="9216" t="n">
        <v>38.0</v>
      </c>
      <c r="G54" s="9217" t="s">
        <v>434</v>
      </c>
      <c r="H54" s="9218" t="n">
        <v>38.0</v>
      </c>
      <c r="I54" s="9219" t="s">
        <v>434</v>
      </c>
      <c r="J54" s="9220" t="s">
        <v>897</v>
      </c>
      <c r="K54" s="9221" t="s">
        <v>433</v>
      </c>
      <c r="L54" s="9222" t="s">
        <v>433</v>
      </c>
      <c r="M54" s="9223" t="s">
        <v>433</v>
      </c>
      <c r="N54" s="9224" t="s">
        <v>433</v>
      </c>
      <c r="O54" s="9225" t="s">
        <v>833</v>
      </c>
      <c r="P54" s="9226" t="s">
        <v>433</v>
      </c>
    </row>
    <row r="55">
      <c r="A55" s="9227" t="s">
        <v>1001</v>
      </c>
      <c r="B55" s="9228" t="s">
        <v>589</v>
      </c>
      <c r="C55" s="9229" t="s">
        <v>828</v>
      </c>
      <c r="D55" s="9230" t="s">
        <v>435</v>
      </c>
      <c r="E55" s="9231" t="s">
        <v>829</v>
      </c>
      <c r="F55" s="9232" t="n">
        <v>23.3</v>
      </c>
      <c r="G55" s="9233" t="s">
        <v>434</v>
      </c>
      <c r="H55" s="9234" t="n">
        <v>23.3</v>
      </c>
      <c r="I55" s="9235" t="s">
        <v>434</v>
      </c>
      <c r="J55" s="9236" t="s">
        <v>897</v>
      </c>
      <c r="K55" s="9237" t="s">
        <v>433</v>
      </c>
      <c r="L55" s="9238" t="s">
        <v>433</v>
      </c>
      <c r="M55" s="9239" t="s">
        <v>433</v>
      </c>
      <c r="N55" s="9240" t="s">
        <v>433</v>
      </c>
      <c r="O55" s="9241" t="s">
        <v>835</v>
      </c>
      <c r="P55" s="9242" t="s">
        <v>433</v>
      </c>
    </row>
    <row r="56">
      <c r="A56" s="9243" t="s">
        <v>1001</v>
      </c>
      <c r="B56" s="9244" t="s">
        <v>679</v>
      </c>
      <c r="C56" s="9245" t="s">
        <v>1002</v>
      </c>
      <c r="D56" s="9246" t="s">
        <v>435</v>
      </c>
      <c r="E56" s="9247" t="s">
        <v>829</v>
      </c>
      <c r="F56" s="9248" t="n">
        <v>15.0</v>
      </c>
      <c r="G56" s="9249" t="s">
        <v>434</v>
      </c>
      <c r="H56" s="9250" t="n">
        <v>15.0</v>
      </c>
      <c r="I56" s="9251" t="s">
        <v>434</v>
      </c>
      <c r="J56" s="9252" t="s">
        <v>897</v>
      </c>
      <c r="K56" s="9253" t="s">
        <v>433</v>
      </c>
      <c r="L56" s="9254" t="s">
        <v>433</v>
      </c>
      <c r="M56" s="9255" t="s">
        <v>433</v>
      </c>
      <c r="N56" s="9256" t="s">
        <v>433</v>
      </c>
      <c r="O56" s="9257" t="s">
        <v>433</v>
      </c>
      <c r="P56" s="9258" t="s">
        <v>433</v>
      </c>
    </row>
    <row r="57">
      <c r="A57" s="9259" t="s">
        <v>1001</v>
      </c>
      <c r="B57" s="9260" t="s">
        <v>675</v>
      </c>
      <c r="C57" s="9261" t="s">
        <v>838</v>
      </c>
      <c r="D57" s="9262" t="s">
        <v>435</v>
      </c>
      <c r="E57" s="9263" t="s">
        <v>829</v>
      </c>
      <c r="F57" s="9264" t="n">
        <v>7.0</v>
      </c>
      <c r="G57" s="9265" t="s">
        <v>434</v>
      </c>
      <c r="H57" s="9266" t="n">
        <v>7.0</v>
      </c>
      <c r="I57" s="9267" t="s">
        <v>434</v>
      </c>
      <c r="J57" s="9268" t="s">
        <v>897</v>
      </c>
      <c r="K57" s="9269" t="s">
        <v>433</v>
      </c>
      <c r="L57" s="9270" t="s">
        <v>433</v>
      </c>
      <c r="M57" s="9271" t="s">
        <v>433</v>
      </c>
      <c r="N57" s="9272" t="s">
        <v>433</v>
      </c>
      <c r="O57" s="9273" t="s">
        <v>831</v>
      </c>
      <c r="P57" s="9274" t="s">
        <v>433</v>
      </c>
    </row>
    <row r="58">
      <c r="A58" s="9275" t="s">
        <v>1001</v>
      </c>
      <c r="B58" s="9276" t="s">
        <v>432</v>
      </c>
      <c r="C58" s="9277" t="s">
        <v>828</v>
      </c>
      <c r="D58" s="9278" t="s">
        <v>435</v>
      </c>
      <c r="E58" s="9279" t="s">
        <v>829</v>
      </c>
      <c r="F58" s="9280" t="n">
        <v>22.0</v>
      </c>
      <c r="G58" s="9281" t="s">
        <v>434</v>
      </c>
      <c r="H58" s="9282" t="n">
        <v>22.0</v>
      </c>
      <c r="I58" s="9283" t="s">
        <v>434</v>
      </c>
      <c r="J58" s="9284" t="s">
        <v>897</v>
      </c>
      <c r="K58" s="9285" t="s">
        <v>433</v>
      </c>
      <c r="L58" s="9286" t="s">
        <v>433</v>
      </c>
      <c r="M58" s="9287" t="s">
        <v>433</v>
      </c>
      <c r="N58" s="9288" t="s">
        <v>433</v>
      </c>
      <c r="O58" s="9289" t="s">
        <v>831</v>
      </c>
      <c r="P58" s="9290" t="s">
        <v>433</v>
      </c>
    </row>
    <row r="59">
      <c r="A59" s="9291" t="s">
        <v>1001</v>
      </c>
      <c r="B59" s="9292" t="s">
        <v>439</v>
      </c>
      <c r="C59" s="9293" t="s">
        <v>828</v>
      </c>
      <c r="D59" s="9294" t="s">
        <v>435</v>
      </c>
      <c r="E59" s="9295" t="s">
        <v>829</v>
      </c>
      <c r="F59" s="9296" t="n">
        <v>148.18</v>
      </c>
      <c r="G59" s="9297" t="s">
        <v>434</v>
      </c>
      <c r="H59" s="9298" t="n">
        <v>148.18</v>
      </c>
      <c r="I59" s="9299" t="s">
        <v>434</v>
      </c>
      <c r="J59" s="9300" t="s">
        <v>897</v>
      </c>
      <c r="K59" s="9301" t="s">
        <v>433</v>
      </c>
      <c r="L59" s="9302" t="s">
        <v>433</v>
      </c>
      <c r="M59" s="9303" t="s">
        <v>433</v>
      </c>
      <c r="N59" s="9304" t="s">
        <v>433</v>
      </c>
      <c r="O59" s="9305" t="s">
        <v>833</v>
      </c>
      <c r="P59" s="9306" t="s">
        <v>433</v>
      </c>
    </row>
    <row r="60">
      <c r="A60" s="9307" t="s">
        <v>1001</v>
      </c>
      <c r="B60" s="9308" t="s">
        <v>439</v>
      </c>
      <c r="C60" s="9309" t="s">
        <v>828</v>
      </c>
      <c r="D60" s="9310" t="s">
        <v>435</v>
      </c>
      <c r="E60" s="9311" t="s">
        <v>829</v>
      </c>
      <c r="F60" s="9312" t="n">
        <v>115.5</v>
      </c>
      <c r="G60" s="9313" t="s">
        <v>434</v>
      </c>
      <c r="H60" s="9314" t="n">
        <v>115.5</v>
      </c>
      <c r="I60" s="9315" t="s">
        <v>434</v>
      </c>
      <c r="J60" s="9316" t="s">
        <v>897</v>
      </c>
      <c r="K60" s="9317" t="s">
        <v>433</v>
      </c>
      <c r="L60" s="9318" t="s">
        <v>433</v>
      </c>
      <c r="M60" s="9319" t="s">
        <v>433</v>
      </c>
      <c r="N60" s="9320" t="s">
        <v>433</v>
      </c>
      <c r="O60" s="9321" t="s">
        <v>833</v>
      </c>
      <c r="P60" s="9322" t="s">
        <v>433</v>
      </c>
    </row>
    <row r="61">
      <c r="A61" s="9323" t="s">
        <v>1001</v>
      </c>
      <c r="B61" s="9324" t="s">
        <v>439</v>
      </c>
      <c r="C61" s="9325" t="s">
        <v>828</v>
      </c>
      <c r="D61" s="9326" t="s">
        <v>435</v>
      </c>
      <c r="E61" s="9327" t="s">
        <v>829</v>
      </c>
      <c r="F61" s="9328" t="n">
        <v>106.0</v>
      </c>
      <c r="G61" s="9329" t="s">
        <v>434</v>
      </c>
      <c r="H61" s="9330" t="n">
        <v>106.0</v>
      </c>
      <c r="I61" s="9331" t="s">
        <v>434</v>
      </c>
      <c r="J61" s="9332" t="s">
        <v>897</v>
      </c>
      <c r="K61" s="9333" t="s">
        <v>433</v>
      </c>
      <c r="L61" s="9334" t="s">
        <v>433</v>
      </c>
      <c r="M61" s="9335" t="s">
        <v>433</v>
      </c>
      <c r="N61" s="9336" t="s">
        <v>433</v>
      </c>
      <c r="O61" s="9337" t="s">
        <v>833</v>
      </c>
      <c r="P61" s="9338" t="s">
        <v>433</v>
      </c>
    </row>
    <row r="62">
      <c r="A62" s="9339" t="s">
        <v>1001</v>
      </c>
      <c r="B62" s="9340" t="s">
        <v>441</v>
      </c>
      <c r="C62" s="9341" t="s">
        <v>836</v>
      </c>
      <c r="D62" s="9342" t="s">
        <v>435</v>
      </c>
      <c r="E62" s="9343" t="s">
        <v>829</v>
      </c>
      <c r="F62" s="9344" t="n">
        <v>15.0</v>
      </c>
      <c r="G62" s="9345" t="s">
        <v>434</v>
      </c>
      <c r="H62" s="9346" t="n">
        <v>15.0</v>
      </c>
      <c r="I62" s="9347" t="s">
        <v>434</v>
      </c>
      <c r="J62" s="9348" t="s">
        <v>897</v>
      </c>
      <c r="K62" s="9349" t="s">
        <v>433</v>
      </c>
      <c r="L62" s="9350" t="s">
        <v>433</v>
      </c>
      <c r="M62" s="9351" t="s">
        <v>433</v>
      </c>
      <c r="N62" s="9352" t="s">
        <v>433</v>
      </c>
      <c r="O62" s="9353" t="s">
        <v>835</v>
      </c>
      <c r="P62" s="9354" t="s">
        <v>433</v>
      </c>
    </row>
    <row r="63">
      <c r="A63" s="9355" t="s">
        <v>1001</v>
      </c>
      <c r="B63" s="9356" t="s">
        <v>442</v>
      </c>
      <c r="C63" s="9357" t="s">
        <v>836</v>
      </c>
      <c r="D63" s="9358" t="s">
        <v>435</v>
      </c>
      <c r="E63" s="9359" t="s">
        <v>829</v>
      </c>
      <c r="F63" s="9360" t="n">
        <v>190.0</v>
      </c>
      <c r="G63" s="9361" t="s">
        <v>434</v>
      </c>
      <c r="H63" s="9362" t="n">
        <v>190.0</v>
      </c>
      <c r="I63" s="9363" t="s">
        <v>434</v>
      </c>
      <c r="J63" s="9364" t="s">
        <v>897</v>
      </c>
      <c r="K63" s="9365" t="s">
        <v>433</v>
      </c>
      <c r="L63" s="9366" t="s">
        <v>433</v>
      </c>
      <c r="M63" s="9367" t="s">
        <v>433</v>
      </c>
      <c r="N63" s="9368" t="s">
        <v>433</v>
      </c>
      <c r="O63" s="9369" t="s">
        <v>833</v>
      </c>
      <c r="P63" s="9370" t="s">
        <v>433</v>
      </c>
    </row>
    <row r="64">
      <c r="A64" s="9371" t="s">
        <v>1003</v>
      </c>
      <c r="B64" s="9372" t="s">
        <v>681</v>
      </c>
      <c r="C64" s="9373" t="s">
        <v>870</v>
      </c>
      <c r="D64" s="9374" t="s">
        <v>435</v>
      </c>
      <c r="E64" s="9375" t="s">
        <v>829</v>
      </c>
      <c r="F64" s="9376" t="n">
        <v>76.7</v>
      </c>
      <c r="G64" s="9377" t="s">
        <v>434</v>
      </c>
      <c r="H64" s="9378" t="n">
        <v>76.7</v>
      </c>
      <c r="I64" s="9379" t="s">
        <v>434</v>
      </c>
      <c r="J64" s="9380" t="s">
        <v>897</v>
      </c>
      <c r="K64" s="9381" t="s">
        <v>433</v>
      </c>
      <c r="L64" s="9382" t="s">
        <v>433</v>
      </c>
      <c r="M64" s="9383" t="s">
        <v>433</v>
      </c>
      <c r="N64" s="9384" t="s">
        <v>433</v>
      </c>
      <c r="O64" s="9385" t="s">
        <v>833</v>
      </c>
      <c r="P64" s="9386" t="s">
        <v>433</v>
      </c>
    </row>
    <row r="65">
      <c r="A65" s="9387" t="s">
        <v>1003</v>
      </c>
      <c r="B65" s="9388" t="s">
        <v>439</v>
      </c>
      <c r="C65" s="9389" t="s">
        <v>828</v>
      </c>
      <c r="D65" s="9390" t="s">
        <v>435</v>
      </c>
      <c r="E65" s="9391" t="s">
        <v>829</v>
      </c>
      <c r="F65" s="9392" t="n">
        <v>117.6</v>
      </c>
      <c r="G65" s="9393" t="s">
        <v>434</v>
      </c>
      <c r="H65" s="9394" t="n">
        <v>117.6</v>
      </c>
      <c r="I65" s="9395" t="s">
        <v>434</v>
      </c>
      <c r="J65" s="9396" t="s">
        <v>897</v>
      </c>
      <c r="K65" s="9397" t="s">
        <v>433</v>
      </c>
      <c r="L65" s="9398" t="s">
        <v>433</v>
      </c>
      <c r="M65" s="9399" t="s">
        <v>433</v>
      </c>
      <c r="N65" s="9400" t="s">
        <v>433</v>
      </c>
      <c r="O65" s="9401" t="s">
        <v>833</v>
      </c>
      <c r="P65" s="9402" t="s">
        <v>433</v>
      </c>
    </row>
    <row r="66">
      <c r="A66" s="9403" t="s">
        <v>1004</v>
      </c>
      <c r="B66" s="9404" t="s">
        <v>684</v>
      </c>
      <c r="C66" s="9405" t="s">
        <v>828</v>
      </c>
      <c r="D66" s="9406" t="s">
        <v>435</v>
      </c>
      <c r="E66" s="9407" t="s">
        <v>829</v>
      </c>
      <c r="F66" s="9408" t="n">
        <v>100.0</v>
      </c>
      <c r="G66" s="9409" t="s">
        <v>434</v>
      </c>
      <c r="H66" s="9410" t="n">
        <v>100.0</v>
      </c>
      <c r="I66" s="9411" t="s">
        <v>434</v>
      </c>
      <c r="J66" s="9412" t="s">
        <v>897</v>
      </c>
      <c r="K66" s="9413" t="s">
        <v>433</v>
      </c>
      <c r="L66" s="9414" t="s">
        <v>433</v>
      </c>
      <c r="M66" s="9415" t="s">
        <v>433</v>
      </c>
      <c r="N66" s="9416" t="s">
        <v>433</v>
      </c>
      <c r="O66" s="9417" t="s">
        <v>831</v>
      </c>
      <c r="P66" s="9418" t="s">
        <v>433</v>
      </c>
    </row>
    <row r="67">
      <c r="A67" s="9419" t="s">
        <v>1004</v>
      </c>
      <c r="B67" s="9420" t="s">
        <v>685</v>
      </c>
      <c r="C67" s="9421" t="s">
        <v>836</v>
      </c>
      <c r="D67" s="9422" t="s">
        <v>435</v>
      </c>
      <c r="E67" s="9423" t="s">
        <v>829</v>
      </c>
      <c r="F67" s="9424" t="n">
        <v>9.0</v>
      </c>
      <c r="G67" s="9425" t="s">
        <v>434</v>
      </c>
      <c r="H67" s="9426" t="n">
        <v>9.0</v>
      </c>
      <c r="I67" s="9427" t="s">
        <v>434</v>
      </c>
      <c r="J67" s="9428" t="s">
        <v>897</v>
      </c>
      <c r="K67" s="9429" t="s">
        <v>433</v>
      </c>
      <c r="L67" s="9430" t="s">
        <v>433</v>
      </c>
      <c r="M67" s="9431" t="s">
        <v>433</v>
      </c>
      <c r="N67" s="9432" t="s">
        <v>433</v>
      </c>
      <c r="O67" s="9433" t="s">
        <v>833</v>
      </c>
      <c r="P67" s="9434" t="s">
        <v>433</v>
      </c>
    </row>
    <row r="68">
      <c r="A68" s="9435" t="s">
        <v>1004</v>
      </c>
      <c r="B68" s="9436" t="s">
        <v>441</v>
      </c>
      <c r="C68" s="9437" t="s">
        <v>836</v>
      </c>
      <c r="D68" s="9438" t="s">
        <v>435</v>
      </c>
      <c r="E68" s="9439" t="s">
        <v>829</v>
      </c>
      <c r="F68" s="9440" t="n">
        <v>24.0</v>
      </c>
      <c r="G68" s="9441" t="s">
        <v>434</v>
      </c>
      <c r="H68" s="9442" t="n">
        <v>24.0</v>
      </c>
      <c r="I68" s="9443" t="s">
        <v>434</v>
      </c>
      <c r="J68" s="9444" t="s">
        <v>897</v>
      </c>
      <c r="K68" s="9445" t="s">
        <v>433</v>
      </c>
      <c r="L68" s="9446" t="s">
        <v>433</v>
      </c>
      <c r="M68" s="9447" t="s">
        <v>433</v>
      </c>
      <c r="N68" s="9448" t="s">
        <v>433</v>
      </c>
      <c r="O68" s="9449" t="s">
        <v>833</v>
      </c>
      <c r="P68" s="9450" t="s">
        <v>433</v>
      </c>
    </row>
    <row r="69">
      <c r="A69" s="9451" t="s">
        <v>1004</v>
      </c>
      <c r="B69" s="9452" t="s">
        <v>439</v>
      </c>
      <c r="C69" s="9453" t="s">
        <v>828</v>
      </c>
      <c r="D69" s="9454" t="s">
        <v>435</v>
      </c>
      <c r="E69" s="9455" t="s">
        <v>829</v>
      </c>
      <c r="F69" s="9456" t="n">
        <v>93.8</v>
      </c>
      <c r="G69" s="9457" t="s">
        <v>434</v>
      </c>
      <c r="H69" s="9458" t="n">
        <v>93.8</v>
      </c>
      <c r="I69" s="9459" t="s">
        <v>434</v>
      </c>
      <c r="J69" s="9460" t="s">
        <v>897</v>
      </c>
      <c r="K69" s="9461" t="s">
        <v>433</v>
      </c>
      <c r="L69" s="9462" t="s">
        <v>433</v>
      </c>
      <c r="M69" s="9463" t="s">
        <v>433</v>
      </c>
      <c r="N69" s="9464" t="s">
        <v>433</v>
      </c>
      <c r="O69" s="9465" t="s">
        <v>833</v>
      </c>
      <c r="P69" s="9466" t="s">
        <v>433</v>
      </c>
    </row>
    <row r="70">
      <c r="A70" s="9467" t="s">
        <v>1005</v>
      </c>
      <c r="B70" s="9468" t="s">
        <v>589</v>
      </c>
      <c r="C70" s="9469" t="s">
        <v>828</v>
      </c>
      <c r="D70" s="9470" t="s">
        <v>435</v>
      </c>
      <c r="E70" s="9471" t="s">
        <v>829</v>
      </c>
      <c r="F70" s="9472" t="n">
        <v>100.0</v>
      </c>
      <c r="G70" s="9473" t="s">
        <v>434</v>
      </c>
      <c r="H70" s="9474" t="n">
        <v>100.0</v>
      </c>
      <c r="I70" s="9475" t="s">
        <v>434</v>
      </c>
      <c r="J70" s="9476" t="s">
        <v>897</v>
      </c>
      <c r="K70" s="9477" t="s">
        <v>433</v>
      </c>
      <c r="L70" s="9478" t="s">
        <v>433</v>
      </c>
      <c r="M70" s="9479" t="s">
        <v>433</v>
      </c>
      <c r="N70" s="9480" t="s">
        <v>433</v>
      </c>
      <c r="O70" s="9481" t="s">
        <v>835</v>
      </c>
      <c r="P70" s="9482" t="s">
        <v>433</v>
      </c>
    </row>
    <row r="71">
      <c r="A71" s="9483" t="s">
        <v>1005</v>
      </c>
      <c r="B71" s="9484" t="s">
        <v>688</v>
      </c>
      <c r="C71" s="9485" t="s">
        <v>838</v>
      </c>
      <c r="D71" s="9486" t="s">
        <v>435</v>
      </c>
      <c r="E71" s="9487" t="s">
        <v>829</v>
      </c>
      <c r="F71" s="9488" t="n">
        <v>157.58</v>
      </c>
      <c r="G71" s="9489" t="s">
        <v>434</v>
      </c>
      <c r="H71" s="9490" t="n">
        <v>157.58</v>
      </c>
      <c r="I71" s="9491" t="s">
        <v>434</v>
      </c>
      <c r="J71" s="9492" t="s">
        <v>897</v>
      </c>
      <c r="K71" s="9493" t="s">
        <v>433</v>
      </c>
      <c r="L71" s="9494" t="s">
        <v>433</v>
      </c>
      <c r="M71" s="9495" t="s">
        <v>433</v>
      </c>
      <c r="N71" s="9496" t="s">
        <v>433</v>
      </c>
      <c r="O71" s="9497" t="s">
        <v>433</v>
      </c>
      <c r="P71" s="9498" t="s">
        <v>433</v>
      </c>
    </row>
    <row r="72">
      <c r="A72" s="9499" t="s">
        <v>1005</v>
      </c>
      <c r="B72" s="9500" t="s">
        <v>439</v>
      </c>
      <c r="C72" s="9501" t="s">
        <v>828</v>
      </c>
      <c r="D72" s="9502" t="s">
        <v>435</v>
      </c>
      <c r="E72" s="9503" t="s">
        <v>829</v>
      </c>
      <c r="F72" s="9504" t="n">
        <v>52.4</v>
      </c>
      <c r="G72" s="9505" t="s">
        <v>434</v>
      </c>
      <c r="H72" s="9506" t="n">
        <v>52.4</v>
      </c>
      <c r="I72" s="9507" t="s">
        <v>434</v>
      </c>
      <c r="J72" s="9508" t="s">
        <v>897</v>
      </c>
      <c r="K72" s="9509" t="s">
        <v>433</v>
      </c>
      <c r="L72" s="9510" t="s">
        <v>433</v>
      </c>
      <c r="M72" s="9511" t="s">
        <v>433</v>
      </c>
      <c r="N72" s="9512" t="s">
        <v>433</v>
      </c>
      <c r="O72" s="9513" t="s">
        <v>833</v>
      </c>
      <c r="P72" s="9514" t="s">
        <v>433</v>
      </c>
    </row>
    <row r="73">
      <c r="A73" s="9515" t="s">
        <v>1005</v>
      </c>
      <c r="B73" s="9516" t="s">
        <v>439</v>
      </c>
      <c r="C73" s="9517" t="s">
        <v>828</v>
      </c>
      <c r="D73" s="9518" t="s">
        <v>435</v>
      </c>
      <c r="E73" s="9519" t="s">
        <v>829</v>
      </c>
      <c r="F73" s="9520" t="n">
        <v>129.2</v>
      </c>
      <c r="G73" s="9521" t="s">
        <v>434</v>
      </c>
      <c r="H73" s="9522" t="n">
        <v>129.2</v>
      </c>
      <c r="I73" s="9523" t="s">
        <v>434</v>
      </c>
      <c r="J73" s="9524" t="s">
        <v>897</v>
      </c>
      <c r="K73" s="9525" t="s">
        <v>433</v>
      </c>
      <c r="L73" s="9526" t="s">
        <v>433</v>
      </c>
      <c r="M73" s="9527" t="s">
        <v>433</v>
      </c>
      <c r="N73" s="9528" t="s">
        <v>433</v>
      </c>
      <c r="O73" s="9529" t="s">
        <v>833</v>
      </c>
      <c r="P73" s="9530" t="s">
        <v>433</v>
      </c>
    </row>
    <row r="74">
      <c r="A74" s="9531" t="s">
        <v>1005</v>
      </c>
      <c r="B74" s="9532" t="s">
        <v>442</v>
      </c>
      <c r="C74" s="9533" t="s">
        <v>836</v>
      </c>
      <c r="D74" s="9534" t="s">
        <v>435</v>
      </c>
      <c r="E74" s="9535" t="s">
        <v>829</v>
      </c>
      <c r="F74" s="9536" t="n">
        <v>190.0</v>
      </c>
      <c r="G74" s="9537" t="s">
        <v>434</v>
      </c>
      <c r="H74" s="9538" t="n">
        <v>190.0</v>
      </c>
      <c r="I74" s="9539" t="s">
        <v>434</v>
      </c>
      <c r="J74" s="9540" t="s">
        <v>897</v>
      </c>
      <c r="K74" s="9541" t="s">
        <v>433</v>
      </c>
      <c r="L74" s="9542" t="s">
        <v>433</v>
      </c>
      <c r="M74" s="9543" t="s">
        <v>433</v>
      </c>
      <c r="N74" s="9544" t="s">
        <v>433</v>
      </c>
      <c r="O74" s="9545" t="s">
        <v>833</v>
      </c>
      <c r="P74" s="9546" t="s">
        <v>433</v>
      </c>
    </row>
    <row r="75">
      <c r="A75" s="9547" t="s">
        <v>1005</v>
      </c>
      <c r="B75" s="9548" t="s">
        <v>438</v>
      </c>
      <c r="C75" s="9549" t="s">
        <v>834</v>
      </c>
      <c r="D75" s="9550" t="s">
        <v>435</v>
      </c>
      <c r="E75" s="9551" t="s">
        <v>829</v>
      </c>
      <c r="F75" s="9552" t="n">
        <v>69.0</v>
      </c>
      <c r="G75" s="9553" t="s">
        <v>434</v>
      </c>
      <c r="H75" s="9554" t="n">
        <v>69.0</v>
      </c>
      <c r="I75" s="9555" t="s">
        <v>434</v>
      </c>
      <c r="J75" s="9556" t="s">
        <v>897</v>
      </c>
      <c r="K75" s="9557" t="s">
        <v>433</v>
      </c>
      <c r="L75" s="9558" t="s">
        <v>433</v>
      </c>
      <c r="M75" s="9559" t="s">
        <v>433</v>
      </c>
      <c r="N75" s="9560" t="s">
        <v>433</v>
      </c>
      <c r="O75" s="9561" t="s">
        <v>835</v>
      </c>
      <c r="P75" s="9562" t="s">
        <v>433</v>
      </c>
    </row>
    <row r="76">
      <c r="A76" s="9563" t="s">
        <v>1006</v>
      </c>
      <c r="B76" s="9564" t="s">
        <v>525</v>
      </c>
      <c r="C76" s="9565" t="s">
        <v>841</v>
      </c>
      <c r="D76" s="9566" t="s">
        <v>435</v>
      </c>
      <c r="E76" s="9567" t="s">
        <v>829</v>
      </c>
      <c r="F76" s="9568" t="n">
        <v>55.8</v>
      </c>
      <c r="G76" s="9569" t="s">
        <v>434</v>
      </c>
      <c r="H76" s="9570" t="n">
        <v>55.8</v>
      </c>
      <c r="I76" s="9571" t="s">
        <v>434</v>
      </c>
      <c r="J76" s="9572" t="s">
        <v>897</v>
      </c>
      <c r="K76" s="9573" t="s">
        <v>433</v>
      </c>
      <c r="L76" s="9574" t="s">
        <v>433</v>
      </c>
      <c r="M76" s="9575" t="s">
        <v>433</v>
      </c>
      <c r="N76" s="9576" t="s">
        <v>433</v>
      </c>
      <c r="O76" s="9577" t="s">
        <v>433</v>
      </c>
      <c r="P76" s="9578" t="s">
        <v>433</v>
      </c>
    </row>
    <row r="77">
      <c r="A77" s="9579" t="s">
        <v>1006</v>
      </c>
      <c r="B77" s="9580" t="s">
        <v>432</v>
      </c>
      <c r="C77" s="9581" t="s">
        <v>828</v>
      </c>
      <c r="D77" s="9582" t="s">
        <v>435</v>
      </c>
      <c r="E77" s="9583" t="s">
        <v>829</v>
      </c>
      <c r="F77" s="9584" t="n">
        <v>22.0</v>
      </c>
      <c r="G77" s="9585" t="s">
        <v>434</v>
      </c>
      <c r="H77" s="9586" t="n">
        <v>22.0</v>
      </c>
      <c r="I77" s="9587" t="s">
        <v>434</v>
      </c>
      <c r="J77" s="9588" t="s">
        <v>897</v>
      </c>
      <c r="K77" s="9589" t="s">
        <v>433</v>
      </c>
      <c r="L77" s="9590" t="s">
        <v>433</v>
      </c>
      <c r="M77" s="9591" t="s">
        <v>433</v>
      </c>
      <c r="N77" s="9592" t="s">
        <v>433</v>
      </c>
      <c r="O77" s="9593" t="s">
        <v>831</v>
      </c>
      <c r="P77" s="9594" t="s">
        <v>433</v>
      </c>
    </row>
    <row r="78">
      <c r="A78" s="9595" t="s">
        <v>1006</v>
      </c>
      <c r="B78" s="9596" t="s">
        <v>441</v>
      </c>
      <c r="C78" s="9597" t="s">
        <v>836</v>
      </c>
      <c r="D78" s="9598" t="s">
        <v>435</v>
      </c>
      <c r="E78" s="9599" t="s">
        <v>829</v>
      </c>
      <c r="F78" s="9600" t="n">
        <v>15.0</v>
      </c>
      <c r="G78" s="9601" t="s">
        <v>434</v>
      </c>
      <c r="H78" s="9602" t="n">
        <v>15.0</v>
      </c>
      <c r="I78" s="9603" t="s">
        <v>434</v>
      </c>
      <c r="J78" s="9604" t="s">
        <v>897</v>
      </c>
      <c r="K78" s="9605" t="s">
        <v>433</v>
      </c>
      <c r="L78" s="9606" t="s">
        <v>433</v>
      </c>
      <c r="M78" s="9607" t="s">
        <v>433</v>
      </c>
      <c r="N78" s="9608" t="s">
        <v>433</v>
      </c>
      <c r="O78" s="9609" t="s">
        <v>833</v>
      </c>
      <c r="P78" s="9610" t="s">
        <v>433</v>
      </c>
    </row>
    <row r="79">
      <c r="A79" s="9611" t="s">
        <v>1007</v>
      </c>
      <c r="B79" s="9612" t="s">
        <v>438</v>
      </c>
      <c r="C79" s="9613" t="s">
        <v>834</v>
      </c>
      <c r="D79" s="9614" t="s">
        <v>435</v>
      </c>
      <c r="E79" s="9615" t="s">
        <v>829</v>
      </c>
      <c r="F79" s="9616" t="n">
        <v>16.0</v>
      </c>
      <c r="G79" s="9617" t="s">
        <v>434</v>
      </c>
      <c r="H79" s="9618" t="n">
        <v>16.0</v>
      </c>
      <c r="I79" s="9619" t="s">
        <v>434</v>
      </c>
      <c r="J79" s="9620" t="s">
        <v>897</v>
      </c>
      <c r="K79" s="9621" t="s">
        <v>433</v>
      </c>
      <c r="L79" s="9622" t="s">
        <v>433</v>
      </c>
      <c r="M79" s="9623" t="s">
        <v>433</v>
      </c>
      <c r="N79" s="9624" t="s">
        <v>433</v>
      </c>
      <c r="O79" s="9625" t="s">
        <v>833</v>
      </c>
      <c r="P79" s="9626" t="s">
        <v>433</v>
      </c>
    </row>
    <row r="80">
      <c r="A80" s="9627" t="s">
        <v>1007</v>
      </c>
      <c r="B80" s="9628" t="s">
        <v>441</v>
      </c>
      <c r="C80" s="9629" t="s">
        <v>836</v>
      </c>
      <c r="D80" s="9630" t="s">
        <v>435</v>
      </c>
      <c r="E80" s="9631" t="s">
        <v>829</v>
      </c>
      <c r="F80" s="9632" t="n">
        <v>15.0</v>
      </c>
      <c r="G80" s="9633" t="s">
        <v>434</v>
      </c>
      <c r="H80" s="9634" t="n">
        <v>15.0</v>
      </c>
      <c r="I80" s="9635" t="s">
        <v>434</v>
      </c>
      <c r="J80" s="9636" t="s">
        <v>897</v>
      </c>
      <c r="K80" s="9637" t="s">
        <v>433</v>
      </c>
      <c r="L80" s="9638" t="s">
        <v>433</v>
      </c>
      <c r="M80" s="9639" t="s">
        <v>433</v>
      </c>
      <c r="N80" s="9640" t="s">
        <v>433</v>
      </c>
      <c r="O80" s="9641" t="s">
        <v>835</v>
      </c>
      <c r="P80" s="9642" t="s">
        <v>433</v>
      </c>
    </row>
    <row r="81">
      <c r="A81" s="9643" t="s">
        <v>1007</v>
      </c>
      <c r="B81" s="9644" t="s">
        <v>441</v>
      </c>
      <c r="C81" s="9645" t="s">
        <v>836</v>
      </c>
      <c r="D81" s="9646" t="s">
        <v>435</v>
      </c>
      <c r="E81" s="9647" t="s">
        <v>829</v>
      </c>
      <c r="F81" s="9648" t="n">
        <v>130.0</v>
      </c>
      <c r="G81" s="9649" t="s">
        <v>434</v>
      </c>
      <c r="H81" s="9650" t="n">
        <v>130.0</v>
      </c>
      <c r="I81" s="9651" t="s">
        <v>434</v>
      </c>
      <c r="J81" s="9652" t="s">
        <v>897</v>
      </c>
      <c r="K81" s="9653" t="s">
        <v>433</v>
      </c>
      <c r="L81" s="9654" t="s">
        <v>433</v>
      </c>
      <c r="M81" s="9655" t="s">
        <v>433</v>
      </c>
      <c r="N81" s="9656" t="s">
        <v>433</v>
      </c>
      <c r="O81" s="9657" t="s">
        <v>833</v>
      </c>
      <c r="P81" s="9658" t="s">
        <v>433</v>
      </c>
    </row>
    <row r="82">
      <c r="A82" s="9659" t="s">
        <v>1007</v>
      </c>
      <c r="B82" s="9660" t="s">
        <v>458</v>
      </c>
      <c r="C82" s="9661" t="s">
        <v>828</v>
      </c>
      <c r="D82" s="9662" t="s">
        <v>435</v>
      </c>
      <c r="E82" s="9663" t="s">
        <v>829</v>
      </c>
      <c r="F82" s="9664" t="n">
        <v>9.0</v>
      </c>
      <c r="G82" s="9665" t="s">
        <v>434</v>
      </c>
      <c r="H82" s="9666" t="n">
        <v>9.0</v>
      </c>
      <c r="I82" s="9667" t="s">
        <v>434</v>
      </c>
      <c r="J82" s="9668" t="s">
        <v>897</v>
      </c>
      <c r="K82" s="9669" t="s">
        <v>433</v>
      </c>
      <c r="L82" s="9670" t="s">
        <v>433</v>
      </c>
      <c r="M82" s="9671" t="s">
        <v>433</v>
      </c>
      <c r="N82" s="9672" t="s">
        <v>433</v>
      </c>
      <c r="O82" s="9673" t="s">
        <v>835</v>
      </c>
      <c r="P82" s="9674" t="s">
        <v>433</v>
      </c>
    </row>
    <row r="83">
      <c r="A83" s="9675" t="s">
        <v>1007</v>
      </c>
      <c r="B83" s="9676" t="s">
        <v>691</v>
      </c>
      <c r="C83" s="9677" t="s">
        <v>843</v>
      </c>
      <c r="D83" s="9678" t="s">
        <v>435</v>
      </c>
      <c r="E83" s="9679" t="s">
        <v>829</v>
      </c>
      <c r="F83" s="9680" t="n">
        <v>15.0</v>
      </c>
      <c r="G83" s="9681" t="s">
        <v>434</v>
      </c>
      <c r="H83" s="9682" t="n">
        <v>15.0</v>
      </c>
      <c r="I83" s="9683" t="s">
        <v>434</v>
      </c>
      <c r="J83" s="9684" t="s">
        <v>897</v>
      </c>
      <c r="K83" s="9685" t="s">
        <v>433</v>
      </c>
      <c r="L83" s="9686" t="s">
        <v>433</v>
      </c>
      <c r="M83" s="9687" t="s">
        <v>433</v>
      </c>
      <c r="N83" s="9688" t="s">
        <v>433</v>
      </c>
      <c r="O83" s="9689" t="s">
        <v>433</v>
      </c>
      <c r="P83" s="9690" t="s">
        <v>433</v>
      </c>
    </row>
    <row r="84">
      <c r="A84" s="9691" t="s">
        <v>1008</v>
      </c>
      <c r="B84" s="9692" t="s">
        <v>537</v>
      </c>
      <c r="C84" s="9693" t="s">
        <v>836</v>
      </c>
      <c r="D84" s="9694" t="s">
        <v>435</v>
      </c>
      <c r="E84" s="9695" t="s">
        <v>829</v>
      </c>
      <c r="F84" s="9696" t="n">
        <v>120.0</v>
      </c>
      <c r="G84" s="9697" t="s">
        <v>434</v>
      </c>
      <c r="H84" s="9698" t="n">
        <v>120.0</v>
      </c>
      <c r="I84" s="9699" t="s">
        <v>434</v>
      </c>
      <c r="J84" s="9700" t="s">
        <v>897</v>
      </c>
      <c r="K84" s="9701" t="s">
        <v>437</v>
      </c>
      <c r="L84" s="9702" t="s">
        <v>433</v>
      </c>
      <c r="M84" s="9703" t="s">
        <v>433</v>
      </c>
      <c r="N84" s="9704" t="s">
        <v>433</v>
      </c>
      <c r="O84" s="9705" t="s">
        <v>833</v>
      </c>
      <c r="P84" s="9706" t="s">
        <v>433</v>
      </c>
    </row>
    <row r="85">
      <c r="A85" s="9707" t="s">
        <v>1008</v>
      </c>
      <c r="B85" s="9708" t="s">
        <v>693</v>
      </c>
      <c r="C85" s="9709" t="s">
        <v>868</v>
      </c>
      <c r="D85" s="9710" t="s">
        <v>435</v>
      </c>
      <c r="E85" s="9711" t="s">
        <v>829</v>
      </c>
      <c r="F85" s="9712" t="n">
        <v>40.0</v>
      </c>
      <c r="G85" s="9713" t="s">
        <v>434</v>
      </c>
      <c r="H85" s="9714" t="n">
        <v>40.0</v>
      </c>
      <c r="I85" s="9715" t="s">
        <v>434</v>
      </c>
      <c r="J85" s="9716" t="s">
        <v>897</v>
      </c>
      <c r="K85" s="9717" t="s">
        <v>433</v>
      </c>
      <c r="L85" s="9718" t="s">
        <v>433</v>
      </c>
      <c r="M85" s="9719" t="s">
        <v>433</v>
      </c>
      <c r="N85" s="9720" t="s">
        <v>433</v>
      </c>
      <c r="O85" s="9721" t="s">
        <v>833</v>
      </c>
      <c r="P85" s="9722" t="s">
        <v>433</v>
      </c>
    </row>
    <row r="86">
      <c r="A86" s="9723" t="s">
        <v>1008</v>
      </c>
      <c r="B86" s="9724" t="s">
        <v>693</v>
      </c>
      <c r="C86" s="9725" t="s">
        <v>868</v>
      </c>
      <c r="D86" s="9726" t="s">
        <v>435</v>
      </c>
      <c r="E86" s="9727" t="s">
        <v>829</v>
      </c>
      <c r="F86" s="9728" t="n">
        <v>322.0</v>
      </c>
      <c r="G86" s="9729" t="s">
        <v>434</v>
      </c>
      <c r="H86" s="9730" t="n">
        <v>322.0</v>
      </c>
      <c r="I86" s="9731" t="s">
        <v>434</v>
      </c>
      <c r="J86" s="9732" t="s">
        <v>897</v>
      </c>
      <c r="K86" s="9733" t="s">
        <v>433</v>
      </c>
      <c r="L86" s="9734" t="s">
        <v>433</v>
      </c>
      <c r="M86" s="9735" t="s">
        <v>433</v>
      </c>
      <c r="N86" s="9736" t="s">
        <v>433</v>
      </c>
      <c r="O86" s="9737" t="s">
        <v>833</v>
      </c>
      <c r="P86" s="9738" t="s">
        <v>433</v>
      </c>
    </row>
    <row r="87">
      <c r="A87" s="9739" t="s">
        <v>1008</v>
      </c>
      <c r="B87" s="9740" t="s">
        <v>518</v>
      </c>
      <c r="C87" s="9741" t="s">
        <v>860</v>
      </c>
      <c r="D87" s="9742" t="s">
        <v>435</v>
      </c>
      <c r="E87" s="9743" t="s">
        <v>829</v>
      </c>
      <c r="F87" s="9744" t="n">
        <v>550.0</v>
      </c>
      <c r="G87" s="9745" t="s">
        <v>434</v>
      </c>
      <c r="H87" s="9746" t="n">
        <v>550.0</v>
      </c>
      <c r="I87" s="9747" t="s">
        <v>434</v>
      </c>
      <c r="J87" s="9748" t="s">
        <v>897</v>
      </c>
      <c r="K87" s="9749" t="s">
        <v>694</v>
      </c>
      <c r="L87" s="9750" t="s">
        <v>433</v>
      </c>
      <c r="M87" s="9751" t="s">
        <v>433</v>
      </c>
      <c r="N87" s="9752" t="s">
        <v>433</v>
      </c>
      <c r="O87" s="9753" t="s">
        <v>833</v>
      </c>
      <c r="P87" s="9754" t="s">
        <v>433</v>
      </c>
    </row>
    <row r="88">
      <c r="A88" s="9755" t="s">
        <v>1008</v>
      </c>
      <c r="B88" s="9756" t="s">
        <v>439</v>
      </c>
      <c r="C88" s="9757" t="s">
        <v>828</v>
      </c>
      <c r="D88" s="9758" t="s">
        <v>435</v>
      </c>
      <c r="E88" s="9759" t="s">
        <v>829</v>
      </c>
      <c r="F88" s="9760" t="n">
        <v>68.25</v>
      </c>
      <c r="G88" s="9761" t="s">
        <v>434</v>
      </c>
      <c r="H88" s="9762" t="n">
        <v>68.25</v>
      </c>
      <c r="I88" s="9763" t="s">
        <v>434</v>
      </c>
      <c r="J88" s="9764" t="s">
        <v>897</v>
      </c>
      <c r="K88" s="9765" t="s">
        <v>433</v>
      </c>
      <c r="L88" s="9766" t="s">
        <v>433</v>
      </c>
      <c r="M88" s="9767" t="s">
        <v>433</v>
      </c>
      <c r="N88" s="9768" t="s">
        <v>433</v>
      </c>
      <c r="O88" s="9769" t="s">
        <v>833</v>
      </c>
      <c r="P88" s="9770" t="s">
        <v>433</v>
      </c>
    </row>
    <row r="89">
      <c r="A89" s="9771" t="s">
        <v>1008</v>
      </c>
      <c r="B89" s="9772" t="s">
        <v>439</v>
      </c>
      <c r="C89" s="9773" t="s">
        <v>828</v>
      </c>
      <c r="D89" s="9774" t="s">
        <v>435</v>
      </c>
      <c r="E89" s="9775" t="s">
        <v>829</v>
      </c>
      <c r="F89" s="9776" t="n">
        <v>84.42</v>
      </c>
      <c r="G89" s="9777" t="s">
        <v>434</v>
      </c>
      <c r="H89" s="9778" t="n">
        <v>84.42</v>
      </c>
      <c r="I89" s="9779" t="s">
        <v>434</v>
      </c>
      <c r="J89" s="9780" t="s">
        <v>897</v>
      </c>
      <c r="K89" s="9781" t="s">
        <v>433</v>
      </c>
      <c r="L89" s="9782" t="s">
        <v>433</v>
      </c>
      <c r="M89" s="9783" t="s">
        <v>433</v>
      </c>
      <c r="N89" s="9784" t="s">
        <v>433</v>
      </c>
      <c r="O89" s="9785" t="s">
        <v>833</v>
      </c>
      <c r="P89" s="9786" t="s">
        <v>433</v>
      </c>
    </row>
    <row r="90">
      <c r="A90" s="9787" t="s">
        <v>1009</v>
      </c>
      <c r="B90" s="9788" t="s">
        <v>541</v>
      </c>
      <c r="C90" s="9789" t="s">
        <v>841</v>
      </c>
      <c r="D90" s="9790" t="s">
        <v>435</v>
      </c>
      <c r="E90" s="9791" t="s">
        <v>829</v>
      </c>
      <c r="F90" s="9792" t="n">
        <v>216.64</v>
      </c>
      <c r="G90" s="9793" t="s">
        <v>434</v>
      </c>
      <c r="H90" s="9794" t="n">
        <v>216.64</v>
      </c>
      <c r="I90" s="9795" t="s">
        <v>434</v>
      </c>
      <c r="J90" s="9796" t="s">
        <v>897</v>
      </c>
      <c r="K90" s="9797" t="s">
        <v>437</v>
      </c>
      <c r="L90" s="9798" t="s">
        <v>433</v>
      </c>
      <c r="M90" s="9799" t="s">
        <v>433</v>
      </c>
      <c r="N90" s="9800" t="s">
        <v>433</v>
      </c>
      <c r="O90" s="9801" t="s">
        <v>833</v>
      </c>
      <c r="P90" s="9802" t="s">
        <v>433</v>
      </c>
    </row>
    <row r="91">
      <c r="A91" s="9803" t="s">
        <v>1009</v>
      </c>
      <c r="B91" s="9804" t="s">
        <v>432</v>
      </c>
      <c r="C91" s="9805" t="s">
        <v>828</v>
      </c>
      <c r="D91" s="9806" t="s">
        <v>435</v>
      </c>
      <c r="E91" s="9807" t="s">
        <v>829</v>
      </c>
      <c r="F91" s="9808" t="n">
        <v>22.0</v>
      </c>
      <c r="G91" s="9809" t="s">
        <v>434</v>
      </c>
      <c r="H91" s="9810" t="n">
        <v>22.0</v>
      </c>
      <c r="I91" s="9811" t="s">
        <v>434</v>
      </c>
      <c r="J91" s="9812" t="s">
        <v>897</v>
      </c>
      <c r="K91" s="9813" t="s">
        <v>433</v>
      </c>
      <c r="L91" s="9814" t="s">
        <v>433</v>
      </c>
      <c r="M91" s="9815" t="s">
        <v>433</v>
      </c>
      <c r="N91" s="9816" t="s">
        <v>433</v>
      </c>
      <c r="O91" s="9817" t="s">
        <v>831</v>
      </c>
      <c r="P91" s="9818" t="s">
        <v>433</v>
      </c>
    </row>
    <row r="92">
      <c r="A92" s="9819" t="s">
        <v>1009</v>
      </c>
      <c r="B92" s="9820" t="s">
        <v>440</v>
      </c>
      <c r="C92" s="9821" t="s">
        <v>836</v>
      </c>
      <c r="D92" s="9822" t="s">
        <v>435</v>
      </c>
      <c r="E92" s="9823" t="s">
        <v>829</v>
      </c>
      <c r="F92" s="9824" t="n">
        <v>37.5</v>
      </c>
      <c r="G92" s="9825" t="s">
        <v>434</v>
      </c>
      <c r="H92" s="9826" t="n">
        <v>37.5</v>
      </c>
      <c r="I92" s="9827" t="s">
        <v>434</v>
      </c>
      <c r="J92" s="9828" t="s">
        <v>897</v>
      </c>
      <c r="K92" s="9829" t="s">
        <v>433</v>
      </c>
      <c r="L92" s="9830" t="s">
        <v>433</v>
      </c>
      <c r="M92" s="9831" t="s">
        <v>433</v>
      </c>
      <c r="N92" s="9832" t="s">
        <v>433</v>
      </c>
      <c r="O92" s="9833" t="s">
        <v>833</v>
      </c>
      <c r="P92" s="9834" t="s">
        <v>433</v>
      </c>
    </row>
    <row r="93">
      <c r="A93" s="9835" t="s">
        <v>1009</v>
      </c>
      <c r="B93" s="9836" t="s">
        <v>439</v>
      </c>
      <c r="C93" s="9837" t="s">
        <v>828</v>
      </c>
      <c r="D93" s="9838" t="s">
        <v>435</v>
      </c>
      <c r="E93" s="9839" t="s">
        <v>829</v>
      </c>
      <c r="F93" s="9840" t="n">
        <v>166.9</v>
      </c>
      <c r="G93" s="9841" t="s">
        <v>434</v>
      </c>
      <c r="H93" s="9842" t="n">
        <v>166.9</v>
      </c>
      <c r="I93" s="9843" t="s">
        <v>434</v>
      </c>
      <c r="J93" s="9844" t="s">
        <v>897</v>
      </c>
      <c r="K93" s="9845" t="s">
        <v>433</v>
      </c>
      <c r="L93" s="9846" t="s">
        <v>433</v>
      </c>
      <c r="M93" s="9847" t="s">
        <v>433</v>
      </c>
      <c r="N93" s="9848" t="s">
        <v>433</v>
      </c>
      <c r="O93" s="9849" t="s">
        <v>833</v>
      </c>
      <c r="P93" s="9850" t="s">
        <v>433</v>
      </c>
    </row>
    <row r="94">
      <c r="A94" s="9851" t="s">
        <v>1010</v>
      </c>
      <c r="B94" s="9852" t="s">
        <v>442</v>
      </c>
      <c r="C94" s="9853" t="s">
        <v>836</v>
      </c>
      <c r="D94" s="9854" t="s">
        <v>435</v>
      </c>
      <c r="E94" s="9855" t="s">
        <v>829</v>
      </c>
      <c r="F94" s="9856" t="n">
        <v>190.0</v>
      </c>
      <c r="G94" s="9857" t="s">
        <v>434</v>
      </c>
      <c r="H94" s="9858" t="n">
        <v>190.0</v>
      </c>
      <c r="I94" s="9859" t="s">
        <v>434</v>
      </c>
      <c r="J94" s="9860" t="s">
        <v>897</v>
      </c>
      <c r="K94" s="9861" t="s">
        <v>433</v>
      </c>
      <c r="L94" s="9862" t="s">
        <v>433</v>
      </c>
      <c r="M94" s="9863" t="s">
        <v>433</v>
      </c>
      <c r="N94" s="9864" t="s">
        <v>433</v>
      </c>
      <c r="O94" s="9865" t="s">
        <v>833</v>
      </c>
      <c r="P94" s="9866" t="s">
        <v>433</v>
      </c>
    </row>
    <row r="95">
      <c r="A95" s="9867" t="s">
        <v>1010</v>
      </c>
      <c r="B95" s="9868" t="s">
        <v>439</v>
      </c>
      <c r="C95" s="9869" t="s">
        <v>828</v>
      </c>
      <c r="D95" s="9870" t="s">
        <v>435</v>
      </c>
      <c r="E95" s="9871" t="s">
        <v>829</v>
      </c>
      <c r="F95" s="9872" t="n">
        <v>67.28</v>
      </c>
      <c r="G95" s="9873" t="s">
        <v>434</v>
      </c>
      <c r="H95" s="9874" t="n">
        <v>67.28</v>
      </c>
      <c r="I95" s="9875" t="s">
        <v>434</v>
      </c>
      <c r="J95" s="9876" t="s">
        <v>897</v>
      </c>
      <c r="K95" s="9877" t="s">
        <v>433</v>
      </c>
      <c r="L95" s="9878" t="s">
        <v>433</v>
      </c>
      <c r="M95" s="9879" t="s">
        <v>433</v>
      </c>
      <c r="N95" s="9880" t="s">
        <v>433</v>
      </c>
      <c r="O95" s="9881" t="s">
        <v>833</v>
      </c>
      <c r="P95" s="9882" t="s">
        <v>433</v>
      </c>
    </row>
    <row r="96">
      <c r="A96" s="9883" t="s">
        <v>1010</v>
      </c>
      <c r="B96" s="9884" t="s">
        <v>513</v>
      </c>
      <c r="C96" s="9885" t="s">
        <v>860</v>
      </c>
      <c r="D96" s="9886" t="s">
        <v>435</v>
      </c>
      <c r="E96" s="9887" t="s">
        <v>829</v>
      </c>
      <c r="F96" s="9888" t="n">
        <v>20.0</v>
      </c>
      <c r="G96" s="9889" t="s">
        <v>434</v>
      </c>
      <c r="H96" s="9890" t="n">
        <v>20.0</v>
      </c>
      <c r="I96" s="9891" t="s">
        <v>434</v>
      </c>
      <c r="J96" s="9892" t="s">
        <v>897</v>
      </c>
      <c r="K96" s="9893" t="s">
        <v>677</v>
      </c>
      <c r="L96" s="9894" t="s">
        <v>433</v>
      </c>
      <c r="M96" s="9895" t="s">
        <v>433</v>
      </c>
      <c r="N96" s="9896" t="s">
        <v>433</v>
      </c>
      <c r="O96" s="9897" t="s">
        <v>835</v>
      </c>
      <c r="P96" s="9898" t="s">
        <v>433</v>
      </c>
    </row>
    <row r="97">
      <c r="A97" s="9899" t="s">
        <v>1011</v>
      </c>
      <c r="B97" s="9900" t="s">
        <v>543</v>
      </c>
      <c r="C97" s="9901" t="s">
        <v>870</v>
      </c>
      <c r="D97" s="9902" t="s">
        <v>435</v>
      </c>
      <c r="E97" s="9903" t="s">
        <v>829</v>
      </c>
      <c r="F97" s="9904" t="n">
        <v>164.0</v>
      </c>
      <c r="G97" s="9905" t="s">
        <v>434</v>
      </c>
      <c r="H97" s="9906" t="n">
        <v>164.0</v>
      </c>
      <c r="I97" s="9907" t="s">
        <v>434</v>
      </c>
      <c r="J97" s="9908" t="s">
        <v>897</v>
      </c>
      <c r="K97" s="9909" t="s">
        <v>433</v>
      </c>
      <c r="L97" s="9910" t="s">
        <v>433</v>
      </c>
      <c r="M97" s="9911" t="s">
        <v>433</v>
      </c>
      <c r="N97" s="9912" t="s">
        <v>433</v>
      </c>
      <c r="O97" s="9913" t="s">
        <v>833</v>
      </c>
      <c r="P97" s="9914" t="s">
        <v>433</v>
      </c>
    </row>
    <row r="98">
      <c r="A98" s="9915" t="s">
        <v>1011</v>
      </c>
      <c r="B98" s="9916" t="s">
        <v>439</v>
      </c>
      <c r="C98" s="9917" t="s">
        <v>828</v>
      </c>
      <c r="D98" s="9918" t="s">
        <v>435</v>
      </c>
      <c r="E98" s="9919" t="s">
        <v>829</v>
      </c>
      <c r="F98" s="9920" t="n">
        <v>158.68</v>
      </c>
      <c r="G98" s="9921" t="s">
        <v>434</v>
      </c>
      <c r="H98" s="9922" t="n">
        <v>158.68</v>
      </c>
      <c r="I98" s="9923" t="s">
        <v>434</v>
      </c>
      <c r="J98" s="9924" t="s">
        <v>897</v>
      </c>
      <c r="K98" s="9925" t="s">
        <v>433</v>
      </c>
      <c r="L98" s="9926" t="s">
        <v>433</v>
      </c>
      <c r="M98" s="9927" t="s">
        <v>433</v>
      </c>
      <c r="N98" s="9928" t="s">
        <v>433</v>
      </c>
      <c r="O98" s="9929" t="s">
        <v>833</v>
      </c>
      <c r="P98" s="9930" t="s">
        <v>433</v>
      </c>
    </row>
    <row r="99">
      <c r="A99" s="9931" t="s">
        <v>1011</v>
      </c>
      <c r="B99" s="9932" t="s">
        <v>441</v>
      </c>
      <c r="C99" s="9933" t="s">
        <v>836</v>
      </c>
      <c r="D99" s="9934" t="s">
        <v>435</v>
      </c>
      <c r="E99" s="9935" t="s">
        <v>829</v>
      </c>
      <c r="F99" s="9936" t="n">
        <v>24.0</v>
      </c>
      <c r="G99" s="9937" t="s">
        <v>434</v>
      </c>
      <c r="H99" s="9938" t="n">
        <v>24.0</v>
      </c>
      <c r="I99" s="9939" t="s">
        <v>434</v>
      </c>
      <c r="J99" s="9940" t="s">
        <v>897</v>
      </c>
      <c r="K99" s="9941" t="s">
        <v>433</v>
      </c>
      <c r="L99" s="9942" t="s">
        <v>433</v>
      </c>
      <c r="M99" s="9943" t="s">
        <v>433</v>
      </c>
      <c r="N99" s="9944" t="s">
        <v>433</v>
      </c>
      <c r="O99" s="9945" t="s">
        <v>833</v>
      </c>
      <c r="P99" s="9946" t="s">
        <v>433</v>
      </c>
    </row>
    <row r="100">
      <c r="A100" s="9947" t="s">
        <v>1012</v>
      </c>
      <c r="B100" s="9948" t="s">
        <v>525</v>
      </c>
      <c r="C100" s="9949" t="s">
        <v>841</v>
      </c>
      <c r="D100" s="9950" t="s">
        <v>435</v>
      </c>
      <c r="E100" s="9951" t="s">
        <v>829</v>
      </c>
      <c r="F100" s="9952" t="n">
        <v>6.9</v>
      </c>
      <c r="G100" s="9953" t="s">
        <v>434</v>
      </c>
      <c r="H100" s="9954" t="n">
        <v>6.9</v>
      </c>
      <c r="I100" s="9955" t="s">
        <v>434</v>
      </c>
      <c r="J100" s="9956" t="s">
        <v>897</v>
      </c>
      <c r="K100" s="9957" t="s">
        <v>433</v>
      </c>
      <c r="L100" s="9958" t="s">
        <v>433</v>
      </c>
      <c r="M100" s="9959" t="s">
        <v>433</v>
      </c>
      <c r="N100" s="9960" t="s">
        <v>433</v>
      </c>
      <c r="O100" s="9961" t="s">
        <v>433</v>
      </c>
      <c r="P100" s="9962" t="s">
        <v>433</v>
      </c>
    </row>
    <row r="101">
      <c r="A101" s="9963" t="s">
        <v>1012</v>
      </c>
      <c r="B101" s="9964" t="s">
        <v>589</v>
      </c>
      <c r="C101" s="9965" t="s">
        <v>828</v>
      </c>
      <c r="D101" s="9966" t="s">
        <v>435</v>
      </c>
      <c r="E101" s="9967" t="s">
        <v>829</v>
      </c>
      <c r="F101" s="9968" t="n">
        <v>15.2</v>
      </c>
      <c r="G101" s="9969" t="s">
        <v>434</v>
      </c>
      <c r="H101" s="9970" t="n">
        <v>15.2</v>
      </c>
      <c r="I101" s="9971" t="s">
        <v>434</v>
      </c>
      <c r="J101" s="9972" t="s">
        <v>897</v>
      </c>
      <c r="K101" s="9973" t="s">
        <v>433</v>
      </c>
      <c r="L101" s="9974" t="s">
        <v>433</v>
      </c>
      <c r="M101" s="9975" t="s">
        <v>433</v>
      </c>
      <c r="N101" s="9976" t="s">
        <v>433</v>
      </c>
      <c r="O101" s="9977" t="s">
        <v>835</v>
      </c>
      <c r="P101" s="9978" t="s">
        <v>433</v>
      </c>
    </row>
    <row r="102">
      <c r="A102" s="9979" t="s">
        <v>1012</v>
      </c>
      <c r="B102" s="9980" t="s">
        <v>460</v>
      </c>
      <c r="C102" s="9981" t="s">
        <v>841</v>
      </c>
      <c r="D102" s="9982" t="s">
        <v>435</v>
      </c>
      <c r="E102" s="9983" t="s">
        <v>829</v>
      </c>
      <c r="F102" s="9984" t="n">
        <v>149.35</v>
      </c>
      <c r="G102" s="9985" t="s">
        <v>434</v>
      </c>
      <c r="H102" s="9986" t="n">
        <v>149.35</v>
      </c>
      <c r="I102" s="9987" t="s">
        <v>434</v>
      </c>
      <c r="J102" s="9988" t="s">
        <v>897</v>
      </c>
      <c r="K102" s="9989" t="s">
        <v>433</v>
      </c>
      <c r="L102" s="9990" t="s">
        <v>433</v>
      </c>
      <c r="M102" s="9991" t="s">
        <v>433</v>
      </c>
      <c r="N102" s="9992" t="s">
        <v>433</v>
      </c>
      <c r="O102" s="9993" t="s">
        <v>833</v>
      </c>
      <c r="P102" s="9994" t="s">
        <v>433</v>
      </c>
    </row>
    <row r="103">
      <c r="A103" s="9995" t="s">
        <v>1012</v>
      </c>
      <c r="B103" s="9996" t="s">
        <v>439</v>
      </c>
      <c r="C103" s="9997" t="s">
        <v>828</v>
      </c>
      <c r="D103" s="9998" t="s">
        <v>435</v>
      </c>
      <c r="E103" s="9999" t="s">
        <v>829</v>
      </c>
      <c r="F103" s="10000" t="n">
        <v>120.65</v>
      </c>
      <c r="G103" s="10001" t="s">
        <v>434</v>
      </c>
      <c r="H103" s="10002" t="n">
        <v>120.65</v>
      </c>
      <c r="I103" s="10003" t="s">
        <v>434</v>
      </c>
      <c r="J103" s="10004" t="s">
        <v>897</v>
      </c>
      <c r="K103" s="10005" t="s">
        <v>433</v>
      </c>
      <c r="L103" s="10006" t="s">
        <v>433</v>
      </c>
      <c r="M103" s="10007" t="s">
        <v>433</v>
      </c>
      <c r="N103" s="10008" t="s">
        <v>433</v>
      </c>
      <c r="O103" s="10009" t="s">
        <v>833</v>
      </c>
      <c r="P103" s="10010" t="s">
        <v>433</v>
      </c>
    </row>
    <row r="104">
      <c r="A104" s="10011" t="s">
        <v>1012</v>
      </c>
      <c r="B104" s="10012" t="s">
        <v>439</v>
      </c>
      <c r="C104" s="10013" t="s">
        <v>828</v>
      </c>
      <c r="D104" s="10014" t="s">
        <v>435</v>
      </c>
      <c r="E104" s="10015" t="s">
        <v>829</v>
      </c>
      <c r="F104" s="10016" t="n">
        <v>63.32</v>
      </c>
      <c r="G104" s="10017" t="s">
        <v>434</v>
      </c>
      <c r="H104" s="10018" t="n">
        <v>63.32</v>
      </c>
      <c r="I104" s="10019" t="s">
        <v>434</v>
      </c>
      <c r="J104" s="10020" t="s">
        <v>897</v>
      </c>
      <c r="K104" s="10021" t="s">
        <v>433</v>
      </c>
      <c r="L104" s="10022" t="s">
        <v>433</v>
      </c>
      <c r="M104" s="10023" t="s">
        <v>433</v>
      </c>
      <c r="N104" s="10024" t="s">
        <v>433</v>
      </c>
      <c r="O104" s="10025" t="s">
        <v>833</v>
      </c>
      <c r="P104" s="10026" t="s">
        <v>433</v>
      </c>
    </row>
    <row r="105">
      <c r="A105" s="10027" t="s">
        <v>1012</v>
      </c>
      <c r="B105" s="10028" t="s">
        <v>439</v>
      </c>
      <c r="C105" s="10029" t="s">
        <v>828</v>
      </c>
      <c r="D105" s="10030" t="s">
        <v>435</v>
      </c>
      <c r="E105" s="10031" t="s">
        <v>829</v>
      </c>
      <c r="F105" s="10032" t="n">
        <v>78.44</v>
      </c>
      <c r="G105" s="10033" t="s">
        <v>434</v>
      </c>
      <c r="H105" s="10034" t="n">
        <v>78.44</v>
      </c>
      <c r="I105" s="10035" t="s">
        <v>434</v>
      </c>
      <c r="J105" s="10036" t="s">
        <v>897</v>
      </c>
      <c r="K105" s="10037" t="s">
        <v>433</v>
      </c>
      <c r="L105" s="10038" t="s">
        <v>433</v>
      </c>
      <c r="M105" s="10039" t="s">
        <v>433</v>
      </c>
      <c r="N105" s="10040" t="s">
        <v>433</v>
      </c>
      <c r="O105" s="10041" t="s">
        <v>833</v>
      </c>
      <c r="P105" s="10042" t="s">
        <v>433</v>
      </c>
    </row>
    <row r="106">
      <c r="A106" s="10043" t="s">
        <v>1012</v>
      </c>
      <c r="B106" s="10044" t="s">
        <v>441</v>
      </c>
      <c r="C106" s="10045" t="s">
        <v>836</v>
      </c>
      <c r="D106" s="10046" t="s">
        <v>435</v>
      </c>
      <c r="E106" s="10047" t="s">
        <v>829</v>
      </c>
      <c r="F106" s="10048" t="n">
        <v>15.0</v>
      </c>
      <c r="G106" s="10049" t="s">
        <v>434</v>
      </c>
      <c r="H106" s="10050" t="n">
        <v>15.0</v>
      </c>
      <c r="I106" s="10051" t="s">
        <v>434</v>
      </c>
      <c r="J106" s="10052" t="s">
        <v>897</v>
      </c>
      <c r="K106" s="10053" t="s">
        <v>433</v>
      </c>
      <c r="L106" s="10054" t="s">
        <v>433</v>
      </c>
      <c r="M106" s="10055" t="s">
        <v>433</v>
      </c>
      <c r="N106" s="10056" t="s">
        <v>433</v>
      </c>
      <c r="O106" s="10057" t="s">
        <v>835</v>
      </c>
      <c r="P106" s="10058" t="s">
        <v>433</v>
      </c>
    </row>
    <row r="107">
      <c r="A107" s="10059" t="s">
        <v>1013</v>
      </c>
      <c r="B107" s="10060" t="s">
        <v>589</v>
      </c>
      <c r="C107" s="10061" t="s">
        <v>828</v>
      </c>
      <c r="D107" s="10062" t="s">
        <v>435</v>
      </c>
      <c r="E107" s="10063" t="s">
        <v>829</v>
      </c>
      <c r="F107" s="10064" t="n">
        <v>100.0</v>
      </c>
      <c r="G107" s="10065" t="s">
        <v>434</v>
      </c>
      <c r="H107" s="10066" t="n">
        <v>100.0</v>
      </c>
      <c r="I107" s="10067" t="s">
        <v>434</v>
      </c>
      <c r="J107" s="10068" t="s">
        <v>897</v>
      </c>
      <c r="K107" s="10069" t="s">
        <v>433</v>
      </c>
      <c r="L107" s="10070" t="s">
        <v>433</v>
      </c>
      <c r="M107" s="10071" t="s">
        <v>433</v>
      </c>
      <c r="N107" s="10072" t="s">
        <v>433</v>
      </c>
      <c r="O107" s="10073" t="s">
        <v>835</v>
      </c>
      <c r="P107" s="10074" t="s">
        <v>433</v>
      </c>
    </row>
    <row r="108">
      <c r="A108" s="10075" t="s">
        <v>1013</v>
      </c>
      <c r="B108" s="10076" t="s">
        <v>460</v>
      </c>
      <c r="C108" s="10077" t="s">
        <v>841</v>
      </c>
      <c r="D108" s="10078" t="s">
        <v>435</v>
      </c>
      <c r="E108" s="10079" t="s">
        <v>829</v>
      </c>
      <c r="F108" s="10080" t="n">
        <v>343.29</v>
      </c>
      <c r="G108" s="10081" t="s">
        <v>434</v>
      </c>
      <c r="H108" s="10082" t="n">
        <v>343.29</v>
      </c>
      <c r="I108" s="10083" t="s">
        <v>434</v>
      </c>
      <c r="J108" s="10084" t="s">
        <v>897</v>
      </c>
      <c r="K108" s="10085" t="s">
        <v>433</v>
      </c>
      <c r="L108" s="10086" t="s">
        <v>433</v>
      </c>
      <c r="M108" s="10087" t="s">
        <v>433</v>
      </c>
      <c r="N108" s="10088" t="s">
        <v>433</v>
      </c>
      <c r="O108" s="10089" t="s">
        <v>833</v>
      </c>
      <c r="P108" s="10090" t="s">
        <v>433</v>
      </c>
    </row>
    <row r="109">
      <c r="A109" s="10091" t="s">
        <v>1013</v>
      </c>
      <c r="B109" s="10092" t="s">
        <v>627</v>
      </c>
      <c r="C109" s="10093" t="s">
        <v>836</v>
      </c>
      <c r="D109" s="10094" t="s">
        <v>435</v>
      </c>
      <c r="E109" s="10095" t="s">
        <v>829</v>
      </c>
      <c r="F109" s="10096" t="n">
        <v>140.0</v>
      </c>
      <c r="G109" s="10097" t="s">
        <v>434</v>
      </c>
      <c r="H109" s="10098" t="n">
        <v>140.0</v>
      </c>
      <c r="I109" s="10099" t="s">
        <v>434</v>
      </c>
      <c r="J109" s="10100" t="s">
        <v>897</v>
      </c>
      <c r="K109" s="10101" t="s">
        <v>433</v>
      </c>
      <c r="L109" s="10102" t="s">
        <v>433</v>
      </c>
      <c r="M109" s="10103" t="s">
        <v>433</v>
      </c>
      <c r="N109" s="10104" t="s">
        <v>433</v>
      </c>
      <c r="O109" s="10105" t="s">
        <v>833</v>
      </c>
      <c r="P109" s="10106" t="s">
        <v>433</v>
      </c>
    </row>
    <row r="110">
      <c r="A110" s="10107" t="s">
        <v>1013</v>
      </c>
      <c r="B110" s="10108" t="s">
        <v>635</v>
      </c>
      <c r="C110" s="10109" t="s">
        <v>873</v>
      </c>
      <c r="D110" s="10110" t="s">
        <v>435</v>
      </c>
      <c r="E110" s="10111" t="s">
        <v>829</v>
      </c>
      <c r="F110" s="10112" t="n">
        <v>276.0</v>
      </c>
      <c r="G110" s="10113" t="s">
        <v>434</v>
      </c>
      <c r="H110" s="10114" t="n">
        <v>276.0</v>
      </c>
      <c r="I110" s="10115" t="s">
        <v>434</v>
      </c>
      <c r="J110" s="10116" t="s">
        <v>897</v>
      </c>
      <c r="K110" s="10117" t="s">
        <v>437</v>
      </c>
      <c r="L110" s="10118" t="s">
        <v>433</v>
      </c>
      <c r="M110" s="10119" t="s">
        <v>433</v>
      </c>
      <c r="N110" s="10120" t="s">
        <v>433</v>
      </c>
      <c r="O110" s="10121" t="s">
        <v>833</v>
      </c>
      <c r="P110" s="10122" t="s">
        <v>433</v>
      </c>
    </row>
    <row r="111">
      <c r="A111" s="10123" t="s">
        <v>1013</v>
      </c>
      <c r="B111" s="10124" t="s">
        <v>513</v>
      </c>
      <c r="C111" s="10125" t="s">
        <v>860</v>
      </c>
      <c r="D111" s="10126" t="s">
        <v>435</v>
      </c>
      <c r="E111" s="10127" t="s">
        <v>829</v>
      </c>
      <c r="F111" s="10128" t="n">
        <v>177.0</v>
      </c>
      <c r="G111" s="10129" t="s">
        <v>434</v>
      </c>
      <c r="H111" s="10130" t="n">
        <v>177.0</v>
      </c>
      <c r="I111" s="10131" t="s">
        <v>434</v>
      </c>
      <c r="J111" s="10132" t="s">
        <v>897</v>
      </c>
      <c r="K111" s="10133" t="s">
        <v>702</v>
      </c>
      <c r="L111" s="10134" t="s">
        <v>433</v>
      </c>
      <c r="M111" s="10135" t="s">
        <v>433</v>
      </c>
      <c r="N111" s="10136" t="s">
        <v>433</v>
      </c>
      <c r="O111" s="10137" t="s">
        <v>835</v>
      </c>
      <c r="P111" s="10138" t="s">
        <v>433</v>
      </c>
    </row>
    <row r="112">
      <c r="A112" s="10139" t="s">
        <v>1014</v>
      </c>
      <c r="B112" s="10140" t="s">
        <v>439</v>
      </c>
      <c r="C112" s="10141" t="s">
        <v>828</v>
      </c>
      <c r="D112" s="10142" t="s">
        <v>435</v>
      </c>
      <c r="E112" s="10143" t="s">
        <v>829</v>
      </c>
      <c r="F112" s="10144" t="n">
        <v>60.21</v>
      </c>
      <c r="G112" s="10145" t="s">
        <v>434</v>
      </c>
      <c r="H112" s="10146" t="n">
        <v>60.21</v>
      </c>
      <c r="I112" s="10147" t="s">
        <v>434</v>
      </c>
      <c r="J112" s="10148" t="s">
        <v>897</v>
      </c>
      <c r="K112" s="10149" t="s">
        <v>433</v>
      </c>
      <c r="L112" s="10150" t="s">
        <v>433</v>
      </c>
      <c r="M112" s="10151" t="s">
        <v>433</v>
      </c>
      <c r="N112" s="10152" t="s">
        <v>433</v>
      </c>
      <c r="O112" s="10153" t="s">
        <v>833</v>
      </c>
      <c r="P112" s="10154" t="s">
        <v>433</v>
      </c>
    </row>
    <row r="113">
      <c r="A113" s="10155" t="s">
        <v>1014</v>
      </c>
      <c r="B113" s="10156" t="s">
        <v>704</v>
      </c>
      <c r="C113" s="10157" t="s">
        <v>849</v>
      </c>
      <c r="D113" s="10158" t="s">
        <v>435</v>
      </c>
      <c r="E113" s="10159" t="s">
        <v>829</v>
      </c>
      <c r="F113" s="10160" t="n">
        <v>237.9</v>
      </c>
      <c r="G113" s="10161" t="s">
        <v>434</v>
      </c>
      <c r="H113" s="10162" t="n">
        <v>237.9</v>
      </c>
      <c r="I113" s="10163" t="s">
        <v>434</v>
      </c>
      <c r="J113" s="10164" t="s">
        <v>897</v>
      </c>
      <c r="K113" s="10165" t="s">
        <v>433</v>
      </c>
      <c r="L113" s="10166" t="s">
        <v>433</v>
      </c>
      <c r="M113" s="10167" t="s">
        <v>433</v>
      </c>
      <c r="N113" s="10168" t="s">
        <v>433</v>
      </c>
      <c r="O113" s="10169" t="s">
        <v>833</v>
      </c>
      <c r="P113" s="10170" t="s">
        <v>433</v>
      </c>
    </row>
    <row r="114">
      <c r="A114" s="10171" t="s">
        <v>881</v>
      </c>
    </row>
    <row r="115">
      <c r="A115" s="10172" t="s">
        <v>1015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P20"/>
  <sheetViews>
    <sheetView workbookViewId="0" rightToLeft="true"/>
  </sheetViews>
  <sheetFormatPr defaultRowHeight="15.0"/>
  <sheetData>
    <row r="1">
      <c r="A1" s="10173" t="s">
        <v>809</v>
      </c>
      <c r="C1" s="10174" t="s">
        <v>433</v>
      </c>
    </row>
    <row r="2">
      <c r="A2" s="10175" t="s">
        <v>810</v>
      </c>
      <c r="C2" s="10176" t="s">
        <v>433</v>
      </c>
    </row>
    <row r="3">
      <c r="A3" s="10177" t="s">
        <v>985</v>
      </c>
      <c r="C3" s="10178" t="s">
        <v>433</v>
      </c>
    </row>
    <row r="4">
      <c r="A4" s="10179" t="s">
        <v>812</v>
      </c>
      <c r="B4" s="10180" t="s">
        <v>813</v>
      </c>
      <c r="C4" s="10181" t="s">
        <v>814</v>
      </c>
      <c r="D4" s="10182" t="s">
        <v>815</v>
      </c>
      <c r="E4" s="10183" t="s">
        <v>816</v>
      </c>
      <c r="F4" s="10184" t="s">
        <v>817</v>
      </c>
      <c r="G4" s="10185" t="s">
        <v>818</v>
      </c>
      <c r="H4" s="10186" t="s">
        <v>819</v>
      </c>
      <c r="I4" s="10187" t="s">
        <v>820</v>
      </c>
      <c r="J4" s="10188" t="s">
        <v>821</v>
      </c>
      <c r="K4" s="10189" t="s">
        <v>10</v>
      </c>
      <c r="L4" s="10190" t="s">
        <v>822</v>
      </c>
      <c r="M4" s="10191" t="s">
        <v>823</v>
      </c>
      <c r="N4" s="10192" t="s">
        <v>824</v>
      </c>
      <c r="O4" s="10193" t="s">
        <v>825</v>
      </c>
      <c r="P4" s="10194" t="s">
        <v>826</v>
      </c>
    </row>
    <row r="5">
      <c r="A5" s="10195" t="s">
        <v>847</v>
      </c>
      <c r="B5" s="10196" t="s">
        <v>477</v>
      </c>
      <c r="C5" s="10197" t="s">
        <v>845</v>
      </c>
      <c r="D5" s="10198" t="s">
        <v>435</v>
      </c>
      <c r="E5" s="10199" t="s">
        <v>883</v>
      </c>
      <c r="F5" s="10200" t="n">
        <v>-49.9</v>
      </c>
      <c r="G5" s="10201" t="s">
        <v>434</v>
      </c>
      <c r="H5" s="10202" t="n">
        <v>49.9</v>
      </c>
      <c r="I5" s="10203" t="s">
        <v>434</v>
      </c>
      <c r="J5" s="10204" t="s">
        <v>1012</v>
      </c>
      <c r="K5" s="10205" t="s">
        <v>479</v>
      </c>
      <c r="L5" s="10206" t="s">
        <v>433</v>
      </c>
      <c r="M5" s="10207" t="s">
        <v>433</v>
      </c>
      <c r="N5" s="10208" t="s">
        <v>433</v>
      </c>
      <c r="O5" s="10209" t="s">
        <v>835</v>
      </c>
      <c r="P5" s="10210" t="s">
        <v>433</v>
      </c>
    </row>
    <row r="6">
      <c r="A6" s="10211" t="s">
        <v>934</v>
      </c>
      <c r="B6" s="10212" t="s">
        <v>477</v>
      </c>
      <c r="C6" s="10213" t="s">
        <v>845</v>
      </c>
      <c r="D6" s="10214" t="s">
        <v>435</v>
      </c>
      <c r="E6" s="10215" t="s">
        <v>883</v>
      </c>
      <c r="F6" s="10216" t="n">
        <v>-49.9</v>
      </c>
      <c r="G6" s="10217" t="s">
        <v>434</v>
      </c>
      <c r="H6" s="10218" t="n">
        <v>49.9</v>
      </c>
      <c r="I6" s="10219" t="s">
        <v>434</v>
      </c>
      <c r="J6" s="10220" t="s">
        <v>1012</v>
      </c>
      <c r="K6" s="10221" t="s">
        <v>479</v>
      </c>
      <c r="L6" s="10222" t="s">
        <v>433</v>
      </c>
      <c r="M6" s="10223" t="s">
        <v>433</v>
      </c>
      <c r="N6" s="10224" t="s">
        <v>433</v>
      </c>
      <c r="O6" s="10225" t="s">
        <v>835</v>
      </c>
      <c r="P6" s="10226" t="s">
        <v>433</v>
      </c>
    </row>
    <row r="7">
      <c r="A7" s="10227" t="s">
        <v>955</v>
      </c>
      <c r="B7" s="10228" t="s">
        <v>556</v>
      </c>
      <c r="C7" s="10229" t="s">
        <v>836</v>
      </c>
      <c r="D7" s="10230" t="s">
        <v>435</v>
      </c>
      <c r="E7" s="10231" t="s">
        <v>883</v>
      </c>
      <c r="F7" s="10232" t="n">
        <v>45.9</v>
      </c>
      <c r="G7" s="10233" t="s">
        <v>434</v>
      </c>
      <c r="H7" s="10234" t="n">
        <v>45.9</v>
      </c>
      <c r="I7" s="10235" t="s">
        <v>434</v>
      </c>
      <c r="J7" s="10236" t="s">
        <v>988</v>
      </c>
      <c r="K7" s="10237" t="s">
        <v>464</v>
      </c>
      <c r="L7" s="10238" t="s">
        <v>433</v>
      </c>
      <c r="M7" s="10239" t="s">
        <v>433</v>
      </c>
      <c r="N7" s="10240" t="s">
        <v>433</v>
      </c>
      <c r="O7" s="10241" t="s">
        <v>835</v>
      </c>
      <c r="P7" s="10242" t="s">
        <v>433</v>
      </c>
    </row>
    <row r="8">
      <c r="A8" s="10243" t="s">
        <v>987</v>
      </c>
      <c r="B8" s="10244" t="s">
        <v>581</v>
      </c>
      <c r="C8" s="10245" t="s">
        <v>845</v>
      </c>
      <c r="D8" s="10246" t="s">
        <v>435</v>
      </c>
      <c r="E8" s="10247" t="s">
        <v>883</v>
      </c>
      <c r="F8" s="10248" t="n">
        <v>69.9</v>
      </c>
      <c r="G8" s="10249" t="s">
        <v>434</v>
      </c>
      <c r="H8" s="10250" t="n">
        <v>69.9</v>
      </c>
      <c r="I8" s="10251" t="s">
        <v>434</v>
      </c>
      <c r="J8" s="10252" t="s">
        <v>988</v>
      </c>
      <c r="K8" s="10253" t="s">
        <v>464</v>
      </c>
      <c r="L8" s="10254" t="s">
        <v>433</v>
      </c>
      <c r="M8" s="10255" t="s">
        <v>433</v>
      </c>
      <c r="N8" s="10256" t="s">
        <v>433</v>
      </c>
      <c r="O8" s="10257" t="s">
        <v>835</v>
      </c>
      <c r="P8" s="10258" t="s">
        <v>433</v>
      </c>
    </row>
    <row r="9">
      <c r="A9" s="10259" t="s">
        <v>990</v>
      </c>
      <c r="B9" s="10260" t="s">
        <v>658</v>
      </c>
      <c r="C9" s="10261" t="s">
        <v>870</v>
      </c>
      <c r="D9" s="10262" t="s">
        <v>435</v>
      </c>
      <c r="E9" s="10263" t="s">
        <v>883</v>
      </c>
      <c r="F9" s="10264" t="n">
        <v>19.3</v>
      </c>
      <c r="G9" s="10265" t="s">
        <v>434</v>
      </c>
      <c r="H9" s="10266" t="n">
        <v>19.3</v>
      </c>
      <c r="I9" s="10267" t="s">
        <v>434</v>
      </c>
      <c r="J9" s="10268" t="s">
        <v>993</v>
      </c>
      <c r="K9" s="10269" t="s">
        <v>433</v>
      </c>
      <c r="L9" s="10270" t="s">
        <v>433</v>
      </c>
      <c r="M9" s="10271" t="s">
        <v>433</v>
      </c>
      <c r="N9" s="10272" t="s">
        <v>433</v>
      </c>
      <c r="O9" s="10273" t="s">
        <v>835</v>
      </c>
      <c r="P9" s="10274" t="s">
        <v>433</v>
      </c>
    </row>
    <row r="10">
      <c r="A10" s="10275" t="s">
        <v>991</v>
      </c>
      <c r="B10" s="10276" t="s">
        <v>477</v>
      </c>
      <c r="C10" s="10277" t="s">
        <v>845</v>
      </c>
      <c r="D10" s="10278" t="s">
        <v>435</v>
      </c>
      <c r="E10" s="10279" t="s">
        <v>883</v>
      </c>
      <c r="F10" s="10280" t="n">
        <v>49.9</v>
      </c>
      <c r="G10" s="10281" t="s">
        <v>434</v>
      </c>
      <c r="H10" s="10282" t="n">
        <v>49.9</v>
      </c>
      <c r="I10" s="10283" t="s">
        <v>434</v>
      </c>
      <c r="J10" s="10284" t="s">
        <v>993</v>
      </c>
      <c r="K10" s="10285" t="s">
        <v>464</v>
      </c>
      <c r="L10" s="10286" t="s">
        <v>433</v>
      </c>
      <c r="M10" s="10287" t="s">
        <v>433</v>
      </c>
      <c r="N10" s="10288" t="s">
        <v>433</v>
      </c>
      <c r="O10" s="10289" t="s">
        <v>835</v>
      </c>
      <c r="P10" s="10290" t="s">
        <v>433</v>
      </c>
    </row>
    <row r="11">
      <c r="A11" s="10291" t="s">
        <v>991</v>
      </c>
      <c r="B11" s="10292" t="s">
        <v>477</v>
      </c>
      <c r="C11" s="10293" t="s">
        <v>845</v>
      </c>
      <c r="D11" s="10294" t="s">
        <v>435</v>
      </c>
      <c r="E11" s="10295" t="s">
        <v>883</v>
      </c>
      <c r="F11" s="10296" t="n">
        <v>-49.9</v>
      </c>
      <c r="G11" s="10297" t="s">
        <v>434</v>
      </c>
      <c r="H11" s="10298" t="n">
        <v>49.9</v>
      </c>
      <c r="I11" s="10299" t="s">
        <v>434</v>
      </c>
      <c r="J11" s="10300" t="s">
        <v>1012</v>
      </c>
      <c r="K11" s="10301" t="s">
        <v>479</v>
      </c>
      <c r="L11" s="10302" t="s">
        <v>433</v>
      </c>
      <c r="M11" s="10303" t="s">
        <v>433</v>
      </c>
      <c r="N11" s="10304" t="s">
        <v>433</v>
      </c>
      <c r="O11" s="10305" t="s">
        <v>835</v>
      </c>
      <c r="P11" s="10306" t="s">
        <v>433</v>
      </c>
    </row>
    <row r="12">
      <c r="A12" s="10307" t="s">
        <v>992</v>
      </c>
      <c r="B12" s="10308" t="s">
        <v>496</v>
      </c>
      <c r="C12" s="10309" t="s">
        <v>836</v>
      </c>
      <c r="D12" s="10310" t="s">
        <v>435</v>
      </c>
      <c r="E12" s="10311" t="s">
        <v>883</v>
      </c>
      <c r="F12" s="10312" t="n">
        <v>50.0</v>
      </c>
      <c r="G12" s="10313" t="s">
        <v>434</v>
      </c>
      <c r="H12" s="10314" t="n">
        <v>50.0</v>
      </c>
      <c r="I12" s="10315" t="s">
        <v>434</v>
      </c>
      <c r="J12" s="10316" t="s">
        <v>994</v>
      </c>
      <c r="K12" s="10317" t="s">
        <v>464</v>
      </c>
      <c r="L12" s="10318" t="s">
        <v>433</v>
      </c>
      <c r="M12" s="10319" t="s">
        <v>433</v>
      </c>
      <c r="N12" s="10320" t="s">
        <v>433</v>
      </c>
      <c r="O12" s="10321" t="s">
        <v>835</v>
      </c>
      <c r="P12" s="10322" t="s">
        <v>433</v>
      </c>
    </row>
    <row r="13">
      <c r="A13" s="10323" t="s">
        <v>994</v>
      </c>
      <c r="B13" s="10324" t="s">
        <v>658</v>
      </c>
      <c r="C13" s="10325" t="s">
        <v>870</v>
      </c>
      <c r="D13" s="10326" t="s">
        <v>435</v>
      </c>
      <c r="E13" s="10327" t="s">
        <v>883</v>
      </c>
      <c r="F13" s="10328" t="n">
        <v>99.9</v>
      </c>
      <c r="G13" s="10329" t="s">
        <v>434</v>
      </c>
      <c r="H13" s="10330" t="n">
        <v>99.9</v>
      </c>
      <c r="I13" s="10331" t="s">
        <v>434</v>
      </c>
      <c r="J13" s="10332" t="s">
        <v>1000</v>
      </c>
      <c r="K13" s="10333" t="s">
        <v>433</v>
      </c>
      <c r="L13" s="10334" t="s">
        <v>433</v>
      </c>
      <c r="M13" s="10335" t="s">
        <v>433</v>
      </c>
      <c r="N13" s="10336" t="s">
        <v>433</v>
      </c>
      <c r="O13" s="10337" t="s">
        <v>835</v>
      </c>
      <c r="P13" s="10338" t="s">
        <v>433</v>
      </c>
    </row>
    <row r="14">
      <c r="A14" s="10339" t="s">
        <v>997</v>
      </c>
      <c r="B14" s="10340" t="s">
        <v>658</v>
      </c>
      <c r="C14" s="10341" t="s">
        <v>870</v>
      </c>
      <c r="D14" s="10342" t="s">
        <v>435</v>
      </c>
      <c r="E14" s="10343" t="s">
        <v>883</v>
      </c>
      <c r="F14" s="10344" t="n">
        <v>9.0</v>
      </c>
      <c r="G14" s="10345" t="s">
        <v>434</v>
      </c>
      <c r="H14" s="10346" t="n">
        <v>9.0</v>
      </c>
      <c r="I14" s="10347" t="s">
        <v>434</v>
      </c>
      <c r="J14" s="10348" t="s">
        <v>1000</v>
      </c>
      <c r="K14" s="10349" t="s">
        <v>433</v>
      </c>
      <c r="L14" s="10350" t="s">
        <v>433</v>
      </c>
      <c r="M14" s="10351" t="s">
        <v>433</v>
      </c>
      <c r="N14" s="10352" t="s">
        <v>433</v>
      </c>
      <c r="O14" s="10353" t="s">
        <v>835</v>
      </c>
      <c r="P14" s="10354" t="s">
        <v>433</v>
      </c>
    </row>
    <row r="15">
      <c r="A15" s="10355" t="s">
        <v>1001</v>
      </c>
      <c r="B15" s="10356" t="s">
        <v>516</v>
      </c>
      <c r="C15" s="10357" t="s">
        <v>836</v>
      </c>
      <c r="D15" s="10358" t="s">
        <v>435</v>
      </c>
      <c r="E15" s="10359" t="s">
        <v>883</v>
      </c>
      <c r="F15" s="10360" t="n">
        <v>49.9</v>
      </c>
      <c r="G15" s="10361" t="s">
        <v>434</v>
      </c>
      <c r="H15" s="10362" t="n">
        <v>49.9</v>
      </c>
      <c r="I15" s="10363" t="s">
        <v>434</v>
      </c>
      <c r="J15" s="10364" t="s">
        <v>1003</v>
      </c>
      <c r="K15" s="10365" t="s">
        <v>464</v>
      </c>
      <c r="L15" s="10366" t="s">
        <v>433</v>
      </c>
      <c r="M15" s="10367" t="s">
        <v>433</v>
      </c>
      <c r="N15" s="10368" t="s">
        <v>433</v>
      </c>
      <c r="O15" s="10369" t="s">
        <v>835</v>
      </c>
      <c r="P15" s="10370" t="s">
        <v>433</v>
      </c>
    </row>
    <row r="16">
      <c r="A16" s="10371" t="s">
        <v>1003</v>
      </c>
      <c r="B16" s="10372" t="s">
        <v>682</v>
      </c>
      <c r="C16" s="10373" t="s">
        <v>836</v>
      </c>
      <c r="D16" s="10374" t="s">
        <v>435</v>
      </c>
      <c r="E16" s="10375" t="s">
        <v>883</v>
      </c>
      <c r="F16" s="10376" t="n">
        <v>3.9</v>
      </c>
      <c r="G16" s="10377" t="s">
        <v>434</v>
      </c>
      <c r="H16" s="10378" t="n">
        <v>3.9</v>
      </c>
      <c r="I16" s="10379" t="s">
        <v>434</v>
      </c>
      <c r="J16" s="10380" t="s">
        <v>1007</v>
      </c>
      <c r="K16" s="10381" t="s">
        <v>464</v>
      </c>
      <c r="L16" s="10382" t="s">
        <v>433</v>
      </c>
      <c r="M16" s="10383" t="s">
        <v>433</v>
      </c>
      <c r="N16" s="10384" t="s">
        <v>433</v>
      </c>
      <c r="O16" s="10385" t="s">
        <v>835</v>
      </c>
      <c r="P16" s="10386" t="s">
        <v>433</v>
      </c>
    </row>
    <row r="17">
      <c r="A17" s="10387" t="s">
        <v>1004</v>
      </c>
      <c r="B17" s="10388" t="s">
        <v>686</v>
      </c>
      <c r="C17" s="10389" t="s">
        <v>870</v>
      </c>
      <c r="D17" s="10390" t="s">
        <v>435</v>
      </c>
      <c r="E17" s="10391" t="s">
        <v>883</v>
      </c>
      <c r="F17" s="10392" t="n">
        <v>110.1</v>
      </c>
      <c r="G17" s="10393" t="s">
        <v>434</v>
      </c>
      <c r="H17" s="10394" t="n">
        <v>110.1</v>
      </c>
      <c r="I17" s="10395" t="s">
        <v>434</v>
      </c>
      <c r="J17" s="10396" t="s">
        <v>1007</v>
      </c>
      <c r="K17" s="10397" t="s">
        <v>464</v>
      </c>
      <c r="L17" s="10398" t="s">
        <v>433</v>
      </c>
      <c r="M17" s="10399" t="s">
        <v>433</v>
      </c>
      <c r="N17" s="10400" t="s">
        <v>433</v>
      </c>
      <c r="O17" s="10401" t="s">
        <v>835</v>
      </c>
      <c r="P17" s="10402" t="s">
        <v>433</v>
      </c>
    </row>
    <row r="18">
      <c r="A18" s="10403" t="s">
        <v>1010</v>
      </c>
      <c r="B18" s="10404" t="s">
        <v>697</v>
      </c>
      <c r="C18" s="10405" t="s">
        <v>836</v>
      </c>
      <c r="D18" s="10406" t="s">
        <v>435</v>
      </c>
      <c r="E18" s="10407" t="s">
        <v>883</v>
      </c>
      <c r="F18" s="10408" t="n">
        <v>19.26</v>
      </c>
      <c r="G18" s="10409" t="s">
        <v>434</v>
      </c>
      <c r="H18" s="10410" t="n">
        <v>5.99</v>
      </c>
      <c r="I18" s="10411" t="s">
        <v>1016</v>
      </c>
      <c r="J18" s="10412" t="s">
        <v>1014</v>
      </c>
      <c r="K18" s="10413" t="s">
        <v>433</v>
      </c>
      <c r="L18" s="10414" t="s">
        <v>433</v>
      </c>
      <c r="M18" s="10415" t="s">
        <v>433</v>
      </c>
      <c r="N18" s="10416" t="s">
        <v>433</v>
      </c>
      <c r="O18" s="10417" t="s">
        <v>835</v>
      </c>
      <c r="P18" s="10418" t="s">
        <v>1017</v>
      </c>
    </row>
    <row r="19">
      <c r="A19" s="10419" t="s">
        <v>881</v>
      </c>
    </row>
    <row r="20">
      <c r="A20" s="10420" t="s">
        <v>1018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J32"/>
  <sheetViews>
    <sheetView workbookViewId="0" rightToLeft="true"/>
  </sheetViews>
  <sheetFormatPr defaultRowHeight="15.0"/>
  <sheetData>
    <row r="1">
      <c r="A1" s="10421" t="s">
        <v>959</v>
      </c>
    </row>
    <row r="2">
      <c r="A2" s="10422" t="s">
        <v>960</v>
      </c>
    </row>
    <row r="3">
      <c r="A3" s="10423" t="s">
        <v>8</v>
      </c>
      <c r="B3" s="10424" t="s">
        <v>961</v>
      </c>
      <c r="C3" s="10425" t="s">
        <v>962</v>
      </c>
      <c r="D3" s="10426" t="s">
        <v>963</v>
      </c>
      <c r="E3" s="10427" t="s">
        <v>964</v>
      </c>
      <c r="F3" s="10428" t="s">
        <v>965</v>
      </c>
      <c r="G3" s="10429" t="s">
        <v>966</v>
      </c>
      <c r="H3" s="10430" t="s">
        <v>967</v>
      </c>
      <c r="I3" s="10431" t="s">
        <v>968</v>
      </c>
      <c r="J3" s="10432" t="s">
        <v>969</v>
      </c>
    </row>
    <row r="4">
      <c r="A4" s="10433" t="n">
        <v>46077.0</v>
      </c>
      <c r="B4" s="10434" t="s">
        <v>452</v>
      </c>
      <c r="D4" s="10435" t="n">
        <v>3.4685693E7</v>
      </c>
      <c r="E4" s="10436" t="n">
        <v>121.26</v>
      </c>
      <c r="F4" s="10437" t="s">
        <v>433</v>
      </c>
      <c r="G4" s="10438" t="n">
        <v>-2427.69</v>
      </c>
      <c r="H4" s="10439" t="n">
        <v>46077.0</v>
      </c>
    </row>
    <row r="5">
      <c r="A5" s="10440" t="n">
        <v>46075.0</v>
      </c>
      <c r="B5" s="10441" t="s">
        <v>452</v>
      </c>
      <c r="D5" s="10442" t="n">
        <v>3.4685693E7</v>
      </c>
      <c r="E5" s="10443" t="n">
        <v>3.9</v>
      </c>
      <c r="F5" s="10444" t="s">
        <v>433</v>
      </c>
      <c r="G5" s="10445" t="n">
        <v>-2306.43</v>
      </c>
      <c r="H5" s="10446" t="n">
        <v>46075.0</v>
      </c>
    </row>
    <row r="6">
      <c r="A6" s="10447" t="n">
        <v>46075.0</v>
      </c>
      <c r="B6" s="10448" t="s">
        <v>465</v>
      </c>
      <c r="C6" s="10449" t="s">
        <v>466</v>
      </c>
      <c r="D6" s="10450" t="n">
        <v>1.078154885089E12</v>
      </c>
      <c r="E6" s="10451" t="s">
        <v>433</v>
      </c>
      <c r="F6" s="10452" t="n">
        <v>60.0</v>
      </c>
      <c r="G6" s="10453" t="n">
        <v>-2302.53</v>
      </c>
      <c r="H6" s="10454" t="n">
        <v>46075.0</v>
      </c>
      <c r="I6" s="10455" t="s">
        <v>975</v>
      </c>
      <c r="J6" s="10456" t="s">
        <v>976</v>
      </c>
    </row>
    <row r="7">
      <c r="A7" s="10457" t="n">
        <v>46073.0</v>
      </c>
      <c r="B7" s="10458" t="s">
        <v>452</v>
      </c>
      <c r="D7" s="10459" t="n">
        <v>3.4685693E7</v>
      </c>
      <c r="E7" s="10460" t="n">
        <v>156.95</v>
      </c>
      <c r="F7" s="10461" t="s">
        <v>433</v>
      </c>
      <c r="G7" s="10462" t="n">
        <v>-2362.53</v>
      </c>
      <c r="H7" s="10463" t="n">
        <v>46073.0</v>
      </c>
    </row>
    <row r="8">
      <c r="A8" s="10464" t="n">
        <v>46073.0</v>
      </c>
      <c r="B8" s="10465" t="s">
        <v>5</v>
      </c>
      <c r="C8" s="10466" t="s">
        <v>490</v>
      </c>
      <c r="D8" s="10467" t="n">
        <v>1.3104088E7</v>
      </c>
      <c r="E8" s="10468" t="s">
        <v>433</v>
      </c>
      <c r="F8" s="10469" t="n">
        <v>115.0</v>
      </c>
      <c r="G8" s="10470" t="n">
        <v>-2205.58</v>
      </c>
      <c r="H8" s="10471" t="n">
        <v>46073.0</v>
      </c>
      <c r="J8" s="10472" t="s">
        <v>974</v>
      </c>
    </row>
    <row r="9">
      <c r="A9" s="10473" t="n">
        <v>46072.0</v>
      </c>
      <c r="B9" s="10474" t="s">
        <v>452</v>
      </c>
      <c r="D9" s="10475" t="n">
        <v>3.4685693E7</v>
      </c>
      <c r="E9" s="10476" t="n">
        <v>49.9</v>
      </c>
      <c r="F9" s="10477" t="s">
        <v>433</v>
      </c>
      <c r="G9" s="10478" t="n">
        <v>-2320.58</v>
      </c>
      <c r="H9" s="10479" t="n">
        <v>46072.0</v>
      </c>
    </row>
    <row r="10">
      <c r="A10" s="10480" t="n">
        <v>46071.0</v>
      </c>
      <c r="B10" s="10481" t="s">
        <v>590</v>
      </c>
      <c r="C10" s="10482" t="s">
        <v>614</v>
      </c>
      <c r="D10" s="10483" t="n">
        <v>9.901133E7</v>
      </c>
      <c r="E10" s="10484" t="s">
        <v>433</v>
      </c>
      <c r="F10" s="10485" t="n">
        <v>100.0</v>
      </c>
      <c r="G10" s="10486" t="n">
        <v>-2270.68</v>
      </c>
      <c r="H10" s="10487" t="n">
        <v>46071.0</v>
      </c>
      <c r="I10" s="10488" t="s">
        <v>1019</v>
      </c>
      <c r="J10" s="10489" t="s">
        <v>1020</v>
      </c>
    </row>
    <row r="11">
      <c r="A11" s="10490" t="n">
        <v>46068.0</v>
      </c>
      <c r="B11" s="10491" t="s">
        <v>452</v>
      </c>
      <c r="D11" s="10492" t="n">
        <v>3.4685693E7</v>
      </c>
      <c r="E11" s="10493" t="n">
        <v>307.9</v>
      </c>
      <c r="F11" s="10494" t="s">
        <v>433</v>
      </c>
      <c r="G11" s="10495" t="n">
        <v>-2370.68</v>
      </c>
      <c r="H11" s="10496" t="n">
        <v>46068.0</v>
      </c>
    </row>
    <row r="12">
      <c r="A12" s="10497" t="n">
        <v>46068.0</v>
      </c>
      <c r="B12" s="10498" t="s">
        <v>506</v>
      </c>
      <c r="D12" s="10499" t="n">
        <v>3500001.0</v>
      </c>
      <c r="E12" s="10500" t="n">
        <v>50.0</v>
      </c>
      <c r="F12" s="10501" t="s">
        <v>433</v>
      </c>
      <c r="G12" s="10502" t="n">
        <v>-2062.78</v>
      </c>
      <c r="H12" s="10503" t="n">
        <v>46068.0</v>
      </c>
    </row>
    <row r="13">
      <c r="A13" s="10504" t="n">
        <v>46065.0</v>
      </c>
      <c r="B13" s="10505" t="s">
        <v>497</v>
      </c>
      <c r="C13" s="10506" t="s">
        <v>490</v>
      </c>
      <c r="D13" s="10507" t="n">
        <v>6.305108E7</v>
      </c>
      <c r="E13" s="10508" t="s">
        <v>433</v>
      </c>
      <c r="F13" s="10509" t="n">
        <v>1062.0</v>
      </c>
      <c r="G13" s="10510" t="n">
        <v>-2012.78</v>
      </c>
      <c r="H13" s="10511" t="n">
        <v>46065.0</v>
      </c>
      <c r="J13" s="10512" t="s">
        <v>974</v>
      </c>
    </row>
    <row r="14">
      <c r="A14" s="10513" t="n">
        <v>46065.0</v>
      </c>
      <c r="B14" s="10514" t="s">
        <v>590</v>
      </c>
      <c r="C14" s="10515" t="s">
        <v>602</v>
      </c>
      <c r="D14" s="10516" t="n">
        <v>9.901133E7</v>
      </c>
      <c r="E14" s="10517" t="s">
        <v>433</v>
      </c>
      <c r="F14" s="10518" t="n">
        <v>400.0</v>
      </c>
      <c r="G14" s="10519" t="n">
        <v>-3074.78</v>
      </c>
      <c r="H14" s="10520" t="n">
        <v>46065.0</v>
      </c>
      <c r="I14" s="10521" t="s">
        <v>980</v>
      </c>
      <c r="J14" s="10522" t="s">
        <v>1021</v>
      </c>
    </row>
    <row r="15">
      <c r="A15" s="10523" t="n">
        <v>46065.0</v>
      </c>
      <c r="B15" s="10524" t="s">
        <v>603</v>
      </c>
      <c r="D15" s="10525" t="n">
        <v>7068.0</v>
      </c>
      <c r="E15" s="10526" t="s">
        <v>433</v>
      </c>
      <c r="F15" s="10527" t="n">
        <v>36.6</v>
      </c>
      <c r="G15" s="10528" t="n">
        <v>-3474.78</v>
      </c>
      <c r="H15" s="10529" t="n">
        <v>46065.0</v>
      </c>
    </row>
    <row r="16">
      <c r="A16" s="10530" t="n">
        <v>46064.0</v>
      </c>
      <c r="B16" s="10531" t="s">
        <v>599</v>
      </c>
      <c r="C16" s="10532" t="s">
        <v>490</v>
      </c>
      <c r="D16" s="10533" t="n">
        <v>8.9839286E7</v>
      </c>
      <c r="E16" s="10534" t="s">
        <v>433</v>
      </c>
      <c r="F16" s="10535" t="n">
        <v>1328.0</v>
      </c>
      <c r="G16" s="10536" t="n">
        <v>-3511.38</v>
      </c>
      <c r="H16" s="10537" t="n">
        <v>46064.0</v>
      </c>
      <c r="J16" s="10538" t="s">
        <v>974</v>
      </c>
    </row>
    <row r="17">
      <c r="A17" s="10539" t="n">
        <v>46064.0</v>
      </c>
      <c r="B17" s="10540" t="s">
        <v>600</v>
      </c>
      <c r="C17" s="10541" t="s">
        <v>492</v>
      </c>
      <c r="D17" s="10542" t="n">
        <v>9.12544050322E11</v>
      </c>
      <c r="E17" s="10543" t="s">
        <v>433</v>
      </c>
      <c r="F17" s="10544" t="n">
        <v>700.0</v>
      </c>
      <c r="G17" s="10545" t="n">
        <v>-4839.38</v>
      </c>
      <c r="H17" s="10546" t="n">
        <v>46063.0</v>
      </c>
      <c r="I17" s="10547" t="s">
        <v>978</v>
      </c>
      <c r="J17" s="10548" t="s">
        <v>979</v>
      </c>
    </row>
    <row r="18">
      <c r="A18" s="10549" t="n">
        <v>46063.0</v>
      </c>
      <c r="B18" s="10550" t="s">
        <v>489</v>
      </c>
      <c r="C18" s="10551" t="s">
        <v>490</v>
      </c>
      <c r="D18" s="10552" t="n">
        <v>3.0954655E7</v>
      </c>
      <c r="E18" s="10553" t="n">
        <v>416.0</v>
      </c>
      <c r="F18" s="10554" t="s">
        <v>433</v>
      </c>
      <c r="G18" s="10555" t="n">
        <v>-5539.38</v>
      </c>
      <c r="H18" s="10556" t="n">
        <v>46063.0</v>
      </c>
      <c r="J18" s="10557" t="s">
        <v>974</v>
      </c>
    </row>
    <row r="19">
      <c r="A19" s="10558" t="n">
        <v>46063.0</v>
      </c>
      <c r="B19" s="10559" t="s">
        <v>452</v>
      </c>
      <c r="D19" s="10560" t="n">
        <v>3.4685693E7</v>
      </c>
      <c r="E19" s="10561" t="n">
        <v>49.9</v>
      </c>
      <c r="F19" s="10562" t="s">
        <v>433</v>
      </c>
      <c r="G19" s="10563" t="n">
        <v>-5123.38</v>
      </c>
      <c r="H19" s="10564" t="n">
        <v>46063.0</v>
      </c>
    </row>
    <row r="20">
      <c r="A20" s="10565" t="n">
        <v>46063.0</v>
      </c>
      <c r="B20" s="10566" t="s">
        <v>497</v>
      </c>
      <c r="C20" s="10567" t="s">
        <v>490</v>
      </c>
      <c r="D20" s="10568" t="n">
        <v>6.305108E7</v>
      </c>
      <c r="E20" s="10569" t="s">
        <v>433</v>
      </c>
      <c r="F20" s="10570" t="n">
        <v>123.0</v>
      </c>
      <c r="G20" s="10571" t="n">
        <v>-5073.48</v>
      </c>
      <c r="H20" s="10572" t="n">
        <v>46063.0</v>
      </c>
      <c r="J20" s="10573" t="s">
        <v>974</v>
      </c>
    </row>
    <row r="21">
      <c r="A21" s="10574" t="n">
        <v>46062.0</v>
      </c>
      <c r="B21" s="10575" t="s">
        <v>452</v>
      </c>
      <c r="D21" s="10576" t="n">
        <v>3.4685693E7</v>
      </c>
      <c r="E21" s="10577" t="n">
        <v>107.9</v>
      </c>
      <c r="F21" s="10578" t="s">
        <v>433</v>
      </c>
      <c r="G21" s="10579" t="n">
        <v>-5196.48</v>
      </c>
      <c r="H21" s="10580" t="n">
        <v>46062.0</v>
      </c>
    </row>
    <row r="22">
      <c r="A22" s="10581" t="n">
        <v>46061.0</v>
      </c>
      <c r="B22" s="10582" t="s">
        <v>590</v>
      </c>
      <c r="C22" s="10583" t="s">
        <v>591</v>
      </c>
      <c r="D22" s="10584" t="n">
        <v>9.901133E7</v>
      </c>
      <c r="E22" s="10585" t="s">
        <v>433</v>
      </c>
      <c r="F22" s="10586" t="n">
        <v>400.0</v>
      </c>
      <c r="G22" s="10587" t="n">
        <v>-5088.58</v>
      </c>
      <c r="H22" s="10588" t="n">
        <v>46061.0</v>
      </c>
      <c r="I22" s="10589" t="s">
        <v>980</v>
      </c>
      <c r="J22" s="10590" t="s">
        <v>1022</v>
      </c>
    </row>
    <row r="23">
      <c r="A23" s="10591" t="n">
        <v>46058.0</v>
      </c>
      <c r="B23" s="10592" t="s">
        <v>452</v>
      </c>
      <c r="D23" s="10593" t="n">
        <v>3.4685693E7</v>
      </c>
      <c r="E23" s="10594" t="n">
        <v>32.9</v>
      </c>
      <c r="F23" s="10595" t="s">
        <v>433</v>
      </c>
      <c r="G23" s="10596" t="n">
        <v>-5488.58</v>
      </c>
      <c r="H23" s="10597" t="n">
        <v>46058.0</v>
      </c>
    </row>
    <row r="24">
      <c r="A24" s="10598" t="n">
        <v>46057.0</v>
      </c>
      <c r="B24" s="10599" t="s">
        <v>452</v>
      </c>
      <c r="D24" s="10600" t="n">
        <v>3.4685693E7</v>
      </c>
      <c r="E24" s="10601" t="n">
        <v>156.95</v>
      </c>
      <c r="F24" s="10602" t="s">
        <v>433</v>
      </c>
      <c r="G24" s="10603" t="n">
        <v>-5455.68</v>
      </c>
      <c r="H24" s="10604" t="n">
        <v>46057.0</v>
      </c>
    </row>
    <row r="25">
      <c r="A25" s="10605" t="n">
        <v>46055.0</v>
      </c>
      <c r="B25" s="10606" t="s">
        <v>444</v>
      </c>
      <c r="D25" s="10607" t="n">
        <v>6.15563159E8</v>
      </c>
      <c r="E25" s="10608" t="n">
        <v>119.26</v>
      </c>
      <c r="F25" s="10609" t="s">
        <v>433</v>
      </c>
      <c r="G25" s="10610" t="n">
        <v>-5298.73</v>
      </c>
      <c r="H25" s="10611" t="n">
        <v>46055.0</v>
      </c>
    </row>
    <row r="26">
      <c r="A26" s="10612" t="n">
        <v>46055.0</v>
      </c>
      <c r="B26" s="10613" t="s">
        <v>446</v>
      </c>
      <c r="D26" s="10614" t="n">
        <v>6.15563159E8</v>
      </c>
      <c r="E26" s="10615" t="n">
        <v>332.88</v>
      </c>
      <c r="F26" s="10616" t="s">
        <v>433</v>
      </c>
      <c r="G26" s="10617" t="n">
        <v>-5179.47</v>
      </c>
      <c r="H26" s="10618" t="n">
        <v>46055.0</v>
      </c>
    </row>
    <row r="27">
      <c r="A27" s="10619" t="n">
        <v>46055.0</v>
      </c>
      <c r="B27" s="10620" t="s">
        <v>452</v>
      </c>
      <c r="D27" s="10621" t="n">
        <v>3.4685693E7</v>
      </c>
      <c r="E27" s="10622" t="n">
        <v>15325.96</v>
      </c>
      <c r="F27" s="10623" t="s">
        <v>433</v>
      </c>
      <c r="G27" s="10624" t="n">
        <v>-4846.59</v>
      </c>
      <c r="H27" s="10625" t="n">
        <v>46055.0</v>
      </c>
    </row>
    <row r="28">
      <c r="A28" s="10626" t="n">
        <v>46054.0</v>
      </c>
      <c r="B28" s="10627" t="s">
        <v>444</v>
      </c>
      <c r="D28" s="10628" t="n">
        <v>6.15563159E8</v>
      </c>
      <c r="E28" s="10629" t="n">
        <v>97.97</v>
      </c>
      <c r="F28" s="10630" t="s">
        <v>433</v>
      </c>
      <c r="G28" s="10631" t="n">
        <v>10479.37</v>
      </c>
      <c r="H28" s="10632" t="n">
        <v>46054.0</v>
      </c>
    </row>
    <row r="29">
      <c r="A29" s="10633" t="n">
        <v>46054.0</v>
      </c>
      <c r="B29" s="10634" t="s">
        <v>446</v>
      </c>
      <c r="D29" s="10635" t="n">
        <v>6.15563159E8</v>
      </c>
      <c r="E29" s="10636" t="n">
        <v>444.7</v>
      </c>
      <c r="F29" s="10637" t="s">
        <v>433</v>
      </c>
      <c r="G29" s="10638" t="n">
        <v>10577.34</v>
      </c>
      <c r="H29" s="10639" t="n">
        <v>46054.0</v>
      </c>
    </row>
    <row r="30">
      <c r="A30" s="10640" t="n">
        <v>46054.0</v>
      </c>
      <c r="B30" s="10641" t="s">
        <v>452</v>
      </c>
      <c r="D30" s="10642" t="n">
        <v>3.4685693E7</v>
      </c>
      <c r="E30" s="10643" t="n">
        <v>45.9</v>
      </c>
      <c r="F30" s="10644" t="s">
        <v>433</v>
      </c>
      <c r="G30" s="10645" t="n">
        <v>11022.04</v>
      </c>
      <c r="H30" s="10646" t="n">
        <v>46054.0</v>
      </c>
    </row>
    <row r="31">
      <c r="A31" s="10647" t="n">
        <v>46054.0</v>
      </c>
      <c r="B31" s="10648" t="s">
        <v>568</v>
      </c>
      <c r="C31" s="10649" t="s">
        <v>569</v>
      </c>
      <c r="D31" s="10650" t="n">
        <v>8.4891217E7</v>
      </c>
      <c r="E31" s="10651" t="s">
        <v>433</v>
      </c>
      <c r="F31" s="10652" t="n">
        <v>45.0</v>
      </c>
      <c r="G31" s="10653" t="n">
        <v>11067.94</v>
      </c>
      <c r="H31" s="10654" t="n">
        <v>46054.0</v>
      </c>
      <c r="J31" s="10655" t="s">
        <v>1023</v>
      </c>
    </row>
    <row r="32">
      <c r="A32" s="10656" t="n">
        <v>46054.0</v>
      </c>
      <c r="B32" s="10657" t="s">
        <v>547</v>
      </c>
      <c r="C32" s="10658" t="s">
        <v>570</v>
      </c>
      <c r="D32" s="10659" t="n">
        <v>9.901033E7</v>
      </c>
      <c r="E32" s="10660" t="s">
        <v>433</v>
      </c>
      <c r="F32" s="10661" t="n">
        <v>1000.0</v>
      </c>
      <c r="G32" s="10662" t="n">
        <v>11022.94</v>
      </c>
      <c r="H32" s="10663" t="n">
        <v>46054.0</v>
      </c>
      <c r="I32" s="10664" t="s">
        <v>1024</v>
      </c>
      <c r="J32" s="10665" t="s">
        <v>1025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J32"/>
  <sheetViews>
    <sheetView workbookViewId="0" rightToLeft="true"/>
  </sheetViews>
  <sheetFormatPr defaultRowHeight="15.0"/>
  <sheetData>
    <row r="1">
      <c r="A1" s="10666" t="s">
        <v>959</v>
      </c>
    </row>
    <row r="2">
      <c r="A2" s="10667" t="s">
        <v>960</v>
      </c>
    </row>
    <row r="3">
      <c r="A3" s="10668" t="s">
        <v>8</v>
      </c>
      <c r="B3" s="10669" t="s">
        <v>961</v>
      </c>
      <c r="C3" s="10670" t="s">
        <v>962</v>
      </c>
      <c r="D3" s="10671" t="s">
        <v>963</v>
      </c>
      <c r="E3" s="10672" t="s">
        <v>964</v>
      </c>
      <c r="F3" s="10673" t="s">
        <v>965</v>
      </c>
      <c r="G3" s="10674" t="s">
        <v>966</v>
      </c>
      <c r="H3" s="10675" t="s">
        <v>967</v>
      </c>
      <c r="I3" s="10676" t="s">
        <v>968</v>
      </c>
      <c r="J3" s="10677" t="s">
        <v>969</v>
      </c>
    </row>
    <row r="4">
      <c r="A4" s="10678" t="n">
        <v>46142.0</v>
      </c>
      <c r="B4" s="10679" t="s">
        <v>452</v>
      </c>
      <c r="D4" s="10680" t="n">
        <v>3.4685693E7</v>
      </c>
      <c r="E4" s="10681" t="n">
        <v>206.95</v>
      </c>
      <c r="F4" s="10682" t="s">
        <v>433</v>
      </c>
      <c r="G4" s="10683" t="n">
        <v>4566.65</v>
      </c>
      <c r="H4" s="10684" t="n">
        <v>46142.0</v>
      </c>
    </row>
    <row r="5">
      <c r="A5" s="10685" t="n">
        <v>46140.0</v>
      </c>
      <c r="B5" s="10686" t="s">
        <v>444</v>
      </c>
      <c r="D5" s="10687" t="n">
        <v>6.15563159E8</v>
      </c>
      <c r="E5" s="10688" t="n">
        <v>237.74</v>
      </c>
      <c r="F5" s="10689" t="s">
        <v>433</v>
      </c>
      <c r="G5" s="10690" t="n">
        <v>4773.6</v>
      </c>
      <c r="H5" s="10691" t="n">
        <v>46140.0</v>
      </c>
    </row>
    <row r="6">
      <c r="A6" s="10692" t="n">
        <v>46140.0</v>
      </c>
      <c r="B6" s="10693" t="s">
        <v>446</v>
      </c>
      <c r="D6" s="10694" t="n">
        <v>6.15563159E8</v>
      </c>
      <c r="E6" s="10695" t="n">
        <v>371.8</v>
      </c>
      <c r="F6" s="10696" t="s">
        <v>433</v>
      </c>
      <c r="G6" s="10697" t="n">
        <v>5011.34</v>
      </c>
      <c r="H6" s="10698" t="n">
        <v>46140.0</v>
      </c>
    </row>
    <row r="7">
      <c r="A7" s="10699" t="n">
        <v>46140.0</v>
      </c>
      <c r="B7" s="10700" t="s">
        <v>544</v>
      </c>
      <c r="C7" s="10701" t="s">
        <v>545</v>
      </c>
      <c r="D7" s="10702" t="n">
        <v>750588.0</v>
      </c>
      <c r="E7" s="10703" t="n">
        <v>144.01</v>
      </c>
      <c r="F7" s="10704" t="s">
        <v>433</v>
      </c>
      <c r="G7" s="10705" t="n">
        <v>5383.14</v>
      </c>
      <c r="H7" s="10706" t="n">
        <v>46140.0</v>
      </c>
      <c r="J7" s="10707" t="s">
        <v>970</v>
      </c>
    </row>
    <row r="8">
      <c r="A8" s="10708" t="n">
        <v>46140.0</v>
      </c>
      <c r="B8" s="10709" t="s">
        <v>452</v>
      </c>
      <c r="D8" s="10710" t="n">
        <v>3.4685693E7</v>
      </c>
      <c r="E8" s="10711" t="n">
        <v>72.9</v>
      </c>
      <c r="F8" s="10712" t="s">
        <v>433</v>
      </c>
      <c r="G8" s="10713" t="n">
        <v>5527.15</v>
      </c>
      <c r="H8" s="10714" t="n">
        <v>46140.0</v>
      </c>
    </row>
    <row r="9">
      <c r="A9" s="10715" t="n">
        <v>46140.0</v>
      </c>
      <c r="B9" s="10716" t="s">
        <v>549</v>
      </c>
      <c r="C9" s="10717" t="s">
        <v>550</v>
      </c>
      <c r="D9" s="10718" t="n">
        <v>9.900433E7</v>
      </c>
      <c r="E9" s="10719" t="s">
        <v>433</v>
      </c>
      <c r="F9" s="10720" t="n">
        <v>300.0</v>
      </c>
      <c r="G9" s="10721" t="n">
        <v>5600.05</v>
      </c>
      <c r="H9" s="10722" t="n">
        <v>46140.0</v>
      </c>
      <c r="I9" s="10723" t="s">
        <v>972</v>
      </c>
      <c r="J9" s="10724" t="s">
        <v>973</v>
      </c>
    </row>
    <row r="10">
      <c r="A10" s="10725" t="n">
        <v>46135.0</v>
      </c>
      <c r="B10" s="10726" t="s">
        <v>546</v>
      </c>
      <c r="C10" s="10727" t="s">
        <v>490</v>
      </c>
      <c r="D10" s="10728" t="n">
        <v>6.0697083E7</v>
      </c>
      <c r="E10" s="10729" t="s">
        <v>433</v>
      </c>
      <c r="F10" s="10730" t="n">
        <v>3820.0</v>
      </c>
      <c r="G10" s="10731" t="n">
        <v>5300.05</v>
      </c>
      <c r="H10" s="10732" t="n">
        <v>46135.0</v>
      </c>
      <c r="J10" s="10733" t="s">
        <v>974</v>
      </c>
    </row>
    <row r="11">
      <c r="A11" s="10734" t="n">
        <v>46135.0</v>
      </c>
      <c r="B11" s="10735" t="s">
        <v>546</v>
      </c>
      <c r="C11" s="10736" t="s">
        <v>490</v>
      </c>
      <c r="D11" s="10737" t="n">
        <v>6.0697083E7</v>
      </c>
      <c r="E11" s="10738" t="s">
        <v>433</v>
      </c>
      <c r="F11" s="10739" t="n">
        <v>5802.0</v>
      </c>
      <c r="G11" s="10740" t="n">
        <v>1480.05</v>
      </c>
      <c r="H11" s="10741" t="n">
        <v>46135.0</v>
      </c>
      <c r="J11" s="10742" t="s">
        <v>974</v>
      </c>
    </row>
    <row r="12">
      <c r="A12" s="10743" t="n">
        <v>46135.0</v>
      </c>
      <c r="B12" s="10744" t="s">
        <v>465</v>
      </c>
      <c r="C12" s="10745" t="s">
        <v>466</v>
      </c>
      <c r="D12" s="10746" t="n">
        <v>1.07833597714E12</v>
      </c>
      <c r="E12" s="10747" t="s">
        <v>433</v>
      </c>
      <c r="F12" s="10748" t="n">
        <v>500.0</v>
      </c>
      <c r="G12" s="10749" t="n">
        <v>-4321.95</v>
      </c>
      <c r="H12" s="10750" t="n">
        <v>46135.0</v>
      </c>
      <c r="I12" s="10751" t="s">
        <v>975</v>
      </c>
      <c r="J12" s="10752" t="s">
        <v>976</v>
      </c>
    </row>
    <row r="13">
      <c r="A13" s="10753" t="n">
        <v>46133.0</v>
      </c>
      <c r="B13" s="10754" t="s">
        <v>452</v>
      </c>
      <c r="D13" s="10755" t="n">
        <v>3.4685693E7</v>
      </c>
      <c r="E13" s="10756" t="n">
        <v>60.85</v>
      </c>
      <c r="F13" s="10757" t="s">
        <v>433</v>
      </c>
      <c r="G13" s="10758" t="n">
        <v>-4821.95</v>
      </c>
      <c r="H13" s="10759" t="n">
        <v>46133.0</v>
      </c>
    </row>
    <row r="14">
      <c r="A14" s="10760" t="n">
        <v>46132.0</v>
      </c>
      <c r="B14" s="10761" t="s">
        <v>5</v>
      </c>
      <c r="C14" s="10762" t="s">
        <v>490</v>
      </c>
      <c r="D14" s="10763" t="n">
        <v>1.3104088E7</v>
      </c>
      <c r="E14" s="10764" t="s">
        <v>433</v>
      </c>
      <c r="F14" s="10765" t="n">
        <v>115.0</v>
      </c>
      <c r="G14" s="10766" t="n">
        <v>-4761.1</v>
      </c>
      <c r="H14" s="10767" t="n">
        <v>46132.0</v>
      </c>
      <c r="J14" s="10768" t="s">
        <v>974</v>
      </c>
    </row>
    <row r="15">
      <c r="A15" s="10769" t="n">
        <v>46129.0</v>
      </c>
      <c r="B15" s="10770" t="s">
        <v>452</v>
      </c>
      <c r="D15" s="10771" t="n">
        <v>3.4685693E7</v>
      </c>
      <c r="E15" s="10772" t="n">
        <v>56.95</v>
      </c>
      <c r="F15" s="10773" t="s">
        <v>433</v>
      </c>
      <c r="G15" s="10774" t="n">
        <v>-4876.1</v>
      </c>
      <c r="H15" s="10775" t="n">
        <v>46129.0</v>
      </c>
    </row>
    <row r="16">
      <c r="A16" s="10776" t="n">
        <v>46127.0</v>
      </c>
      <c r="B16" s="10777" t="s">
        <v>452</v>
      </c>
      <c r="D16" s="10778" t="n">
        <v>3.4685693E7</v>
      </c>
      <c r="E16" s="10779" t="n">
        <v>9.0</v>
      </c>
      <c r="F16" s="10780" t="s">
        <v>433</v>
      </c>
      <c r="G16" s="10781" t="n">
        <v>-4819.15</v>
      </c>
      <c r="H16" s="10782" t="n">
        <v>46127.0</v>
      </c>
    </row>
    <row r="17">
      <c r="A17" s="10783" t="n">
        <v>46127.0</v>
      </c>
      <c r="B17" s="10784" t="s">
        <v>506</v>
      </c>
      <c r="D17" s="10785" t="n">
        <v>3500001.0</v>
      </c>
      <c r="E17" s="10786" t="n">
        <v>50.0</v>
      </c>
      <c r="F17" s="10787" t="s">
        <v>433</v>
      </c>
      <c r="G17" s="10788" t="n">
        <v>-4810.15</v>
      </c>
      <c r="H17" s="10789" t="n">
        <v>46127.0</v>
      </c>
    </row>
    <row r="18">
      <c r="A18" s="10790" t="n">
        <v>46126.0</v>
      </c>
      <c r="B18" s="10791" t="s">
        <v>452</v>
      </c>
      <c r="D18" s="10792" t="n">
        <v>3.4685693E7</v>
      </c>
      <c r="E18" s="10793" t="n">
        <v>307.9</v>
      </c>
      <c r="F18" s="10794" t="s">
        <v>433</v>
      </c>
      <c r="G18" s="10795" t="n">
        <v>-4760.15</v>
      </c>
      <c r="H18" s="10796" t="n">
        <v>46126.0</v>
      </c>
    </row>
    <row r="19">
      <c r="A19" s="10797" t="n">
        <v>46124.0</v>
      </c>
      <c r="B19" s="10798" t="s">
        <v>739</v>
      </c>
      <c r="C19" s="10799" t="s">
        <v>492</v>
      </c>
      <c r="D19" s="10800" t="n">
        <v>9.12544050322E11</v>
      </c>
      <c r="E19" s="10801" t="s">
        <v>433</v>
      </c>
      <c r="F19" s="10802" t="n">
        <v>700.0</v>
      </c>
      <c r="G19" s="10803" t="n">
        <v>-4452.25</v>
      </c>
      <c r="H19" s="10804" t="n">
        <v>46122.0</v>
      </c>
      <c r="I19" s="10805" t="s">
        <v>978</v>
      </c>
      <c r="J19" s="10806" t="s">
        <v>979</v>
      </c>
    </row>
    <row r="20">
      <c r="A20" s="10807" t="n">
        <v>46122.0</v>
      </c>
      <c r="B20" s="10808" t="s">
        <v>489</v>
      </c>
      <c r="C20" s="10809" t="s">
        <v>490</v>
      </c>
      <c r="D20" s="10810" t="n">
        <v>3.0954655E7</v>
      </c>
      <c r="E20" s="10811" t="n">
        <v>416.0</v>
      </c>
      <c r="F20" s="10812" t="s">
        <v>433</v>
      </c>
      <c r="G20" s="10813" t="n">
        <v>-5152.25</v>
      </c>
      <c r="H20" s="10814" t="n">
        <v>46122.0</v>
      </c>
      <c r="J20" s="10815" t="s">
        <v>974</v>
      </c>
    </row>
    <row r="21">
      <c r="A21" s="10816" t="n">
        <v>46122.0</v>
      </c>
      <c r="B21" s="10817" t="s">
        <v>453</v>
      </c>
      <c r="D21" s="10818" t="n">
        <v>71729.0</v>
      </c>
      <c r="E21" s="10819" t="n">
        <v>100.0</v>
      </c>
      <c r="F21" s="10820" t="s">
        <v>433</v>
      </c>
      <c r="G21" s="10821" t="n">
        <v>-4736.25</v>
      </c>
      <c r="H21" s="10822" t="n">
        <v>46122.0</v>
      </c>
    </row>
    <row r="22">
      <c r="A22" s="10823" t="n">
        <v>46122.0</v>
      </c>
      <c r="B22" s="10824" t="s">
        <v>547</v>
      </c>
      <c r="C22" s="10825" t="s">
        <v>570</v>
      </c>
      <c r="D22" s="10826" t="n">
        <v>9.901033E7</v>
      </c>
      <c r="E22" s="10827" t="s">
        <v>433</v>
      </c>
      <c r="F22" s="10828" t="n">
        <v>300.0</v>
      </c>
      <c r="G22" s="10829" t="n">
        <v>-4636.25</v>
      </c>
      <c r="H22" s="10830" t="n">
        <v>46122.0</v>
      </c>
      <c r="I22" s="10831" t="s">
        <v>1024</v>
      </c>
      <c r="J22" s="10832" t="s">
        <v>1025</v>
      </c>
    </row>
    <row r="23">
      <c r="A23" s="10833" t="n">
        <v>46118.0</v>
      </c>
      <c r="B23" s="10834" t="s">
        <v>452</v>
      </c>
      <c r="D23" s="10835" t="n">
        <v>3.4685693E7</v>
      </c>
      <c r="E23" s="10836" t="n">
        <v>157.9</v>
      </c>
      <c r="F23" s="10837" t="s">
        <v>433</v>
      </c>
      <c r="G23" s="10838" t="n">
        <v>-4936.25</v>
      </c>
      <c r="H23" s="10839" t="n">
        <v>46118.0</v>
      </c>
    </row>
    <row r="24">
      <c r="A24" s="10840" t="n">
        <v>46117.0</v>
      </c>
      <c r="B24" s="10841" t="s">
        <v>452</v>
      </c>
      <c r="D24" s="10842" t="n">
        <v>3.4685693E7</v>
      </c>
      <c r="E24" s="10843" t="n">
        <v>69.9</v>
      </c>
      <c r="F24" s="10844" t="s">
        <v>433</v>
      </c>
      <c r="G24" s="10845" t="n">
        <v>-4778.35</v>
      </c>
      <c r="H24" s="10846" t="n">
        <v>46117.0</v>
      </c>
    </row>
    <row r="25">
      <c r="A25" s="10847" t="n">
        <v>46117.0</v>
      </c>
      <c r="B25" s="10848" t="s">
        <v>465</v>
      </c>
      <c r="C25" s="10849" t="s">
        <v>466</v>
      </c>
      <c r="D25" s="10850" t="n">
        <v>1.078286424298E12</v>
      </c>
      <c r="E25" s="10851" t="s">
        <v>433</v>
      </c>
      <c r="F25" s="10852" t="n">
        <v>800.0</v>
      </c>
      <c r="G25" s="10853" t="n">
        <v>-4708.45</v>
      </c>
      <c r="H25" s="10854" t="n">
        <v>46117.0</v>
      </c>
      <c r="I25" s="10855" t="s">
        <v>975</v>
      </c>
      <c r="J25" s="10856" t="s">
        <v>976</v>
      </c>
    </row>
    <row r="26">
      <c r="A26" s="10857" t="n">
        <v>46117.0</v>
      </c>
      <c r="B26" s="10858" t="s">
        <v>547</v>
      </c>
      <c r="C26" s="10859" t="s">
        <v>548</v>
      </c>
      <c r="D26" s="10860" t="n">
        <v>9.901033E7</v>
      </c>
      <c r="E26" s="10861" t="s">
        <v>433</v>
      </c>
      <c r="F26" s="10862" t="n">
        <v>300.0</v>
      </c>
      <c r="G26" s="10863" t="n">
        <v>-5508.45</v>
      </c>
      <c r="H26" s="10864" t="n">
        <v>46117.0</v>
      </c>
      <c r="I26" s="10865" t="s">
        <v>982</v>
      </c>
      <c r="J26" s="10866" t="s">
        <v>983</v>
      </c>
    </row>
    <row r="27">
      <c r="A27" s="10867" t="n">
        <v>46117.0</v>
      </c>
      <c r="B27" s="10868" t="s">
        <v>725</v>
      </c>
      <c r="C27" s="10869" t="s">
        <v>726</v>
      </c>
      <c r="D27" s="10870" t="n">
        <v>326.0</v>
      </c>
      <c r="E27" s="10871" t="n">
        <v>52.23</v>
      </c>
      <c r="F27" s="10872" t="s">
        <v>433</v>
      </c>
      <c r="G27" s="10873" t="n">
        <v>-5808.45</v>
      </c>
      <c r="H27" s="10874" t="n">
        <v>46113.0</v>
      </c>
      <c r="J27" s="10875" t="s">
        <v>1026</v>
      </c>
    </row>
    <row r="28">
      <c r="A28" s="10876" t="n">
        <v>46115.0</v>
      </c>
      <c r="B28" s="10877" t="s">
        <v>444</v>
      </c>
      <c r="D28" s="10878" t="n">
        <v>6.15563159E8</v>
      </c>
      <c r="E28" s="10879" t="n">
        <v>114.46</v>
      </c>
      <c r="F28" s="10880" t="s">
        <v>433</v>
      </c>
      <c r="G28" s="10881" t="n">
        <v>-5756.22</v>
      </c>
      <c r="H28" s="10882" t="n">
        <v>46115.0</v>
      </c>
    </row>
    <row r="29">
      <c r="A29" s="10883" t="n">
        <v>46115.0</v>
      </c>
      <c r="B29" s="10884" t="s">
        <v>446</v>
      </c>
      <c r="D29" s="10885" t="n">
        <v>6.15563159E8</v>
      </c>
      <c r="E29" s="10886" t="n">
        <v>337.05</v>
      </c>
      <c r="F29" s="10887" t="s">
        <v>433</v>
      </c>
      <c r="G29" s="10888" t="n">
        <v>-5641.76</v>
      </c>
      <c r="H29" s="10889" t="n">
        <v>46115.0</v>
      </c>
    </row>
    <row r="30">
      <c r="A30" s="10890" t="n">
        <v>46115.0</v>
      </c>
      <c r="B30" s="10891" t="s">
        <v>452</v>
      </c>
      <c r="D30" s="10892" t="n">
        <v>3.4685693E7</v>
      </c>
      <c r="E30" s="10893" t="n">
        <v>10630.42</v>
      </c>
      <c r="F30" s="10894" t="s">
        <v>433</v>
      </c>
      <c r="G30" s="10895" t="n">
        <v>-5304.71</v>
      </c>
      <c r="H30" s="10896" t="n">
        <v>46115.0</v>
      </c>
    </row>
    <row r="31">
      <c r="A31" s="10897" t="n">
        <v>46113.0</v>
      </c>
      <c r="B31" s="10898" t="s">
        <v>444</v>
      </c>
      <c r="D31" s="10899" t="n">
        <v>6.15563159E8</v>
      </c>
      <c r="E31" s="10900" t="n">
        <v>92.45</v>
      </c>
      <c r="F31" s="10901" t="s">
        <v>433</v>
      </c>
      <c r="G31" s="10902" t="n">
        <v>5325.71</v>
      </c>
      <c r="H31" s="10903" t="n">
        <v>46113.0</v>
      </c>
    </row>
    <row r="32">
      <c r="A32" s="10904" t="n">
        <v>46113.0</v>
      </c>
      <c r="B32" s="10905" t="s">
        <v>446</v>
      </c>
      <c r="D32" s="10906" t="n">
        <v>6.15563159E8</v>
      </c>
      <c r="E32" s="10907" t="n">
        <v>449.6</v>
      </c>
      <c r="F32" s="10908" t="s">
        <v>433</v>
      </c>
      <c r="G32" s="10909" t="n">
        <v>5418.16</v>
      </c>
      <c r="H32" s="10910" t="n">
        <v>46113.0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25</vt:i4>
      </vt:variant>
    </vt:vector>
  </HeadingPairs>
  <TitlesOfParts>
    <vt:vector size="43" baseType="lpstr">
      <vt:lpstr>הדרכה</vt:lpstr>
      <vt:lpstr>שלב א - טעינת דפי מקור</vt:lpstr>
      <vt:lpstr>שלב ב - סיווג תנועות</vt:lpstr>
      <vt:lpstr>שלב ג - תוצאות השיקוף</vt:lpstr>
      <vt:lpstr>חובות</vt:lpstr>
      <vt:lpstr>חסכונות</vt:lpstr>
      <vt:lpstr>ביטוחים</vt:lpstr>
      <vt:lpstr>רשימת הסעיפים</vt:lpstr>
      <vt:lpstr>שמור1 - היסטוריית גירסאות</vt:lpstr>
      <vt:lpstr>שמור 2 - רשימת בנקים ואשראי</vt:lpstr>
      <vt:lpstr>שמור4</vt:lpstr>
      <vt:lpstr>שמור5</vt:lpstr>
      <vt:lpstr>שמור6</vt:lpstr>
      <vt:lpstr>שמור7</vt:lpstr>
      <vt:lpstr>שמור8</vt:lpstr>
      <vt:lpstr>שמור9</vt:lpstr>
      <vt:lpstr>שמור10</vt:lpstr>
      <vt:lpstr>ליבוא מהתוכנה</vt:lpstr>
      <vt:lpstr>BlanksRangeExp</vt:lpstr>
      <vt:lpstr>BlanksRangeInc</vt:lpstr>
      <vt:lpstr>ExpCare</vt:lpstr>
      <vt:lpstr>ExpCloth</vt:lpstr>
      <vt:lpstr>ExpCom</vt:lpstr>
      <vt:lpstr>ExpCommit</vt:lpstr>
      <vt:lpstr>ExpEdu</vt:lpstr>
      <vt:lpstr>ExpEvents</vt:lpstr>
      <vt:lpstr>ExpFamily</vt:lpstr>
      <vt:lpstr>ExpFin</vt:lpstr>
      <vt:lpstr>ExpFood</vt:lpstr>
      <vt:lpstr>ExpHealth</vt:lpstr>
      <vt:lpstr>ExpHobby</vt:lpstr>
      <vt:lpstr>ExpHome</vt:lpstr>
      <vt:lpstr>ExpHomeCont</vt:lpstr>
      <vt:lpstr>ExpHousing</vt:lpstr>
      <vt:lpstr>ExpMainList</vt:lpstr>
      <vt:lpstr>ExpProp</vt:lpstr>
      <vt:lpstr>ExpTransp</vt:lpstr>
      <vt:lpstr>IncAllow</vt:lpstr>
      <vt:lpstr>IncMainList</vt:lpstr>
      <vt:lpstr>IncMisc</vt:lpstr>
      <vt:lpstr>IncSal</vt:lpstr>
      <vt:lpstr>NoBlanksExp</vt:lpstr>
      <vt:lpstr>NoBlanksInc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2020-05-06T07:36:06Z</dcterms:created>
  <dc:creator>Jacob Twersky</dc:creator>
  <cp:lastModifiedBy>Itay Ben Yehuda</cp:lastModifiedBy>
  <dcterms:modified xsi:type="dcterms:W3CDTF">2024-04-03T05:12:36Z</dcterms:modified>
</cp:coreProperties>
</file>